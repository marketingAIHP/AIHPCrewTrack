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Objects="none" defaultThemeVersion="124226"/>
  <mc:AlternateContent xmlns:mc="http://schemas.openxmlformats.org/markup-compatibility/2006">
    <mc:Choice Requires="x15">
      <x15ac:absPath xmlns:x15ac="http://schemas.microsoft.com/office/spreadsheetml/2010/11/ac" url="C:\Users\marketing.skh1\Desktop\"/>
    </mc:Choice>
  </mc:AlternateContent>
  <bookViews>
    <workbookView xWindow="-105" yWindow="-105" windowWidth="19425" windowHeight="10305" tabRatio="849"/>
  </bookViews>
  <sheets>
    <sheet name="FY2025-26" sheetId="30" r:id="rId1"/>
    <sheet name="Sheet11" sheetId="31" r:id="rId2"/>
    <sheet name="FY2024-2025" sheetId="25" r:id="rId3"/>
    <sheet name="Sheet10" sheetId="29" state="hidden" r:id="rId4"/>
    <sheet name="FY23-24" sheetId="23" r:id="rId5"/>
    <sheet name="FY22-23 Till JUN23" sheetId="21" r:id="rId6"/>
    <sheet name="FY 2021-2022" sheetId="20" r:id="rId7"/>
    <sheet name="FY 2020-2021 " sheetId="17" r:id="rId8"/>
    <sheet name="YK9 Content " sheetId="27" state="hidden" r:id="rId9"/>
    <sheet name="fy24-25" sheetId="24" state="hidden" r:id="rId10"/>
    <sheet name="Sheet9" sheetId="22" state="hidden" r:id="rId11"/>
    <sheet name="FY2024-2025 (2)" sheetId="28" state="hidden" r:id="rId12"/>
    <sheet name="Y43 Content" sheetId="26" state="hidden" r:id="rId13"/>
    <sheet name="YWD RFQ'S" sheetId="19" state="hidden" r:id="rId14"/>
    <sheet name="FY 2019-2020." sheetId="16" state="hidden" r:id="rId15"/>
    <sheet name="FY 2019-2020" sheetId="9" state="hidden" r:id="rId16"/>
    <sheet name="FY 2018-19 MSIL" sheetId="1" state="hidden" r:id="rId17"/>
    <sheet name="FY 2017-18 MSIL" sheetId="2" state="hidden" r:id="rId18"/>
    <sheet name="FY18-19 KML" sheetId="4" state="hidden" r:id="rId19"/>
    <sheet name="FY 18-19 SUZUKI" sheetId="5" state="hidden" r:id="rId20"/>
    <sheet name="Sheet1" sheetId="6" state="hidden" r:id="rId21"/>
    <sheet name="Sheet2" sheetId="7" state="hidden" r:id="rId22"/>
    <sheet name="Sheet3" sheetId="8" state="hidden" r:id="rId23"/>
    <sheet name="Sheet4" sheetId="10" state="hidden" r:id="rId24"/>
    <sheet name="Sheet5" sheetId="11" state="hidden" r:id="rId25"/>
    <sheet name="Sheet6" sheetId="12" state="hidden" r:id="rId26"/>
    <sheet name="Sheet7" sheetId="13" state="hidden" r:id="rId27"/>
    <sheet name="FY 2020-2021  (2)" sheetId="18" state="hidden" r:id="rId28"/>
    <sheet name="Sheet8" sheetId="14" state="hidden" r:id="rId29"/>
  </sheets>
  <externalReferences>
    <externalReference r:id="rId30"/>
    <externalReference r:id="rId31"/>
  </externalReferences>
  <definedNames>
    <definedName name="_xlnm._FilterDatabase" localSheetId="16" hidden="1">'FY 2018-19 MSIL'!$A$1:$AQ$95</definedName>
    <definedName name="_xlnm._FilterDatabase" localSheetId="15" hidden="1">'FY 2019-2020'!$A$1:$AQ$51</definedName>
    <definedName name="_xlnm._FilterDatabase" localSheetId="14" hidden="1">'FY 2019-2020.'!$A$1:$AR$75</definedName>
    <definedName name="_xlnm._FilterDatabase" localSheetId="7" hidden="1">'FY 2020-2021 '!$A$2:$AEQ$161</definedName>
    <definedName name="_xlnm._FilterDatabase" localSheetId="27" hidden="1">'FY 2020-2021  (2)'!$A$1:$L$2</definedName>
    <definedName name="_xlnm._FilterDatabase" localSheetId="6" hidden="1">'FY 2021-2022'!$A$2:$AM$98</definedName>
    <definedName name="_xlnm._FilterDatabase" localSheetId="2" hidden="1">'FY2024-2025'!$A$2:$AR$330</definedName>
    <definedName name="_xlnm._FilterDatabase" localSheetId="11" hidden="1">'FY2024-2025 (2)'!$A$2:$X$37</definedName>
    <definedName name="_xlnm._FilterDatabase" localSheetId="0" hidden="1">'FY2025-26'!$A$2:$AR$3</definedName>
    <definedName name="_xlnm._FilterDatabase" localSheetId="5" hidden="1">'FY22-23 Till JUN23'!$A$2:$AM$171</definedName>
    <definedName name="_xlnm._FilterDatabase" localSheetId="4" hidden="1">'FY23-24'!$A$2:$AN$2</definedName>
    <definedName name="_xlnm._FilterDatabase" localSheetId="9" hidden="1">'fy24-25'!$A$2:$AO$2</definedName>
    <definedName name="_xlnm._FilterDatabase" localSheetId="12" hidden="1">'Y43 Content'!$A$2:$F$37</definedName>
    <definedName name="_xlnm._FilterDatabase" localSheetId="8" hidden="1">'YK9 Content '!$A$1:$G$19</definedName>
    <definedName name="_xlnm._FilterDatabase" localSheetId="13" hidden="1">'YWD RFQ''S'!$A$2:$AD$81</definedName>
  </definedNames>
  <calcPr calcId="152511"/>
</workbook>
</file>

<file path=xl/calcChain.xml><?xml version="1.0" encoding="utf-8"?>
<calcChain xmlns="http://schemas.openxmlformats.org/spreadsheetml/2006/main">
  <c r="Y57" i="30" l="1"/>
  <c r="AD57" i="30"/>
  <c r="AC57" i="30"/>
  <c r="S57" i="30"/>
  <c r="AD56" i="30"/>
  <c r="AC56" i="30"/>
  <c r="Y56" i="30"/>
  <c r="S56" i="30"/>
  <c r="AD55" i="30"/>
  <c r="AC55" i="30"/>
  <c r="Y55" i="30"/>
  <c r="S55" i="30"/>
  <c r="AD54" i="30"/>
  <c r="AC54" i="30"/>
  <c r="Y54" i="30"/>
  <c r="Y53" i="30"/>
  <c r="S54" i="30"/>
  <c r="AD53" i="30"/>
  <c r="AC53" i="30"/>
  <c r="S53" i="30"/>
  <c r="Y64" i="30" l="1"/>
  <c r="AD64" i="30"/>
  <c r="AC64" i="30"/>
  <c r="S64" i="30"/>
  <c r="Y40" i="30" l="1"/>
  <c r="AD40" i="30"/>
  <c r="AC40" i="30"/>
  <c r="S40" i="30"/>
  <c r="Y39" i="30"/>
  <c r="AD39" i="30"/>
  <c r="AC39" i="30"/>
  <c r="S39" i="30"/>
  <c r="Y38" i="30"/>
  <c r="AD38" i="30"/>
  <c r="AC38" i="30"/>
  <c r="S38" i="30"/>
  <c r="Y37" i="30"/>
  <c r="AD37" i="30"/>
  <c r="AC37" i="30"/>
  <c r="S37" i="30"/>
  <c r="S36" i="30"/>
  <c r="AD36" i="30"/>
  <c r="AC36" i="30"/>
  <c r="AD35" i="30"/>
  <c r="Y36" i="30"/>
  <c r="Y35" i="30"/>
  <c r="AC35" i="30"/>
  <c r="S35" i="30"/>
  <c r="Y34" i="30"/>
  <c r="AD34" i="30"/>
  <c r="AC34" i="30"/>
  <c r="S34" i="30"/>
  <c r="Y33" i="30"/>
  <c r="AD33" i="30"/>
  <c r="AC33" i="30"/>
  <c r="S33" i="30"/>
  <c r="Y32" i="30" l="1"/>
  <c r="AD32" i="30"/>
  <c r="AC32" i="30"/>
  <c r="S32" i="30"/>
  <c r="Y31" i="30"/>
  <c r="AD31" i="30"/>
  <c r="AC31" i="30"/>
  <c r="S31" i="30"/>
  <c r="Y30" i="30"/>
  <c r="AD30" i="30"/>
  <c r="AC30" i="30"/>
  <c r="S30" i="30"/>
  <c r="AC24" i="30"/>
  <c r="Y24" i="30"/>
  <c r="AD24" i="30"/>
  <c r="S24" i="30"/>
  <c r="AD23" i="30"/>
  <c r="AC23" i="30"/>
  <c r="Y23" i="30"/>
  <c r="S23" i="30"/>
  <c r="Y22" i="30"/>
  <c r="AD22" i="30"/>
  <c r="AC22" i="30"/>
  <c r="S22" i="30"/>
  <c r="Y21" i="30"/>
  <c r="AD21" i="30"/>
  <c r="AC21" i="30"/>
  <c r="S21" i="30"/>
  <c r="Y29" i="30"/>
  <c r="AD29" i="30"/>
  <c r="AC29" i="30"/>
  <c r="S29" i="30"/>
  <c r="AD28" i="30"/>
  <c r="AC28" i="30"/>
  <c r="Y28" i="30"/>
  <c r="S28" i="30"/>
  <c r="AD27" i="30"/>
  <c r="AC27" i="30"/>
  <c r="Y27" i="30"/>
  <c r="S27" i="30"/>
  <c r="AC26" i="30"/>
  <c r="AD26" i="30"/>
  <c r="Y26" i="30"/>
  <c r="S26" i="30"/>
  <c r="AD25" i="30"/>
  <c r="AC25" i="30"/>
  <c r="Y25" i="30"/>
  <c r="S25" i="30"/>
  <c r="AG108" i="30" l="1"/>
  <c r="AF108" i="30"/>
  <c r="AE108" i="30"/>
  <c r="AB108" i="30"/>
  <c r="AA108" i="30"/>
  <c r="X108" i="30"/>
  <c r="W108" i="30"/>
  <c r="V108" i="30"/>
  <c r="U108" i="30"/>
  <c r="T108" i="30"/>
  <c r="R108" i="30"/>
  <c r="Q108" i="30"/>
  <c r="S20" i="30"/>
  <c r="Y20" i="30"/>
  <c r="AC20" i="30"/>
  <c r="AD20" i="30"/>
  <c r="AD19" i="30"/>
  <c r="AC19" i="30"/>
  <c r="Y19" i="30"/>
  <c r="S19" i="30"/>
  <c r="Y6" i="30" l="1"/>
  <c r="Y17" i="30"/>
  <c r="AD17" i="30"/>
  <c r="AC17" i="30"/>
  <c r="S17" i="30"/>
  <c r="Y16" i="30"/>
  <c r="AD16" i="30"/>
  <c r="AC16" i="30"/>
  <c r="S16" i="30"/>
  <c r="Y15" i="30"/>
  <c r="AD15" i="30"/>
  <c r="AC15" i="30"/>
  <c r="S15" i="30"/>
  <c r="AD11" i="30" l="1"/>
  <c r="AD10" i="30"/>
  <c r="AD9" i="30"/>
  <c r="AD8" i="30"/>
  <c r="AD7" i="30"/>
  <c r="AD6" i="30"/>
  <c r="AC11" i="30"/>
  <c r="AC10" i="30"/>
  <c r="AC9" i="30"/>
  <c r="AC8" i="30"/>
  <c r="AC7" i="30"/>
  <c r="AC6" i="30"/>
  <c r="Y11" i="30"/>
  <c r="Y10" i="30"/>
  <c r="Y9" i="30"/>
  <c r="Y8" i="30"/>
  <c r="Y7" i="30"/>
  <c r="S11" i="30" l="1"/>
  <c r="S10" i="30"/>
  <c r="S9" i="30"/>
  <c r="S8" i="30"/>
  <c r="S7" i="30"/>
  <c r="S6" i="30"/>
  <c r="Y14" i="30" l="1"/>
  <c r="AD14" i="30"/>
  <c r="AC14" i="30"/>
  <c r="S14" i="30"/>
  <c r="Y13" i="30"/>
  <c r="AD13" i="30"/>
  <c r="AC13" i="30"/>
  <c r="S13" i="30"/>
  <c r="Z12" i="30"/>
  <c r="Z108" i="30" s="1"/>
  <c r="S12" i="30"/>
  <c r="AD12" i="30"/>
  <c r="AC12" i="30"/>
  <c r="Y12" i="30"/>
  <c r="AJ108" i="30"/>
  <c r="AQ108" i="30" l="1"/>
  <c r="AO108" i="30"/>
  <c r="AN108" i="30"/>
  <c r="AM108" i="30"/>
  <c r="AK108" i="30"/>
  <c r="AD4" i="30"/>
  <c r="AC4" i="30"/>
  <c r="S4" i="30"/>
  <c r="H3" i="30" l="1"/>
  <c r="AC3" i="30" s="1"/>
  <c r="Y3" i="30"/>
  <c r="S3" i="30"/>
  <c r="AD3" i="30" l="1"/>
  <c r="AD5" i="30"/>
  <c r="AC5" i="30"/>
  <c r="AC108" i="30" s="1"/>
  <c r="Y5" i="30"/>
  <c r="Y108" i="30" s="1"/>
  <c r="S5" i="30"/>
  <c r="S108" i="30" s="1"/>
  <c r="AD108" i="30" l="1"/>
  <c r="AP108" i="30"/>
  <c r="AL108" i="30"/>
  <c r="AP333" i="25"/>
  <c r="AO333" i="25"/>
  <c r="AN333" i="25"/>
  <c r="AM333" i="25"/>
  <c r="AK333" i="25"/>
  <c r="AB333" i="25"/>
  <c r="AA333" i="25"/>
  <c r="Z333" i="25"/>
  <c r="X333" i="25"/>
  <c r="W333" i="25"/>
  <c r="U333" i="25"/>
  <c r="T333" i="25"/>
  <c r="R333" i="25"/>
  <c r="Q333" i="25"/>
  <c r="AJ108" i="25" l="1"/>
  <c r="AJ107" i="25"/>
  <c r="AG327" i="25"/>
  <c r="AF327" i="25"/>
  <c r="AE327" i="25"/>
  <c r="AD327" i="25"/>
  <c r="AC327" i="25"/>
  <c r="Y327" i="25"/>
  <c r="S327" i="25"/>
  <c r="AJ333" i="25" l="1"/>
  <c r="AE326" i="25"/>
  <c r="AF326" i="25"/>
  <c r="AG326" i="25"/>
  <c r="AD326" i="25"/>
  <c r="AC326" i="25"/>
  <c r="Y326" i="25"/>
  <c r="S326" i="25"/>
  <c r="AD333" i="25" l="1"/>
  <c r="AG325" i="25"/>
  <c r="AG333" i="25" s="1"/>
  <c r="AF325" i="25"/>
  <c r="AF333" i="25" s="1"/>
  <c r="AE325" i="25"/>
  <c r="AE333" i="25" s="1"/>
  <c r="AD325" i="25"/>
  <c r="AC325" i="25"/>
  <c r="Y325" i="25"/>
  <c r="S325" i="25"/>
  <c r="AQ323" i="25" l="1"/>
  <c r="AD314" i="25" l="1"/>
  <c r="AD313" i="25"/>
  <c r="AD312" i="25"/>
  <c r="AD311" i="25"/>
  <c r="AD310" i="25"/>
  <c r="AD309" i="25"/>
  <c r="AD308" i="25"/>
  <c r="AC314" i="25"/>
  <c r="AC313" i="25"/>
  <c r="AC312" i="25"/>
  <c r="AC311" i="25"/>
  <c r="AC310" i="25"/>
  <c r="AC309" i="25"/>
  <c r="AC308" i="25"/>
  <c r="Y314" i="25"/>
  <c r="Y313" i="25"/>
  <c r="Y312" i="25"/>
  <c r="Y311" i="25"/>
  <c r="Y310" i="25"/>
  <c r="Y309" i="25"/>
  <c r="Y308" i="25"/>
  <c r="S314" i="25"/>
  <c r="S313" i="25"/>
  <c r="S312" i="25"/>
  <c r="S311" i="25"/>
  <c r="S310" i="25"/>
  <c r="S309" i="25"/>
  <c r="S308" i="25"/>
  <c r="AD299" i="25" l="1"/>
  <c r="AD300" i="25"/>
  <c r="AD301" i="25"/>
  <c r="AD302" i="25"/>
  <c r="AD303" i="25"/>
  <c r="AD304" i="25"/>
  <c r="AD305" i="25"/>
  <c r="AD306" i="25"/>
  <c r="AD307" i="25"/>
  <c r="AC307" i="25"/>
  <c r="AC306" i="25"/>
  <c r="AC305" i="25"/>
  <c r="AC304" i="25"/>
  <c r="AC303" i="25"/>
  <c r="AC302" i="25"/>
  <c r="AC301" i="25"/>
  <c r="AC300" i="25"/>
  <c r="AC299" i="25"/>
  <c r="Y299" i="25"/>
  <c r="Y300" i="25"/>
  <c r="Y301" i="25"/>
  <c r="Y302" i="25"/>
  <c r="Y303" i="25"/>
  <c r="Y304" i="25"/>
  <c r="Y305" i="25"/>
  <c r="Y306" i="25"/>
  <c r="Y307" i="25"/>
  <c r="S300" i="25"/>
  <c r="S301" i="25"/>
  <c r="S302" i="25"/>
  <c r="S303" i="25"/>
  <c r="S304" i="25"/>
  <c r="S305" i="25"/>
  <c r="S306" i="25"/>
  <c r="S307" i="25"/>
  <c r="S299" i="25"/>
  <c r="AD298" i="25" l="1"/>
  <c r="AC298" i="25"/>
  <c r="AD297" i="25"/>
  <c r="AC297" i="25"/>
  <c r="Y298" i="25"/>
  <c r="Y297" i="25"/>
  <c r="S298" i="25"/>
  <c r="S297" i="25"/>
  <c r="AD320" i="25" l="1"/>
  <c r="AD319" i="25"/>
  <c r="AD318" i="25"/>
  <c r="AD317" i="25"/>
  <c r="AD316" i="25"/>
  <c r="AD315" i="25"/>
  <c r="Y320" i="25"/>
  <c r="Y319" i="25"/>
  <c r="Y318" i="25"/>
  <c r="Y317" i="25"/>
  <c r="Y316" i="25"/>
  <c r="Y315" i="25"/>
  <c r="S320" i="25"/>
  <c r="S319" i="25"/>
  <c r="S318" i="25"/>
  <c r="S317" i="25"/>
  <c r="S316" i="25"/>
  <c r="S315" i="25"/>
  <c r="AD321" i="25" l="1"/>
  <c r="AC321" i="25"/>
  <c r="Y321" i="25"/>
  <c r="S321" i="25"/>
  <c r="AD245" i="25" l="1"/>
  <c r="AC245" i="25"/>
  <c r="Y245" i="25"/>
  <c r="S245" i="25"/>
  <c r="AQ322" i="25" l="1"/>
  <c r="AQ4" i="25"/>
  <c r="AQ5" i="25"/>
  <c r="AQ6" i="25"/>
  <c r="AQ7" i="25"/>
  <c r="AQ8" i="25"/>
  <c r="AQ9" i="25"/>
  <c r="AQ10" i="25"/>
  <c r="AQ11" i="25"/>
  <c r="AQ12" i="25"/>
  <c r="AQ13" i="25"/>
  <c r="AQ14" i="25"/>
  <c r="AQ15" i="25"/>
  <c r="AQ16" i="25"/>
  <c r="AQ17" i="25"/>
  <c r="AQ18" i="25"/>
  <c r="AQ19" i="25"/>
  <c r="AQ20" i="25"/>
  <c r="AQ21" i="25"/>
  <c r="AQ22" i="25"/>
  <c r="AQ23" i="25"/>
  <c r="AQ24" i="25"/>
  <c r="AQ25" i="25"/>
  <c r="AQ26" i="25"/>
  <c r="AQ27" i="25"/>
  <c r="AQ28" i="25"/>
  <c r="AQ29" i="25"/>
  <c r="AQ30" i="25"/>
  <c r="AQ31" i="25"/>
  <c r="AQ32" i="25"/>
  <c r="AQ33" i="25"/>
  <c r="AQ34" i="25"/>
  <c r="AQ35" i="25"/>
  <c r="AQ36" i="25"/>
  <c r="AQ37" i="25"/>
  <c r="AQ38" i="25"/>
  <c r="AQ39" i="25"/>
  <c r="AQ40" i="25"/>
  <c r="AQ41" i="25"/>
  <c r="AQ42" i="25"/>
  <c r="AQ43" i="25"/>
  <c r="AQ44" i="25"/>
  <c r="AQ45" i="25"/>
  <c r="AQ46" i="25"/>
  <c r="AQ47" i="25"/>
  <c r="AQ48" i="25"/>
  <c r="AQ49" i="25"/>
  <c r="AQ50" i="25"/>
  <c r="AQ51" i="25"/>
  <c r="AQ52" i="25"/>
  <c r="AQ53" i="25"/>
  <c r="AQ54" i="25"/>
  <c r="AQ55" i="25"/>
  <c r="AQ56" i="25"/>
  <c r="AQ57" i="25"/>
  <c r="AQ58" i="25"/>
  <c r="AQ59" i="25"/>
  <c r="AQ60" i="25"/>
  <c r="AQ61" i="25"/>
  <c r="AQ62" i="25"/>
  <c r="AQ63" i="25"/>
  <c r="AQ64" i="25"/>
  <c r="AQ65" i="25"/>
  <c r="AQ66" i="25"/>
  <c r="AQ67" i="25"/>
  <c r="AQ68" i="25"/>
  <c r="AQ69" i="25"/>
  <c r="AQ70" i="25"/>
  <c r="AQ71" i="25"/>
  <c r="AQ72" i="25"/>
  <c r="AQ73" i="25"/>
  <c r="AQ74" i="25"/>
  <c r="AQ75" i="25"/>
  <c r="AQ76" i="25"/>
  <c r="AQ77" i="25"/>
  <c r="AQ78" i="25"/>
  <c r="AQ79" i="25"/>
  <c r="AQ80" i="25"/>
  <c r="AQ81" i="25"/>
  <c r="AQ82" i="25"/>
  <c r="AQ83" i="25"/>
  <c r="AQ84" i="25"/>
  <c r="AQ85" i="25"/>
  <c r="AQ86" i="25"/>
  <c r="AQ87" i="25"/>
  <c r="AQ88" i="25"/>
  <c r="AQ89" i="25"/>
  <c r="AQ90" i="25"/>
  <c r="AQ91" i="25"/>
  <c r="AQ92" i="25"/>
  <c r="AQ93" i="25"/>
  <c r="AQ94" i="25"/>
  <c r="AQ95" i="25"/>
  <c r="AQ96" i="25"/>
  <c r="AQ97" i="25"/>
  <c r="AQ98" i="25"/>
  <c r="AQ99" i="25"/>
  <c r="AQ100" i="25"/>
  <c r="AQ101" i="25"/>
  <c r="AQ102" i="25"/>
  <c r="AQ103" i="25"/>
  <c r="AQ104" i="25"/>
  <c r="AQ105" i="25"/>
  <c r="AQ106" i="25"/>
  <c r="AQ107" i="25"/>
  <c r="AQ108" i="25"/>
  <c r="AQ109" i="25"/>
  <c r="AQ110" i="25"/>
  <c r="AQ111" i="25"/>
  <c r="AQ112" i="25"/>
  <c r="AQ113" i="25"/>
  <c r="AQ114" i="25"/>
  <c r="AQ115" i="25"/>
  <c r="AQ116" i="25"/>
  <c r="AQ117" i="25"/>
  <c r="AQ118" i="25"/>
  <c r="AQ119" i="25"/>
  <c r="AQ120" i="25"/>
  <c r="AQ121" i="25"/>
  <c r="AQ122" i="25"/>
  <c r="AQ123" i="25"/>
  <c r="AQ124" i="25"/>
  <c r="AQ125" i="25"/>
  <c r="AQ126" i="25"/>
  <c r="AQ127" i="25"/>
  <c r="AQ128" i="25"/>
  <c r="AQ129" i="25"/>
  <c r="AQ130" i="25"/>
  <c r="AQ131" i="25"/>
  <c r="AQ132" i="25"/>
  <c r="AQ133" i="25"/>
  <c r="AQ134" i="25"/>
  <c r="AQ135" i="25"/>
  <c r="AQ136" i="25"/>
  <c r="AQ137" i="25"/>
  <c r="AQ138" i="25"/>
  <c r="AQ139" i="25"/>
  <c r="AQ140" i="25"/>
  <c r="AQ141" i="25"/>
  <c r="AQ142" i="25"/>
  <c r="AQ143" i="25"/>
  <c r="AQ144" i="25"/>
  <c r="AQ145" i="25"/>
  <c r="AQ146" i="25"/>
  <c r="AQ147" i="25"/>
  <c r="AQ148" i="25"/>
  <c r="AQ149" i="25"/>
  <c r="AQ150" i="25"/>
  <c r="AQ151" i="25"/>
  <c r="AQ152" i="25"/>
  <c r="AQ153" i="25"/>
  <c r="AQ154" i="25"/>
  <c r="AQ155" i="25"/>
  <c r="AQ156" i="25"/>
  <c r="AQ157" i="25"/>
  <c r="AQ158" i="25"/>
  <c r="AQ160" i="25"/>
  <c r="AQ161" i="25"/>
  <c r="AQ162" i="25"/>
  <c r="AQ163" i="25"/>
  <c r="AQ164" i="25"/>
  <c r="AQ165" i="25"/>
  <c r="AQ166" i="25"/>
  <c r="AQ167" i="25"/>
  <c r="AQ168" i="25"/>
  <c r="AQ169" i="25"/>
  <c r="AQ170" i="25"/>
  <c r="AQ171" i="25"/>
  <c r="AQ172" i="25"/>
  <c r="AQ173" i="25"/>
  <c r="AQ174" i="25"/>
  <c r="AQ175" i="25"/>
  <c r="AQ176" i="25"/>
  <c r="AQ177" i="25"/>
  <c r="AQ178" i="25"/>
  <c r="AQ179" i="25"/>
  <c r="AQ180" i="25"/>
  <c r="AQ181" i="25"/>
  <c r="AQ182" i="25"/>
  <c r="AQ183" i="25"/>
  <c r="AQ184" i="25"/>
  <c r="AQ185" i="25"/>
  <c r="AQ186" i="25"/>
  <c r="AQ187" i="25"/>
  <c r="AQ188" i="25"/>
  <c r="AQ189" i="25"/>
  <c r="AQ190" i="25"/>
  <c r="AQ191" i="25"/>
  <c r="AQ192" i="25"/>
  <c r="AQ193" i="25"/>
  <c r="AQ194" i="25"/>
  <c r="AQ195" i="25"/>
  <c r="AQ196" i="25"/>
  <c r="AQ197" i="25"/>
  <c r="AQ198" i="25"/>
  <c r="AQ199" i="25"/>
  <c r="AQ200" i="25"/>
  <c r="AQ201" i="25"/>
  <c r="AQ202" i="25"/>
  <c r="AQ203" i="25"/>
  <c r="AQ204" i="25"/>
  <c r="AQ205" i="25"/>
  <c r="AQ206" i="25"/>
  <c r="AQ207" i="25"/>
  <c r="AQ208" i="25"/>
  <c r="AQ209" i="25"/>
  <c r="AQ210" i="25"/>
  <c r="AQ211" i="25"/>
  <c r="AQ212" i="25"/>
  <c r="AQ213" i="25"/>
  <c r="AQ214" i="25"/>
  <c r="AQ215" i="25"/>
  <c r="AQ216" i="25"/>
  <c r="AQ217" i="25"/>
  <c r="AQ218" i="25"/>
  <c r="AQ219" i="25"/>
  <c r="AQ220" i="25"/>
  <c r="AQ221" i="25"/>
  <c r="AQ222" i="25"/>
  <c r="AQ223" i="25"/>
  <c r="AQ224" i="25"/>
  <c r="AQ225" i="25"/>
  <c r="AQ226" i="25"/>
  <c r="AQ227" i="25"/>
  <c r="AQ228" i="25"/>
  <c r="AQ229" i="25"/>
  <c r="AQ230" i="25"/>
  <c r="AQ231" i="25"/>
  <c r="AQ232" i="25"/>
  <c r="AQ233" i="25"/>
  <c r="AQ234" i="25"/>
  <c r="AQ235" i="25"/>
  <c r="AQ236" i="25"/>
  <c r="AQ237" i="25"/>
  <c r="AQ238" i="25"/>
  <c r="AQ239" i="25"/>
  <c r="AQ240" i="25"/>
  <c r="AQ241" i="25"/>
  <c r="AQ242" i="25"/>
  <c r="AQ243" i="25"/>
  <c r="AQ244" i="25"/>
  <c r="AQ245" i="25"/>
  <c r="AQ246" i="25"/>
  <c r="AQ247" i="25"/>
  <c r="AQ248" i="25"/>
  <c r="AQ249" i="25"/>
  <c r="AQ250" i="25"/>
  <c r="AQ251" i="25"/>
  <c r="AQ252" i="25"/>
  <c r="AQ253" i="25"/>
  <c r="AQ254" i="25"/>
  <c r="AQ255" i="25"/>
  <c r="AQ256" i="25"/>
  <c r="AQ257" i="25"/>
  <c r="AQ258" i="25"/>
  <c r="AQ259" i="25"/>
  <c r="AQ260" i="25"/>
  <c r="AQ261" i="25"/>
  <c r="AQ262" i="25"/>
  <c r="AQ263" i="25"/>
  <c r="AQ264" i="25"/>
  <c r="AQ265" i="25"/>
  <c r="AQ266" i="25"/>
  <c r="AQ267" i="25"/>
  <c r="AQ268" i="25"/>
  <c r="AQ269" i="25"/>
  <c r="AQ270" i="25"/>
  <c r="AQ271" i="25"/>
  <c r="AQ272" i="25"/>
  <c r="AQ273" i="25"/>
  <c r="AQ274" i="25"/>
  <c r="AQ275" i="25"/>
  <c r="AQ276" i="25"/>
  <c r="AQ277" i="25"/>
  <c r="AQ278" i="25"/>
  <c r="AQ279" i="25"/>
  <c r="AQ280" i="25"/>
  <c r="AQ281" i="25"/>
  <c r="AQ282" i="25"/>
  <c r="AQ283" i="25"/>
  <c r="AQ284" i="25"/>
  <c r="AQ285" i="25"/>
  <c r="AQ286" i="25"/>
  <c r="AQ287" i="25"/>
  <c r="AQ288" i="25"/>
  <c r="AQ289" i="25"/>
  <c r="AQ290" i="25"/>
  <c r="AQ291" i="25"/>
  <c r="AQ292" i="25"/>
  <c r="AQ293" i="25"/>
  <c r="AQ294" i="25"/>
  <c r="AQ295" i="25"/>
  <c r="AQ296" i="25"/>
  <c r="AQ297" i="25"/>
  <c r="AQ298" i="25"/>
  <c r="AQ299" i="25"/>
  <c r="AQ300" i="25"/>
  <c r="AQ301" i="25"/>
  <c r="AQ302" i="25"/>
  <c r="AQ303" i="25"/>
  <c r="AQ304" i="25"/>
  <c r="AQ305" i="25"/>
  <c r="AQ306" i="25"/>
  <c r="AQ307" i="25"/>
  <c r="AQ308" i="25"/>
  <c r="AQ309" i="25"/>
  <c r="AQ310" i="25"/>
  <c r="AQ311" i="25"/>
  <c r="AQ312" i="25"/>
  <c r="AQ313" i="25"/>
  <c r="AQ314" i="25"/>
  <c r="AQ315" i="25"/>
  <c r="AQ316" i="25"/>
  <c r="AQ317" i="25"/>
  <c r="AQ318" i="25"/>
  <c r="AQ319" i="25"/>
  <c r="AQ320" i="25"/>
  <c r="AQ321" i="25"/>
  <c r="AQ3" i="25"/>
  <c r="AQ333" i="25" l="1"/>
  <c r="AL333" i="25"/>
  <c r="AD290" i="25"/>
  <c r="AD289" i="25"/>
  <c r="AC290" i="25"/>
  <c r="AC289" i="25"/>
  <c r="Y290" i="25"/>
  <c r="Y289" i="25"/>
  <c r="S290" i="25"/>
  <c r="S289" i="25"/>
  <c r="AD322" i="25" l="1"/>
  <c r="AC322" i="25"/>
  <c r="Y322" i="25"/>
  <c r="S322" i="25"/>
  <c r="AD282" i="25" l="1"/>
  <c r="AD281" i="25"/>
  <c r="AD280" i="25"/>
  <c r="AD279" i="25"/>
  <c r="AC282" i="25"/>
  <c r="AC281" i="25"/>
  <c r="AC280" i="25"/>
  <c r="AC279" i="25"/>
  <c r="AC278" i="25"/>
  <c r="AC277" i="25"/>
  <c r="AC276" i="25"/>
  <c r="Y282" i="25"/>
  <c r="Y281" i="25"/>
  <c r="Y280" i="25"/>
  <c r="Y279" i="25"/>
  <c r="S282" i="25"/>
  <c r="S281" i="25"/>
  <c r="S280" i="25"/>
  <c r="S279" i="25"/>
  <c r="AD294" i="25" l="1"/>
  <c r="AD293" i="25"/>
  <c r="AC294" i="25"/>
  <c r="AC293" i="25"/>
  <c r="Y294" i="25"/>
  <c r="Y293" i="25"/>
  <c r="S294" i="25"/>
  <c r="S293" i="25"/>
  <c r="AD296" i="25" l="1"/>
  <c r="AD295" i="25"/>
  <c r="AC296" i="25"/>
  <c r="AC295" i="25"/>
  <c r="Y296" i="25"/>
  <c r="Y295" i="25"/>
  <c r="S296" i="25"/>
  <c r="S295" i="25"/>
  <c r="AC266" i="25" l="1"/>
  <c r="AC265" i="25"/>
  <c r="AC264" i="25"/>
  <c r="AC263" i="25"/>
  <c r="AD266" i="25"/>
  <c r="AD265" i="25"/>
  <c r="AD264" i="25"/>
  <c r="AD263" i="25"/>
  <c r="Y266" i="25"/>
  <c r="Y265" i="25"/>
  <c r="Y264" i="25"/>
  <c r="Y263" i="25"/>
  <c r="S266" i="25"/>
  <c r="S265" i="25"/>
  <c r="S264" i="25"/>
  <c r="S263" i="25"/>
  <c r="AD284" i="25" l="1"/>
  <c r="AD283" i="25"/>
  <c r="AC284" i="25"/>
  <c r="AC283" i="25"/>
  <c r="Y284" i="25"/>
  <c r="Y283" i="25"/>
  <c r="S284" i="25"/>
  <c r="S283" i="25"/>
  <c r="AD292" i="25" l="1"/>
  <c r="AD291" i="25"/>
  <c r="AC292" i="25"/>
  <c r="AC291" i="25"/>
  <c r="Y292" i="25"/>
  <c r="Y291" i="25"/>
  <c r="S292" i="25"/>
  <c r="S291" i="25"/>
  <c r="AD272" i="25" l="1"/>
  <c r="AD271" i="25"/>
  <c r="AD270" i="25"/>
  <c r="AD269" i="25"/>
  <c r="AD268" i="25"/>
  <c r="AD267" i="25"/>
  <c r="AC271" i="25"/>
  <c r="AC270" i="25"/>
  <c r="AC269" i="25"/>
  <c r="AC267" i="25"/>
  <c r="AC268" i="25"/>
  <c r="AC272" i="25"/>
  <c r="Y272" i="25"/>
  <c r="Y271" i="25"/>
  <c r="Y270" i="25"/>
  <c r="Y269" i="25"/>
  <c r="Y268" i="25"/>
  <c r="Y267" i="25"/>
  <c r="S272" i="25"/>
  <c r="S271" i="25"/>
  <c r="S270" i="25"/>
  <c r="S269" i="25"/>
  <c r="S268" i="25"/>
  <c r="S267" i="25"/>
  <c r="AD262" i="25" l="1"/>
  <c r="AD261" i="25"/>
  <c r="AD260" i="25"/>
  <c r="AD259" i="25"/>
  <c r="AC262" i="25"/>
  <c r="AC261" i="25"/>
  <c r="AC260" i="25"/>
  <c r="AC259" i="25"/>
  <c r="Y262" i="25"/>
  <c r="Y261" i="25"/>
  <c r="Y260" i="25"/>
  <c r="Y259" i="25"/>
  <c r="S262" i="25"/>
  <c r="S261" i="25"/>
  <c r="S260" i="25"/>
  <c r="S259" i="25"/>
  <c r="AD258" i="25" l="1"/>
  <c r="AD257" i="25"/>
  <c r="AC258" i="25"/>
  <c r="AC257" i="25"/>
  <c r="Y258" i="25"/>
  <c r="Y257" i="25"/>
  <c r="S258" i="25"/>
  <c r="S257" i="25"/>
  <c r="AD256" i="25" l="1"/>
  <c r="AD255" i="25"/>
  <c r="AD254" i="25"/>
  <c r="AD253" i="25"/>
  <c r="AD252" i="25"/>
  <c r="AC256" i="25"/>
  <c r="AC255" i="25"/>
  <c r="AC254" i="25"/>
  <c r="AC253" i="25"/>
  <c r="AC252" i="25"/>
  <c r="Y256" i="25"/>
  <c r="Y255" i="25"/>
  <c r="Y254" i="25"/>
  <c r="Y253" i="25"/>
  <c r="Y252" i="25"/>
  <c r="S256" i="25"/>
  <c r="S255" i="25"/>
  <c r="S254" i="25"/>
  <c r="S253" i="25"/>
  <c r="S252" i="25"/>
  <c r="AD246" i="25" l="1"/>
  <c r="AC246" i="25"/>
  <c r="Y246" i="25"/>
  <c r="S246" i="25"/>
  <c r="AD278" i="25" l="1"/>
  <c r="AD277" i="25"/>
  <c r="AD276" i="25"/>
  <c r="Y278" i="25"/>
  <c r="Y277" i="25"/>
  <c r="Y276" i="25"/>
  <c r="S278" i="25"/>
  <c r="S277" i="25"/>
  <c r="S276" i="25"/>
  <c r="AD251" i="25" l="1"/>
  <c r="AD250" i="25"/>
  <c r="AC251" i="25"/>
  <c r="AC250" i="25"/>
  <c r="Y251" i="25"/>
  <c r="Y250" i="25"/>
  <c r="S251" i="25"/>
  <c r="S250" i="25"/>
  <c r="AD249" i="25" l="1"/>
  <c r="AD248" i="25"/>
  <c r="AD247" i="25"/>
  <c r="AC249" i="25"/>
  <c r="AC248" i="25"/>
  <c r="AC247" i="25"/>
  <c r="Y249" i="25"/>
  <c r="Y248" i="25"/>
  <c r="Y247" i="25"/>
  <c r="S249" i="25"/>
  <c r="S248" i="25"/>
  <c r="S247" i="25"/>
  <c r="AD243" i="25" l="1"/>
  <c r="AD242" i="25"/>
  <c r="AD241" i="25"/>
  <c r="AD240" i="25"/>
  <c r="AD239" i="25"/>
  <c r="AD238" i="25"/>
  <c r="AD237" i="25"/>
  <c r="AD236" i="25"/>
  <c r="AC243" i="25"/>
  <c r="AC242" i="25"/>
  <c r="AC241" i="25"/>
  <c r="AC240" i="25"/>
  <c r="AC239" i="25"/>
  <c r="AC238" i="25"/>
  <c r="AC237" i="25"/>
  <c r="AC236" i="25"/>
  <c r="Y243" i="25"/>
  <c r="Y242" i="25"/>
  <c r="Y241" i="25"/>
  <c r="Y240" i="25"/>
  <c r="Y239" i="25"/>
  <c r="Y238" i="25"/>
  <c r="Y237" i="25"/>
  <c r="Y236" i="25"/>
  <c r="S243" i="25"/>
  <c r="S242" i="25"/>
  <c r="S241" i="25"/>
  <c r="S240" i="25"/>
  <c r="S239" i="25"/>
  <c r="S238" i="25"/>
  <c r="S237" i="25"/>
  <c r="S236" i="25"/>
  <c r="AD288" i="25" l="1"/>
  <c r="AD287" i="25"/>
  <c r="AD286" i="25"/>
  <c r="AD285" i="25"/>
  <c r="AC288" i="25"/>
  <c r="AC287" i="25"/>
  <c r="AC286" i="25"/>
  <c r="AC285" i="25"/>
  <c r="Y288" i="25"/>
  <c r="Y287" i="25"/>
  <c r="Y286" i="25"/>
  <c r="Y285" i="25"/>
  <c r="S288" i="25"/>
  <c r="S287" i="25"/>
  <c r="S286" i="25"/>
  <c r="S285" i="25"/>
  <c r="AD275" i="25" l="1"/>
  <c r="AD274" i="25"/>
  <c r="AD273" i="25"/>
  <c r="AC275" i="25"/>
  <c r="AC274" i="25"/>
  <c r="AC273" i="25"/>
  <c r="Y275" i="25"/>
  <c r="Y274" i="25"/>
  <c r="Y273" i="25"/>
  <c r="S274" i="25"/>
  <c r="S275" i="25"/>
  <c r="S273" i="25"/>
  <c r="AD234" i="25" l="1"/>
  <c r="AD233" i="25"/>
  <c r="AC234" i="25"/>
  <c r="AC233" i="25"/>
  <c r="Y234" i="25"/>
  <c r="Y233" i="25"/>
  <c r="S234" i="25"/>
  <c r="S233" i="25"/>
  <c r="AD227" i="25" l="1"/>
  <c r="AC227" i="25"/>
  <c r="Y227" i="25"/>
  <c r="S227" i="25"/>
  <c r="AD232" i="25" l="1"/>
  <c r="AD231" i="25"/>
  <c r="AD230" i="25"/>
  <c r="AD229" i="25"/>
  <c r="AD228" i="25"/>
  <c r="AC232" i="25"/>
  <c r="AC231" i="25"/>
  <c r="AC230" i="25"/>
  <c r="AC229" i="25"/>
  <c r="AC228" i="25"/>
  <c r="Y232" i="25"/>
  <c r="Y231" i="25"/>
  <c r="Y230" i="25"/>
  <c r="Y229" i="25"/>
  <c r="Y228" i="25"/>
  <c r="S232" i="25"/>
  <c r="S231" i="25"/>
  <c r="S230" i="25"/>
  <c r="S229" i="25"/>
  <c r="S228" i="25"/>
  <c r="AD195" i="25" l="1"/>
  <c r="AD194" i="25"/>
  <c r="AD193" i="25"/>
  <c r="AD192" i="25"/>
  <c r="AD191" i="25"/>
  <c r="AD190" i="25"/>
  <c r="AD189" i="25"/>
  <c r="AD188" i="25"/>
  <c r="AD187" i="25"/>
  <c r="AD186" i="25"/>
  <c r="AC195" i="25"/>
  <c r="AC194" i="25"/>
  <c r="AC193" i="25"/>
  <c r="AC192" i="25"/>
  <c r="AC191" i="25"/>
  <c r="AC190" i="25"/>
  <c r="AC189" i="25"/>
  <c r="AC188" i="25"/>
  <c r="AC187" i="25"/>
  <c r="AC186" i="25"/>
  <c r="Y195" i="25"/>
  <c r="Y194" i="25"/>
  <c r="Y193" i="25"/>
  <c r="Y192" i="25"/>
  <c r="Y191" i="25"/>
  <c r="Y190" i="25"/>
  <c r="Y189" i="25"/>
  <c r="Y188" i="25"/>
  <c r="Y187" i="25"/>
  <c r="Y186" i="25"/>
  <c r="S195" i="25"/>
  <c r="S194" i="25"/>
  <c r="S193" i="25"/>
  <c r="S192" i="25"/>
  <c r="S191" i="25"/>
  <c r="S190" i="25"/>
  <c r="S189" i="25"/>
  <c r="S188" i="25"/>
  <c r="S187" i="25"/>
  <c r="S186" i="25"/>
  <c r="S333" i="25" l="1"/>
  <c r="AD244" i="25"/>
  <c r="AC244" i="25"/>
  <c r="Y244" i="25"/>
  <c r="S244" i="25"/>
  <c r="S221" i="25" l="1"/>
  <c r="S226" i="25" l="1"/>
  <c r="S225" i="25" l="1"/>
  <c r="S224" i="25" l="1"/>
  <c r="S223" i="25"/>
  <c r="S220" i="25" l="1"/>
  <c r="S219" i="25"/>
  <c r="S218" i="25" l="1"/>
  <c r="S217" i="25"/>
  <c r="S216" i="25" l="1"/>
  <c r="S215" i="25"/>
  <c r="S214" i="25" l="1"/>
  <c r="S213" i="25"/>
  <c r="S212" i="25" l="1"/>
  <c r="S211" i="25"/>
  <c r="S210" i="25"/>
  <c r="S209" i="25"/>
  <c r="S208" i="25"/>
  <c r="S207" i="25"/>
  <c r="S206" i="25"/>
  <c r="AD197" i="25" l="1"/>
  <c r="AD198" i="25"/>
  <c r="AD199" i="25"/>
  <c r="AD200" i="25"/>
  <c r="AD201" i="25"/>
  <c r="AD202" i="25"/>
  <c r="AD203" i="25"/>
  <c r="AD204" i="25"/>
  <c r="AD205" i="25"/>
  <c r="AD196" i="25"/>
  <c r="AC197" i="25"/>
  <c r="AC198" i="25"/>
  <c r="AC199" i="25"/>
  <c r="AC200" i="25"/>
  <c r="AC201" i="25"/>
  <c r="AC202" i="25"/>
  <c r="AC203" i="25"/>
  <c r="AC204" i="25"/>
  <c r="AC205" i="25"/>
  <c r="AC196" i="25"/>
  <c r="Y197" i="25"/>
  <c r="Y198" i="25"/>
  <c r="Y199" i="25"/>
  <c r="Y200" i="25"/>
  <c r="Y201" i="25"/>
  <c r="Y202" i="25"/>
  <c r="Y203" i="25"/>
  <c r="Y204" i="25"/>
  <c r="Y205" i="25"/>
  <c r="Y196" i="25"/>
  <c r="S197" i="25"/>
  <c r="S198" i="25"/>
  <c r="S199" i="25"/>
  <c r="S200" i="25"/>
  <c r="S201" i="25"/>
  <c r="S202" i="25"/>
  <c r="S203" i="25"/>
  <c r="S204" i="25"/>
  <c r="S205" i="25"/>
  <c r="S196" i="25"/>
  <c r="S185" i="25" l="1"/>
  <c r="S184" i="25"/>
  <c r="S183" i="25" l="1"/>
  <c r="S182" i="25"/>
  <c r="S181" i="25"/>
  <c r="S180" i="25"/>
  <c r="S179" i="25" l="1"/>
  <c r="S178" i="25" l="1"/>
  <c r="S177" i="25"/>
  <c r="S176" i="25" l="1"/>
  <c r="S175" i="25"/>
  <c r="S174" i="25"/>
  <c r="S173" i="25"/>
  <c r="S172" i="25" l="1"/>
  <c r="S171" i="25" l="1"/>
  <c r="S170" i="25" l="1"/>
  <c r="S169" i="25" l="1"/>
  <c r="S168" i="25"/>
  <c r="S167" i="25"/>
  <c r="S166" i="25" l="1"/>
  <c r="S165" i="25"/>
  <c r="S164" i="25" l="1"/>
  <c r="S163" i="25"/>
  <c r="S162" i="25" l="1"/>
  <c r="S161" i="25"/>
  <c r="S160" i="25" l="1"/>
  <c r="S159" i="25"/>
  <c r="S158" i="25" l="1"/>
  <c r="S157" i="25" l="1"/>
  <c r="S156" i="25"/>
  <c r="S155" i="25"/>
  <c r="S154" i="25"/>
  <c r="S153" i="25"/>
  <c r="S152" i="25"/>
  <c r="S151" i="25"/>
  <c r="S150" i="25" l="1"/>
  <c r="S149" i="25"/>
  <c r="S148" i="25" l="1"/>
  <c r="S147" i="25"/>
  <c r="S146" i="25" l="1"/>
  <c r="S145" i="25"/>
  <c r="S144" i="25"/>
  <c r="S143" i="25"/>
  <c r="S142" i="25" l="1"/>
  <c r="S141" i="25"/>
  <c r="S140" i="25" l="1"/>
  <c r="S139" i="25"/>
  <c r="S138" i="25" l="1"/>
  <c r="S137" i="25"/>
  <c r="S136" i="25" l="1"/>
  <c r="S135" i="25"/>
  <c r="S134" i="25" l="1"/>
  <c r="S133" i="25" l="1"/>
  <c r="S132" i="25"/>
  <c r="S131" i="25"/>
  <c r="S130" i="25"/>
  <c r="S129" i="25" l="1"/>
  <c r="S128" i="25" l="1"/>
  <c r="S127" i="25" l="1"/>
  <c r="S126" i="25"/>
  <c r="S125" i="25"/>
  <c r="S124" i="25"/>
  <c r="S123" i="25" l="1"/>
  <c r="S122" i="25"/>
  <c r="S121" i="25" l="1"/>
  <c r="S120" i="25" l="1"/>
  <c r="S119" i="25" l="1"/>
  <c r="Y118" i="25" l="1"/>
  <c r="Y117" i="25"/>
  <c r="Y116" i="25"/>
  <c r="Y115" i="25"/>
  <c r="Y114" i="25"/>
  <c r="Y113" i="25"/>
  <c r="Y112" i="25"/>
  <c r="Y111" i="25"/>
  <c r="S118" i="25"/>
  <c r="S117" i="25"/>
  <c r="S116" i="25"/>
  <c r="S115" i="25"/>
  <c r="S114" i="25"/>
  <c r="S113" i="25"/>
  <c r="S112" i="25" l="1"/>
  <c r="S111" i="25"/>
  <c r="Y110" i="25" l="1"/>
  <c r="S110" i="25"/>
  <c r="S109" i="25"/>
  <c r="Y109" i="25" l="1"/>
  <c r="Y108" i="25" l="1"/>
  <c r="Y107" i="25"/>
  <c r="S108" i="25"/>
  <c r="S107" i="25"/>
  <c r="Y105" i="25" l="1"/>
  <c r="Y104" i="25"/>
  <c r="Y103" i="25"/>
  <c r="Y102" i="25"/>
  <c r="S105" i="25"/>
  <c r="S104" i="25"/>
  <c r="S103" i="25"/>
  <c r="S102" i="25"/>
  <c r="S97" i="25" l="1"/>
  <c r="S96" i="25"/>
  <c r="Y101" i="25" l="1"/>
  <c r="Y100" i="25"/>
  <c r="Y99" i="25"/>
  <c r="Y98" i="25"/>
  <c r="Y97" i="25"/>
  <c r="Y96" i="25"/>
  <c r="S101" i="25"/>
  <c r="S100" i="25"/>
  <c r="S99" i="25"/>
  <c r="S98" i="25"/>
  <c r="Y95" i="25" l="1"/>
  <c r="Y94" i="25"/>
  <c r="Y93" i="25"/>
  <c r="Y92" i="25"/>
  <c r="S95" i="25"/>
  <c r="S94" i="25"/>
  <c r="S93" i="25"/>
  <c r="S92" i="25"/>
  <c r="Y91" i="25" l="1"/>
  <c r="S91" i="25"/>
  <c r="Y90" i="25" l="1"/>
  <c r="Y89" i="25"/>
  <c r="Y88" i="25"/>
  <c r="Y87" i="25"/>
  <c r="S90" i="25"/>
  <c r="S89" i="25"/>
  <c r="S88" i="25"/>
  <c r="S87" i="25"/>
  <c r="Y86" i="25" l="1"/>
  <c r="Y85" i="25"/>
  <c r="S86" i="25"/>
  <c r="S85" i="25"/>
  <c r="AD84" i="25" l="1"/>
  <c r="AD83" i="25"/>
  <c r="Y84" i="25"/>
  <c r="Y83" i="25"/>
  <c r="S84" i="25"/>
  <c r="S83" i="25"/>
  <c r="Y82" i="25" l="1"/>
  <c r="Y81" i="25"/>
  <c r="Y80" i="25"/>
  <c r="Y79" i="25"/>
  <c r="Y78" i="25"/>
  <c r="Y77" i="25"/>
  <c r="S82" i="25"/>
  <c r="S81" i="25"/>
  <c r="S80" i="25"/>
  <c r="S79" i="25"/>
  <c r="S78" i="25"/>
  <c r="S77" i="25"/>
  <c r="AD76" i="25" l="1"/>
  <c r="AD75" i="25"/>
  <c r="Y76" i="25"/>
  <c r="Y75" i="25"/>
  <c r="Y74" i="25"/>
  <c r="Y73" i="25"/>
  <c r="S76" i="25"/>
  <c r="S75" i="25"/>
  <c r="S74" i="25" l="1"/>
  <c r="S73" i="25"/>
  <c r="Y72" i="25" l="1"/>
  <c r="Y71" i="25"/>
  <c r="S72" i="25"/>
  <c r="S71" i="25"/>
  <c r="Y70" i="25" l="1"/>
  <c r="Y69" i="25"/>
  <c r="S70" i="25"/>
  <c r="S69" i="25"/>
  <c r="S68" i="25" l="1"/>
  <c r="S67" i="25"/>
  <c r="S66" i="25" l="1"/>
  <c r="S65" i="25"/>
  <c r="S64" i="25" l="1"/>
  <c r="S63" i="25" l="1"/>
  <c r="S62" i="25" l="1"/>
  <c r="S61" i="25"/>
  <c r="S60" i="25"/>
  <c r="S59" i="25" l="1"/>
  <c r="S58" i="25"/>
  <c r="S57" i="25"/>
  <c r="S56" i="25"/>
  <c r="S55" i="25" l="1"/>
  <c r="S53" i="25" l="1"/>
  <c r="S52" i="25"/>
  <c r="S51" i="25"/>
  <c r="S50" i="25"/>
  <c r="S54" i="25"/>
  <c r="AC42" i="25" l="1"/>
  <c r="AD226" i="25" l="1"/>
  <c r="AC226" i="25"/>
  <c r="Y226" i="25"/>
  <c r="AD225" i="25" l="1"/>
  <c r="AC225" i="25"/>
  <c r="Y225" i="25"/>
  <c r="AD224" i="25" l="1"/>
  <c r="AD223" i="25"/>
  <c r="AC224" i="25"/>
  <c r="AC223" i="25"/>
  <c r="Y224" i="25"/>
  <c r="Y223" i="25"/>
  <c r="AD218" i="25" l="1"/>
  <c r="AD217" i="25"/>
  <c r="AC218" i="25"/>
  <c r="AC217" i="25"/>
  <c r="Y218" i="25"/>
  <c r="Y217" i="25"/>
  <c r="AD207" i="25" l="1"/>
  <c r="AD208" i="25"/>
  <c r="AD209" i="25"/>
  <c r="AD210" i="25"/>
  <c r="AD211" i="25"/>
  <c r="AD206" i="25"/>
  <c r="AC207" i="25"/>
  <c r="AC208" i="25"/>
  <c r="AC209" i="25"/>
  <c r="AC210" i="25"/>
  <c r="AC211" i="25"/>
  <c r="AC206" i="25"/>
  <c r="Y207" i="25"/>
  <c r="Y208" i="25"/>
  <c r="Y209" i="25"/>
  <c r="Y210" i="25"/>
  <c r="Y211" i="25"/>
  <c r="Y206" i="25"/>
  <c r="AD183" i="25" l="1"/>
  <c r="AD182" i="25"/>
  <c r="AD181" i="25"/>
  <c r="AD180" i="25"/>
  <c r="AC183" i="25"/>
  <c r="AC182" i="25"/>
  <c r="AC181" i="25"/>
  <c r="AC180" i="25"/>
  <c r="Y183" i="25"/>
  <c r="Y182" i="25"/>
  <c r="Y181" i="25"/>
  <c r="Y180" i="25"/>
  <c r="AD178" i="25" l="1"/>
  <c r="AD177" i="25"/>
  <c r="AC178" i="25"/>
  <c r="AC177" i="25"/>
  <c r="Y178" i="25"/>
  <c r="Y177" i="25"/>
  <c r="AD127" i="25" l="1"/>
  <c r="AD126" i="25"/>
  <c r="AD125" i="25"/>
  <c r="AD124" i="25"/>
  <c r="AC127" i="25"/>
  <c r="AC126" i="25"/>
  <c r="AC125" i="25"/>
  <c r="AC124" i="25"/>
  <c r="Y127" i="25"/>
  <c r="Y126" i="25"/>
  <c r="Y125" i="25"/>
  <c r="Y124" i="25"/>
  <c r="AD109" i="25" l="1"/>
  <c r="AC109" i="25"/>
  <c r="AD221" i="25" l="1"/>
  <c r="AD216" i="25"/>
  <c r="AD215" i="25"/>
  <c r="AD214" i="25"/>
  <c r="AD213" i="25"/>
  <c r="AD212" i="25"/>
  <c r="AD185" i="25"/>
  <c r="AD184" i="25"/>
  <c r="AD179" i="25"/>
  <c r="AD130" i="25"/>
  <c r="AD131" i="25"/>
  <c r="AD132" i="25"/>
  <c r="AD133" i="25"/>
  <c r="AD134" i="25"/>
  <c r="AD135" i="25"/>
  <c r="AD136" i="25"/>
  <c r="AD137" i="25"/>
  <c r="AD138" i="25"/>
  <c r="AD139" i="25"/>
  <c r="AD140" i="25"/>
  <c r="AD141" i="25"/>
  <c r="AD142" i="25"/>
  <c r="AD143" i="25"/>
  <c r="AD144" i="25"/>
  <c r="AD145" i="25"/>
  <c r="AD146" i="25"/>
  <c r="AD147" i="25"/>
  <c r="AD148" i="25"/>
  <c r="AD149" i="25"/>
  <c r="AD150" i="25"/>
  <c r="AD151" i="25"/>
  <c r="AD152" i="25"/>
  <c r="AD153" i="25"/>
  <c r="AD154" i="25"/>
  <c r="AD155" i="25"/>
  <c r="AD156" i="25"/>
  <c r="AD157" i="25"/>
  <c r="AD158" i="25"/>
  <c r="AD159" i="25"/>
  <c r="AD160" i="25"/>
  <c r="AD161" i="25"/>
  <c r="AD162" i="25"/>
  <c r="AD163" i="25"/>
  <c r="AD164" i="25"/>
  <c r="AD165" i="25"/>
  <c r="AD166" i="25"/>
  <c r="AD167" i="25"/>
  <c r="AD168" i="25"/>
  <c r="AD169" i="25"/>
  <c r="AD170" i="25"/>
  <c r="AD171" i="25"/>
  <c r="AD172" i="25"/>
  <c r="AD173" i="25"/>
  <c r="AD174" i="25"/>
  <c r="AD175" i="25"/>
  <c r="AD176" i="25"/>
  <c r="AD123" i="25"/>
  <c r="AD122" i="25"/>
  <c r="AD121" i="25"/>
  <c r="AD120" i="25"/>
  <c r="AD119" i="25"/>
  <c r="AD112" i="25"/>
  <c r="AD111" i="25"/>
  <c r="AC221" i="25"/>
  <c r="AC216" i="25"/>
  <c r="AC215" i="25"/>
  <c r="AC214" i="25"/>
  <c r="AC213" i="25"/>
  <c r="AC212" i="25"/>
  <c r="AC185" i="25"/>
  <c r="AC184" i="25"/>
  <c r="AC179" i="25"/>
  <c r="AC134" i="25"/>
  <c r="AC135" i="25"/>
  <c r="AC136" i="25"/>
  <c r="AC137" i="25"/>
  <c r="AC138" i="25"/>
  <c r="AC139" i="25"/>
  <c r="AC140" i="25"/>
  <c r="AC141" i="25"/>
  <c r="AC142" i="25"/>
  <c r="AC143" i="25"/>
  <c r="AC144" i="25"/>
  <c r="AC145" i="25"/>
  <c r="AC146" i="25"/>
  <c r="AC147" i="25"/>
  <c r="AC148" i="25"/>
  <c r="AC149" i="25"/>
  <c r="AC150" i="25"/>
  <c r="AC151" i="25"/>
  <c r="AC152" i="25"/>
  <c r="AC153" i="25"/>
  <c r="AC154" i="25"/>
  <c r="AC155" i="25"/>
  <c r="AC156" i="25"/>
  <c r="AC157" i="25"/>
  <c r="AC158" i="25"/>
  <c r="AC159" i="25"/>
  <c r="AC160" i="25"/>
  <c r="AC161" i="25"/>
  <c r="AC162" i="25"/>
  <c r="AC163" i="25"/>
  <c r="AC164" i="25"/>
  <c r="AC165" i="25"/>
  <c r="AC166" i="25"/>
  <c r="AC167" i="25"/>
  <c r="AC168" i="25"/>
  <c r="AC169" i="25"/>
  <c r="AC170" i="25"/>
  <c r="AC171" i="25"/>
  <c r="AC172" i="25"/>
  <c r="AC173" i="25"/>
  <c r="AC174" i="25"/>
  <c r="AC175" i="25"/>
  <c r="AC176" i="25"/>
  <c r="AC133" i="25"/>
  <c r="AC132" i="25"/>
  <c r="AC131" i="25"/>
  <c r="AC130" i="25"/>
  <c r="AC123" i="25"/>
  <c r="AC122" i="25"/>
  <c r="AC121" i="25"/>
  <c r="AC120" i="25"/>
  <c r="AC119" i="25"/>
  <c r="AC112" i="25"/>
  <c r="AC111" i="25"/>
  <c r="Y221" i="25"/>
  <c r="Y216" i="25"/>
  <c r="Y215" i="25"/>
  <c r="Y219" i="25"/>
  <c r="Y214" i="25"/>
  <c r="Y213" i="25"/>
  <c r="Y212" i="25"/>
  <c r="Y185" i="25"/>
  <c r="Y184" i="25"/>
  <c r="Y179" i="25"/>
  <c r="Y143" i="25"/>
  <c r="Y144" i="25"/>
  <c r="Y145" i="25"/>
  <c r="Y146" i="25"/>
  <c r="Y147" i="25"/>
  <c r="Y148" i="25"/>
  <c r="Y149" i="25"/>
  <c r="Y150" i="25"/>
  <c r="Y151" i="25"/>
  <c r="Y152" i="25"/>
  <c r="Y153" i="25"/>
  <c r="Y154" i="25"/>
  <c r="Y155" i="25"/>
  <c r="Y156" i="25"/>
  <c r="Y157" i="25"/>
  <c r="Y158" i="25"/>
  <c r="Y159" i="25"/>
  <c r="Y160" i="25"/>
  <c r="Y161" i="25"/>
  <c r="Y162" i="25"/>
  <c r="Y163" i="25"/>
  <c r="Y164" i="25"/>
  <c r="Y165" i="25"/>
  <c r="Y166" i="25"/>
  <c r="Y167" i="25"/>
  <c r="Y168" i="25"/>
  <c r="Y169" i="25"/>
  <c r="Y170" i="25"/>
  <c r="Y171" i="25"/>
  <c r="Y172" i="25"/>
  <c r="Y173" i="25"/>
  <c r="Y174" i="25"/>
  <c r="Y175" i="25"/>
  <c r="Y176" i="25"/>
  <c r="Y142" i="25"/>
  <c r="Y141" i="25"/>
  <c r="Y140" i="25"/>
  <c r="Y139" i="25"/>
  <c r="Y138" i="25"/>
  <c r="Y137" i="25"/>
  <c r="Y136" i="25"/>
  <c r="Y135" i="25"/>
  <c r="Y134" i="25"/>
  <c r="Y133" i="25"/>
  <c r="Y132" i="25"/>
  <c r="Y131" i="25"/>
  <c r="Y130" i="25"/>
  <c r="Y123" i="25"/>
  <c r="Y122" i="25"/>
  <c r="Y121" i="25"/>
  <c r="Y120" i="25"/>
  <c r="Y119" i="25"/>
  <c r="AD128" i="25" l="1"/>
  <c r="AC128" i="25"/>
  <c r="Y128" i="25"/>
  <c r="AD110" i="25" l="1"/>
  <c r="AC110" i="25"/>
  <c r="AD220" i="25" l="1"/>
  <c r="AD219" i="25"/>
  <c r="AD129" i="25"/>
  <c r="AC220" i="25"/>
  <c r="AC219" i="25"/>
  <c r="Y220" i="25"/>
  <c r="AC129" i="25" l="1"/>
  <c r="Y129" i="25"/>
  <c r="AD118" i="25" l="1"/>
  <c r="AD117" i="25"/>
  <c r="AD116" i="25"/>
  <c r="AD115" i="25"/>
  <c r="AD114" i="25"/>
  <c r="AD113" i="25"/>
  <c r="AC118" i="25"/>
  <c r="AC117" i="25"/>
  <c r="AC116" i="25"/>
  <c r="AC115" i="25"/>
  <c r="AC114" i="25"/>
  <c r="AC113" i="25"/>
  <c r="AD108" i="25" l="1"/>
  <c r="AD107" i="25"/>
  <c r="AC108" i="25"/>
  <c r="AC107" i="25"/>
  <c r="AD101" i="25" l="1"/>
  <c r="AD100" i="25"/>
  <c r="AD99" i="25"/>
  <c r="AD98" i="25"/>
  <c r="AC101" i="25"/>
  <c r="AC100" i="25"/>
  <c r="AC99" i="25"/>
  <c r="AC98" i="25"/>
  <c r="AD97" i="25" l="1"/>
  <c r="AD96" i="25"/>
  <c r="AC97" i="25"/>
  <c r="AC96" i="25"/>
  <c r="AD95" i="25" l="1"/>
  <c r="AD94" i="25"/>
  <c r="AD93" i="25"/>
  <c r="AD92" i="25"/>
  <c r="AC95" i="25"/>
  <c r="AC94" i="25"/>
  <c r="AC93" i="25"/>
  <c r="AC92" i="25"/>
  <c r="AD91" i="25" l="1"/>
  <c r="AC91" i="25"/>
  <c r="AD90" i="25" l="1"/>
  <c r="AD89" i="25"/>
  <c r="AD88" i="25"/>
  <c r="AD87" i="25"/>
  <c r="AD86" i="25"/>
  <c r="AC90" i="25"/>
  <c r="AC89" i="25"/>
  <c r="AC88" i="25"/>
  <c r="AC87" i="25"/>
  <c r="AD85" i="25" l="1"/>
  <c r="AC86" i="25"/>
  <c r="AC85" i="25"/>
  <c r="AC84" i="25" l="1"/>
  <c r="AC83" i="25"/>
  <c r="AD105" i="25" l="1"/>
  <c r="AD104" i="25"/>
  <c r="AD103" i="25"/>
  <c r="AD102" i="25"/>
  <c r="AC105" i="25"/>
  <c r="AC104" i="25"/>
  <c r="AC103" i="25"/>
  <c r="AC102" i="25"/>
  <c r="N37" i="28" l="1"/>
  <c r="M37" i="28"/>
  <c r="L37" i="28"/>
  <c r="K37" i="28"/>
  <c r="I37" i="28"/>
  <c r="H37" i="28"/>
  <c r="P37" i="28"/>
  <c r="O37" i="28"/>
  <c r="X37" i="28"/>
  <c r="W37" i="28"/>
  <c r="V37" i="28"/>
  <c r="S37" i="28"/>
  <c r="R37" i="28"/>
  <c r="Q37" i="28"/>
  <c r="U36" i="28"/>
  <c r="T36" i="28"/>
  <c r="P36" i="28"/>
  <c r="U35" i="28"/>
  <c r="T35" i="28"/>
  <c r="P35" i="28"/>
  <c r="U34" i="28"/>
  <c r="T34" i="28"/>
  <c r="P34" i="28"/>
  <c r="U33" i="28"/>
  <c r="T33" i="28"/>
  <c r="P33" i="28"/>
  <c r="U32" i="28"/>
  <c r="T32" i="28"/>
  <c r="P32" i="28"/>
  <c r="U31" i="28"/>
  <c r="T31" i="28"/>
  <c r="P31" i="28"/>
  <c r="U30" i="28"/>
  <c r="T30" i="28"/>
  <c r="P30" i="28"/>
  <c r="J30" i="28"/>
  <c r="U29" i="28"/>
  <c r="T29" i="28"/>
  <c r="P29" i="28"/>
  <c r="U28" i="28"/>
  <c r="T28" i="28"/>
  <c r="P28" i="28"/>
  <c r="J28" i="28"/>
  <c r="U27" i="28"/>
  <c r="T27" i="28"/>
  <c r="P27" i="28"/>
  <c r="U26" i="28"/>
  <c r="T26" i="28"/>
  <c r="P26" i="28"/>
  <c r="J26" i="28"/>
  <c r="U25" i="28"/>
  <c r="T25" i="28"/>
  <c r="P25" i="28"/>
  <c r="J25" i="28"/>
  <c r="U24" i="28"/>
  <c r="T24" i="28"/>
  <c r="P24" i="28"/>
  <c r="J24" i="28"/>
  <c r="U23" i="28"/>
  <c r="T23" i="28"/>
  <c r="P23" i="28"/>
  <c r="U22" i="28"/>
  <c r="T22" i="28"/>
  <c r="P22" i="28"/>
  <c r="J22" i="28"/>
  <c r="U21" i="28"/>
  <c r="T21" i="28"/>
  <c r="P21" i="28"/>
  <c r="U20" i="28"/>
  <c r="T20" i="28"/>
  <c r="P20" i="28"/>
  <c r="J20" i="28"/>
  <c r="U19" i="28"/>
  <c r="T19" i="28"/>
  <c r="P19" i="28"/>
  <c r="J19" i="28"/>
  <c r="U18" i="28"/>
  <c r="T18" i="28"/>
  <c r="P18" i="28"/>
  <c r="J18" i="28"/>
  <c r="U17" i="28"/>
  <c r="T17" i="28"/>
  <c r="J17" i="28"/>
  <c r="U16" i="28"/>
  <c r="T16" i="28"/>
  <c r="J16" i="28"/>
  <c r="U15" i="28"/>
  <c r="T15" i="28"/>
  <c r="P15" i="28"/>
  <c r="U14" i="28"/>
  <c r="T14" i="28"/>
  <c r="P14" i="28"/>
  <c r="U13" i="28"/>
  <c r="T13" i="28"/>
  <c r="P13" i="28"/>
  <c r="J13" i="28"/>
  <c r="U12" i="28"/>
  <c r="T12" i="28"/>
  <c r="P12" i="28"/>
  <c r="J12" i="28"/>
  <c r="U11" i="28"/>
  <c r="T11" i="28"/>
  <c r="M11" i="28"/>
  <c r="P11" i="28" s="1"/>
  <c r="J11" i="28"/>
  <c r="U10" i="28"/>
  <c r="T10" i="28"/>
  <c r="P10" i="28"/>
  <c r="J10" i="28"/>
  <c r="U9" i="28"/>
  <c r="T9" i="28"/>
  <c r="M9" i="28"/>
  <c r="P9" i="28" s="1"/>
  <c r="U8" i="28"/>
  <c r="T8" i="28"/>
  <c r="M8" i="28"/>
  <c r="P8" i="28" s="1"/>
  <c r="J8" i="28"/>
  <c r="U7" i="28"/>
  <c r="T7" i="28"/>
  <c r="M7" i="28"/>
  <c r="P7" i="28" s="1"/>
  <c r="U6" i="28"/>
  <c r="T6" i="28"/>
  <c r="M6" i="28"/>
  <c r="J6" i="28"/>
  <c r="U5" i="28"/>
  <c r="T5" i="28"/>
  <c r="P5" i="28"/>
  <c r="J5" i="28"/>
  <c r="U4" i="28"/>
  <c r="T4" i="28"/>
  <c r="P4" i="28"/>
  <c r="J4" i="28"/>
  <c r="U3" i="28"/>
  <c r="T3" i="28"/>
  <c r="P3" i="28"/>
  <c r="J3" i="28"/>
  <c r="G19" i="27"/>
  <c r="AD82" i="25"/>
  <c r="AD81" i="25"/>
  <c r="AD80" i="25"/>
  <c r="AD79" i="25"/>
  <c r="AD78" i="25"/>
  <c r="AD77" i="25"/>
  <c r="AC82" i="25"/>
  <c r="AC81" i="25"/>
  <c r="AC80" i="25"/>
  <c r="AC79" i="25"/>
  <c r="AC78" i="25"/>
  <c r="AC77" i="25"/>
  <c r="P6" i="28" l="1"/>
  <c r="U37" i="28"/>
  <c r="J37" i="28"/>
  <c r="T37" i="28"/>
  <c r="AC76" i="25"/>
  <c r="AC75" i="25"/>
  <c r="AD74" i="25" l="1"/>
  <c r="AD73" i="25"/>
  <c r="AC74" i="25"/>
  <c r="AC73" i="25"/>
  <c r="AD72" i="25" l="1"/>
  <c r="AD71" i="25"/>
  <c r="AC72" i="25"/>
  <c r="AC71" i="25"/>
  <c r="AD70" i="25" l="1"/>
  <c r="AD69" i="25"/>
  <c r="AC70" i="25"/>
  <c r="AC69" i="25"/>
  <c r="AD68" i="25" l="1"/>
  <c r="AD67" i="25"/>
  <c r="AC68" i="25"/>
  <c r="AC67" i="25"/>
  <c r="Y68" i="25"/>
  <c r="Y67" i="25"/>
  <c r="AD66" i="25" l="1"/>
  <c r="AD65" i="25"/>
  <c r="AC66" i="25"/>
  <c r="AC65" i="25"/>
  <c r="Y66" i="25"/>
  <c r="Y65" i="25"/>
  <c r="AD64" i="25" l="1"/>
  <c r="AC64" i="25"/>
  <c r="Y64" i="25"/>
  <c r="AD63" i="25" l="1"/>
  <c r="AC63" i="25"/>
  <c r="Y63" i="25"/>
  <c r="AD62" i="25" l="1"/>
  <c r="AD61" i="25"/>
  <c r="AC62" i="25"/>
  <c r="AC61" i="25"/>
  <c r="Y62" i="25"/>
  <c r="Y61" i="25"/>
  <c r="AD60" i="25" l="1"/>
  <c r="AC60" i="25"/>
  <c r="Y60" i="25"/>
  <c r="AD59" i="25" l="1"/>
  <c r="AD58" i="25"/>
  <c r="AD57" i="25"/>
  <c r="AD56" i="25"/>
  <c r="AC59" i="25"/>
  <c r="AC58" i="25"/>
  <c r="AC57" i="25"/>
  <c r="AC56" i="25"/>
  <c r="Y59" i="25"/>
  <c r="Y58" i="25"/>
  <c r="Y57" i="25"/>
  <c r="Y56" i="25"/>
  <c r="AD55" i="25" l="1"/>
  <c r="AC55" i="25"/>
  <c r="Y55" i="25"/>
  <c r="AD54" i="25" l="1"/>
  <c r="AC54" i="25"/>
  <c r="Y54" i="25"/>
  <c r="AD53" i="25" l="1"/>
  <c r="AD52" i="25"/>
  <c r="AD51" i="25"/>
  <c r="AD50" i="25"/>
  <c r="AC53" i="25"/>
  <c r="AC52" i="25"/>
  <c r="AC51" i="25"/>
  <c r="AC50" i="25"/>
  <c r="Y53" i="25"/>
  <c r="Y52" i="25"/>
  <c r="Y51" i="25"/>
  <c r="Y50" i="25"/>
  <c r="AD43" i="25" l="1"/>
  <c r="AC43" i="25"/>
  <c r="Y43" i="25"/>
  <c r="S43" i="25"/>
  <c r="AD42" i="25" l="1"/>
  <c r="Y42" i="25"/>
  <c r="S42" i="25"/>
  <c r="AD40" i="25" l="1"/>
  <c r="AD41" i="25"/>
  <c r="AC40" i="25"/>
  <c r="AC41" i="25"/>
  <c r="Y40" i="25"/>
  <c r="Y41" i="25"/>
  <c r="S40" i="25"/>
  <c r="S41" i="25"/>
  <c r="AD39" i="25" l="1"/>
  <c r="AD38" i="25"/>
  <c r="AC39" i="25"/>
  <c r="AC38" i="25"/>
  <c r="Y39" i="25"/>
  <c r="Y38" i="25"/>
  <c r="S39" i="25"/>
  <c r="S38" i="25"/>
  <c r="AD37" i="25" l="1"/>
  <c r="AC37" i="25"/>
  <c r="Y37" i="25"/>
  <c r="S37" i="25"/>
  <c r="AD35" i="25" l="1"/>
  <c r="AD34" i="25"/>
  <c r="AD33" i="25"/>
  <c r="AD32" i="25"/>
  <c r="AC35" i="25"/>
  <c r="AC34" i="25"/>
  <c r="AC33" i="25"/>
  <c r="AC32" i="25"/>
  <c r="Y35" i="25"/>
  <c r="Y34" i="25"/>
  <c r="Y33" i="25"/>
  <c r="Y32" i="25"/>
  <c r="S34" i="25"/>
  <c r="S32" i="25"/>
  <c r="E37" i="26" l="1"/>
  <c r="AD36" i="25"/>
  <c r="AC36" i="25"/>
  <c r="Y36" i="25"/>
  <c r="S36" i="25"/>
  <c r="AD21" i="25" l="1"/>
  <c r="AD20" i="25"/>
  <c r="AD19" i="25"/>
  <c r="AD18" i="25"/>
  <c r="AD17" i="25"/>
  <c r="AD16" i="25"/>
  <c r="AC21" i="25"/>
  <c r="AC20" i="25"/>
  <c r="AC19" i="25"/>
  <c r="AC18" i="25"/>
  <c r="AC17" i="25"/>
  <c r="AC16" i="25"/>
  <c r="Y21" i="25"/>
  <c r="Y20" i="25"/>
  <c r="Y19" i="25"/>
  <c r="Y18" i="25"/>
  <c r="Y17" i="25"/>
  <c r="Y16" i="25"/>
  <c r="S19" i="25"/>
  <c r="S16" i="25"/>
  <c r="S11" i="25" l="1"/>
  <c r="S28" i="25"/>
  <c r="S26" i="25"/>
  <c r="S10" i="25"/>
  <c r="S4" i="25"/>
  <c r="S3" i="25"/>
  <c r="S5" i="25"/>
  <c r="S8" i="25"/>
  <c r="S6" i="25"/>
  <c r="S25" i="25"/>
  <c r="S24" i="25"/>
  <c r="S23" i="25"/>
  <c r="S22" i="25"/>
  <c r="S13" i="25"/>
  <c r="S12" i="25"/>
  <c r="S31" i="25"/>
  <c r="S30" i="25"/>
  <c r="Y10" i="25" l="1"/>
  <c r="Y5" i="25"/>
  <c r="Y4" i="25"/>
  <c r="Y3" i="25"/>
  <c r="AD3" i="25" l="1"/>
  <c r="AD31" i="25"/>
  <c r="AD30" i="25"/>
  <c r="AD29" i="25"/>
  <c r="AD28" i="25"/>
  <c r="AD27" i="25"/>
  <c r="AD26" i="25"/>
  <c r="AD25" i="25"/>
  <c r="AD24" i="25"/>
  <c r="AD23" i="25"/>
  <c r="AD22" i="25"/>
  <c r="AD15" i="25"/>
  <c r="AD14" i="25"/>
  <c r="AD13" i="25"/>
  <c r="AD12" i="25"/>
  <c r="AD11" i="25"/>
  <c r="AD10" i="25"/>
  <c r="AD9" i="25"/>
  <c r="AD8" i="25"/>
  <c r="AD7" i="25"/>
  <c r="AD6" i="25"/>
  <c r="AD5" i="25"/>
  <c r="AD4" i="25"/>
  <c r="Y29" i="25"/>
  <c r="Y28" i="25"/>
  <c r="Y27" i="25"/>
  <c r="Y26" i="25"/>
  <c r="Y31" i="25" l="1"/>
  <c r="Y30" i="25"/>
  <c r="Y15" i="25" l="1"/>
  <c r="Y14" i="25"/>
  <c r="Y13" i="25"/>
  <c r="Y12" i="25"/>
  <c r="Y25" i="25" l="1"/>
  <c r="Y24" i="25"/>
  <c r="V11" i="25" l="1"/>
  <c r="Y11" i="25" s="1"/>
  <c r="V9" i="25"/>
  <c r="Y9" i="25" s="1"/>
  <c r="V8" i="25"/>
  <c r="Y8" i="25" s="1"/>
  <c r="V7" i="25"/>
  <c r="Y7" i="25" s="1"/>
  <c r="V6" i="25"/>
  <c r="V333" i="25" s="1"/>
  <c r="Y333" i="25" l="1"/>
  <c r="Y6" i="25"/>
  <c r="F4" i="26" l="1"/>
  <c r="F5" i="26"/>
  <c r="F6" i="26"/>
  <c r="F7" i="26"/>
  <c r="F8" i="26"/>
  <c r="F9" i="26"/>
  <c r="F10" i="26"/>
  <c r="F11" i="26"/>
  <c r="F12" i="26"/>
  <c r="F13" i="26"/>
  <c r="F14" i="26"/>
  <c r="F15" i="26"/>
  <c r="F26" i="26"/>
  <c r="F27" i="26"/>
  <c r="F28" i="26"/>
  <c r="F29" i="26"/>
  <c r="F30" i="26"/>
  <c r="F31" i="26"/>
  <c r="F16" i="26"/>
  <c r="F17" i="26"/>
  <c r="F18" i="26"/>
  <c r="F19" i="26"/>
  <c r="F20" i="26"/>
  <c r="F21" i="26"/>
  <c r="F22" i="26"/>
  <c r="F23" i="26"/>
  <c r="F24" i="26"/>
  <c r="F25" i="26"/>
  <c r="F33" i="26"/>
  <c r="F34" i="26"/>
  <c r="F35" i="26"/>
  <c r="F36" i="26"/>
  <c r="F3" i="26"/>
  <c r="AC29" i="25"/>
  <c r="AC28" i="25"/>
  <c r="AC27" i="25"/>
  <c r="AC26" i="25"/>
  <c r="F37" i="26" l="1"/>
  <c r="AC31" i="25"/>
  <c r="AC30" i="25"/>
  <c r="AC15" i="25" l="1"/>
  <c r="AC14" i="25"/>
  <c r="AC13" i="25"/>
  <c r="AC12" i="25"/>
  <c r="AC23" i="25" l="1"/>
  <c r="AC22" i="25"/>
  <c r="AC25" i="25"/>
  <c r="AC24" i="25" l="1"/>
  <c r="AC11" i="25" l="1"/>
  <c r="AC10" i="25"/>
  <c r="AC9" i="25"/>
  <c r="AC8" i="25"/>
  <c r="AC7" i="25"/>
  <c r="AC6" i="25"/>
  <c r="AC5" i="25"/>
  <c r="AC4" i="25"/>
  <c r="AC3" i="25"/>
  <c r="AA11" i="24"/>
  <c r="AC333" i="25" l="1"/>
  <c r="AA6" i="24"/>
  <c r="AA7" i="24"/>
  <c r="AA8" i="24"/>
  <c r="AA9" i="24"/>
  <c r="AA10" i="24"/>
  <c r="AA5" i="24" l="1"/>
  <c r="AA4" i="24" l="1"/>
  <c r="AA3" i="24"/>
  <c r="Z65" i="23" l="1"/>
  <c r="AI163" i="21" l="1"/>
  <c r="AH163" i="21"/>
  <c r="AG163" i="21"/>
  <c r="Z56" i="23" l="1"/>
  <c r="Z55" i="23"/>
  <c r="Z54" i="23"/>
  <c r="Z53" i="23"/>
  <c r="Z61" i="23"/>
  <c r="Z60" i="23" l="1"/>
  <c r="Z59" i="23"/>
  <c r="Z58" i="23"/>
  <c r="Z57" i="23"/>
  <c r="Q4" i="23" l="1"/>
  <c r="Q3" i="23"/>
  <c r="Z4" i="23" l="1"/>
  <c r="Z3" i="23"/>
  <c r="Z47" i="23" l="1"/>
  <c r="Q47" i="23"/>
  <c r="Q48" i="23"/>
  <c r="Q49" i="23"/>
  <c r="Q50" i="23"/>
  <c r="Q51" i="23"/>
  <c r="Q52" i="23"/>
  <c r="Z46" i="23"/>
  <c r="Q46" i="23"/>
  <c r="Z36" i="23"/>
  <c r="Z37" i="23"/>
  <c r="Z38" i="23"/>
  <c r="Z39" i="23"/>
  <c r="Z40" i="23"/>
  <c r="Z41" i="23"/>
  <c r="Z42" i="23"/>
  <c r="Z43" i="23"/>
  <c r="Z44" i="23"/>
  <c r="Z45" i="23"/>
  <c r="Z35" i="23"/>
  <c r="Q36" i="23"/>
  <c r="Q37" i="23"/>
  <c r="Q38" i="23"/>
  <c r="Q39" i="23"/>
  <c r="Q40" i="23"/>
  <c r="Q41" i="23"/>
  <c r="Q42" i="23"/>
  <c r="Q43" i="23"/>
  <c r="Q44" i="23"/>
  <c r="Q45" i="23"/>
  <c r="Q35" i="23"/>
  <c r="Z33" i="23" l="1"/>
  <c r="Q33" i="23"/>
  <c r="Z32" i="23"/>
  <c r="Z31" i="23"/>
  <c r="Z30" i="23"/>
  <c r="Z29" i="23" l="1"/>
  <c r="Z26" i="23"/>
  <c r="Z25" i="23"/>
  <c r="Z24" i="23"/>
  <c r="Z23" i="23"/>
  <c r="Z28" i="23" l="1"/>
  <c r="Z27" i="23"/>
  <c r="Q22" i="23" l="1"/>
  <c r="Q21" i="23"/>
  <c r="Z22" i="23"/>
  <c r="Z21" i="23"/>
  <c r="Z20" i="23"/>
  <c r="Z18" i="23" l="1"/>
  <c r="Z19" i="23"/>
  <c r="Z17" i="23" l="1"/>
  <c r="Z16" i="23"/>
  <c r="Z14" i="23" l="1"/>
  <c r="Z13" i="23"/>
  <c r="X12" i="23"/>
  <c r="Z12" i="23"/>
  <c r="Z11" i="23"/>
  <c r="Z10" i="23"/>
  <c r="Z9" i="23"/>
  <c r="Z7" i="23"/>
  <c r="Z8" i="23"/>
  <c r="Z169" i="21" l="1"/>
  <c r="Z168" i="21"/>
  <c r="Z144" i="21" l="1"/>
  <c r="Z145" i="21"/>
  <c r="Z146" i="21"/>
  <c r="Z147" i="21"/>
  <c r="Z148" i="21"/>
  <c r="Z149" i="21"/>
  <c r="Z150" i="21"/>
  <c r="Z151" i="21"/>
  <c r="Z152" i="21"/>
  <c r="Z153" i="21"/>
  <c r="Z154" i="21"/>
  <c r="Z155" i="21"/>
  <c r="Z156" i="21"/>
  <c r="Z157" i="21"/>
  <c r="Z158" i="21"/>
  <c r="Z159" i="21"/>
  <c r="Z160" i="21"/>
  <c r="Z161" i="21"/>
  <c r="Z162" i="21"/>
  <c r="Z163" i="21"/>
  <c r="Z164" i="21"/>
  <c r="Z165" i="21"/>
  <c r="Z166" i="21"/>
  <c r="Z167" i="21"/>
  <c r="Z143" i="21"/>
  <c r="Z138" i="21" l="1"/>
  <c r="F27" i="22" l="1"/>
  <c r="F32" i="22" s="1"/>
  <c r="F38" i="22" s="1"/>
  <c r="F42" i="22" s="1"/>
  <c r="AF131" i="21"/>
  <c r="AF132" i="21"/>
  <c r="AF133" i="21"/>
  <c r="AF124" i="21"/>
  <c r="AF125" i="21"/>
  <c r="AF126" i="21"/>
  <c r="AF127" i="21"/>
  <c r="AF128" i="21"/>
  <c r="AF129" i="21"/>
  <c r="AF130" i="21"/>
  <c r="AF123" i="21"/>
  <c r="Z130" i="21" l="1"/>
  <c r="Z131" i="21"/>
  <c r="Z132" i="21"/>
  <c r="Z133" i="21"/>
  <c r="Z126" i="21" l="1"/>
  <c r="Z127" i="21"/>
  <c r="Z128" i="21"/>
  <c r="Z129" i="21"/>
  <c r="Z123" i="21" l="1"/>
  <c r="Z124" i="21"/>
  <c r="Z125" i="21"/>
  <c r="Z121" i="21"/>
  <c r="Z122" i="21"/>
  <c r="Z120" i="21"/>
  <c r="Z119" i="21"/>
  <c r="Z113" i="21"/>
  <c r="Z112" i="21"/>
  <c r="Z111" i="21"/>
  <c r="Z110" i="21"/>
  <c r="Z109" i="21"/>
  <c r="Z108" i="21"/>
  <c r="Z107" i="21"/>
  <c r="Z106" i="21"/>
  <c r="Z105" i="21"/>
  <c r="Z104" i="21"/>
  <c r="Z103" i="21"/>
  <c r="Z102" i="21"/>
  <c r="Z101" i="21"/>
  <c r="Z100" i="21"/>
  <c r="Z87" i="21" l="1"/>
  <c r="Z88" i="21"/>
  <c r="Z89" i="21"/>
  <c r="Z90" i="21"/>
  <c r="Z91" i="21"/>
  <c r="Z92" i="21"/>
  <c r="Z93" i="21"/>
  <c r="Z94" i="21"/>
  <c r="Z95" i="21"/>
  <c r="Z96" i="21"/>
  <c r="Z97" i="21"/>
  <c r="Z98" i="21"/>
  <c r="Z99" i="21"/>
  <c r="Z78" i="21" l="1"/>
  <c r="Z79" i="21"/>
  <c r="Z80" i="21"/>
  <c r="Z81" i="21"/>
  <c r="Z82" i="21"/>
  <c r="Z83" i="21"/>
  <c r="Z84" i="21"/>
  <c r="Z85" i="21"/>
  <c r="Z86" i="21"/>
  <c r="Z72" i="21" l="1"/>
  <c r="Z71" i="21"/>
  <c r="Z67" i="21" l="1"/>
  <c r="Z60" i="21" l="1"/>
  <c r="Z61" i="21"/>
  <c r="Z62" i="21"/>
  <c r="Z63" i="21"/>
  <c r="Z64" i="21"/>
  <c r="Z65" i="21"/>
  <c r="Z66" i="21"/>
  <c r="Z68" i="21"/>
  <c r="Z69" i="21"/>
  <c r="Z70" i="21"/>
  <c r="Z73" i="21"/>
  <c r="Z74" i="21"/>
  <c r="Z75" i="21"/>
  <c r="Z76" i="21"/>
  <c r="Z59" i="21"/>
  <c r="A34" i="21" l="1"/>
  <c r="A35" i="21" s="1"/>
  <c r="A36" i="21" s="1"/>
  <c r="A37" i="21" s="1"/>
  <c r="A38" i="21" s="1"/>
  <c r="A39" i="21" s="1"/>
  <c r="A40" i="21" s="1"/>
  <c r="A41" i="21" s="1"/>
  <c r="A42" i="21" s="1"/>
  <c r="A43" i="21" s="1"/>
  <c r="A44" i="21" s="1"/>
  <c r="A45" i="21" s="1"/>
  <c r="A46" i="21" s="1"/>
  <c r="A47" i="21" s="1"/>
  <c r="A48" i="21" s="1"/>
  <c r="A49" i="21" s="1"/>
  <c r="A50" i="21" s="1"/>
  <c r="A51" i="21" s="1"/>
  <c r="A52" i="21" s="1"/>
  <c r="A53" i="21" s="1"/>
  <c r="A54" i="21" s="1"/>
  <c r="A55" i="21" s="1"/>
  <c r="A56" i="21" s="1"/>
  <c r="A57" i="21" s="1"/>
  <c r="A58" i="21" s="1"/>
  <c r="Z77" i="21" l="1"/>
  <c r="AE10" i="21" l="1"/>
  <c r="AE22" i="21" s="1"/>
  <c r="AE26" i="21" s="1"/>
  <c r="Z29" i="21"/>
  <c r="S30" i="21" l="1"/>
  <c r="S31" i="21" s="1"/>
  <c r="S32" i="21" s="1"/>
  <c r="AF21" i="21" l="1"/>
  <c r="W7" i="21"/>
  <c r="W6" i="21"/>
  <c r="Z33" i="21" l="1"/>
  <c r="P30" i="21" l="1"/>
  <c r="P31" i="21" s="1"/>
  <c r="P32" i="21" s="1"/>
  <c r="O30" i="21"/>
  <c r="O31" i="21" s="1"/>
  <c r="O32" i="21" s="1"/>
  <c r="Z28" i="21"/>
  <c r="Z27" i="21"/>
  <c r="Z26" i="21"/>
  <c r="X26" i="21"/>
  <c r="AI24" i="21" l="1"/>
  <c r="AH24" i="21"/>
  <c r="AF24" i="21"/>
  <c r="W24" i="21"/>
  <c r="AG24" i="21" s="1"/>
  <c r="AI21" i="21" l="1"/>
  <c r="AH21" i="21"/>
  <c r="AG21" i="21"/>
  <c r="AI7" i="21" l="1"/>
  <c r="AH7" i="21"/>
  <c r="AG7" i="21"/>
  <c r="AF7" i="21"/>
  <c r="AI6" i="21"/>
  <c r="AH6" i="21"/>
  <c r="AG6" i="21"/>
  <c r="AF6" i="21"/>
  <c r="AG9" i="21"/>
  <c r="AH9" i="21"/>
  <c r="AI9" i="21"/>
  <c r="AH8" i="21"/>
  <c r="AI8" i="21"/>
  <c r="AG8" i="21"/>
  <c r="AF9" i="21"/>
  <c r="AF8" i="21"/>
  <c r="Z24" i="21" l="1"/>
  <c r="Z25" i="21" l="1"/>
  <c r="Z19" i="21" l="1"/>
  <c r="T17" i="21"/>
  <c r="Z20" i="21"/>
  <c r="Z18" i="21"/>
  <c r="Z17" i="21"/>
  <c r="Z16" i="21" l="1"/>
  <c r="Z15" i="21"/>
  <c r="Z14" i="21"/>
  <c r="Z13" i="21"/>
  <c r="Z12" i="21"/>
  <c r="Z11" i="21"/>
  <c r="Z23" i="21" l="1"/>
  <c r="Z22" i="21"/>
  <c r="Z21" i="21" l="1"/>
  <c r="AA148" i="17"/>
  <c r="Z9" i="21" l="1"/>
  <c r="Z8" i="21"/>
  <c r="Z10" i="21"/>
  <c r="Z7" i="21"/>
  <c r="Z6" i="21"/>
  <c r="AH156" i="17" l="1"/>
  <c r="Z5" i="21" l="1"/>
  <c r="Z4" i="21"/>
  <c r="Z3" i="21"/>
  <c r="X80" i="20" l="1"/>
  <c r="X78" i="20"/>
  <c r="Z92" i="20"/>
  <c r="Z91" i="20"/>
  <c r="Z90" i="20"/>
  <c r="Z84" i="20"/>
  <c r="Z86" i="20"/>
  <c r="Z93" i="20"/>
  <c r="Z89" i="20"/>
  <c r="Z88" i="20"/>
  <c r="Z87" i="20"/>
  <c r="T83" i="20" l="1"/>
  <c r="U83" i="20"/>
  <c r="Z83" i="20" s="1"/>
  <c r="Z79" i="20" l="1"/>
  <c r="Z80" i="20"/>
  <c r="Z81" i="20"/>
  <c r="Z82" i="20"/>
  <c r="Z78" i="20"/>
  <c r="Z77" i="20" l="1"/>
  <c r="Z59" i="20"/>
  <c r="X76" i="20" l="1"/>
  <c r="Z76" i="20"/>
  <c r="Z75" i="20"/>
  <c r="Z74" i="20"/>
  <c r="Z73" i="20" l="1"/>
  <c r="Z72" i="20"/>
  <c r="Z71" i="20"/>
  <c r="Z70" i="20"/>
  <c r="Z69" i="20"/>
  <c r="Z60" i="20"/>
  <c r="Z61" i="20" l="1"/>
  <c r="Z62" i="20" l="1"/>
  <c r="Z68" i="20" l="1"/>
  <c r="Z67" i="20"/>
  <c r="Z66" i="20"/>
  <c r="Z65" i="20"/>
  <c r="Z64" i="20"/>
  <c r="Z63" i="20"/>
  <c r="Z58" i="20" l="1"/>
  <c r="Z51" i="20"/>
  <c r="Z52" i="20"/>
  <c r="Z53" i="20"/>
  <c r="Z54" i="20"/>
  <c r="Z55" i="20"/>
  <c r="Z56" i="20"/>
  <c r="Z57" i="20"/>
  <c r="Z50" i="20"/>
  <c r="Z42" i="20" l="1"/>
  <c r="Z43" i="20"/>
  <c r="Z44" i="20"/>
  <c r="Z45" i="20"/>
  <c r="Z46" i="20"/>
  <c r="Z47" i="20"/>
  <c r="Z48" i="20"/>
  <c r="Z49" i="20"/>
  <c r="Z41" i="20" l="1"/>
  <c r="Z40" i="20"/>
  <c r="Z34" i="20"/>
  <c r="Z35" i="20"/>
  <c r="Z39" i="20" l="1"/>
  <c r="Z38" i="20"/>
  <c r="Z37" i="20"/>
  <c r="Z36" i="20"/>
  <c r="AG16" i="20"/>
  <c r="Z30" i="20" l="1"/>
  <c r="Z29" i="20"/>
  <c r="Z28" i="20"/>
  <c r="Z27" i="20"/>
  <c r="Z26" i="20"/>
  <c r="Z25" i="20"/>
  <c r="Z24" i="20"/>
  <c r="Z23" i="20"/>
  <c r="Z22" i="20"/>
  <c r="Z21" i="20"/>
  <c r="Z20" i="20"/>
  <c r="X20" i="20"/>
  <c r="Z19" i="20"/>
  <c r="Z18" i="20"/>
  <c r="Z17" i="20"/>
  <c r="Z16" i="20"/>
  <c r="Z15" i="20"/>
  <c r="Z14" i="20"/>
  <c r="Z13" i="20"/>
  <c r="Z12" i="20"/>
  <c r="Z11" i="20"/>
  <c r="Z10" i="20"/>
  <c r="Z9" i="20"/>
  <c r="Z8" i="20"/>
  <c r="Z7" i="20"/>
  <c r="Z6" i="20"/>
  <c r="Z5" i="20"/>
  <c r="Z4" i="20"/>
  <c r="Z3" i="20"/>
  <c r="A4" i="20"/>
  <c r="A5" i="20" s="1"/>
  <c r="A6" i="20" s="1"/>
  <c r="A7" i="20" s="1"/>
  <c r="A8" i="20" s="1"/>
  <c r="A9" i="20" s="1"/>
  <c r="A10" i="20" s="1"/>
  <c r="A11" i="20" s="1"/>
  <c r="A12" i="20" s="1"/>
  <c r="A13" i="20" s="1"/>
  <c r="A14" i="20" s="1"/>
  <c r="A15" i="20" s="1"/>
  <c r="A16" i="20" s="1"/>
  <c r="A17" i="20" s="1"/>
  <c r="A18" i="20" s="1"/>
  <c r="A19" i="20" s="1"/>
  <c r="A20" i="20" s="1"/>
  <c r="A21" i="20" s="1"/>
  <c r="A22" i="20" s="1"/>
  <c r="A23" i="20" s="1"/>
  <c r="A24" i="20" s="1"/>
  <c r="A25" i="20" s="1"/>
  <c r="A26" i="20" s="1"/>
  <c r="A27" i="20" s="1"/>
  <c r="A28" i="20" s="1"/>
  <c r="A29" i="20" s="1"/>
  <c r="A30" i="20" s="1"/>
  <c r="A31" i="20" s="1"/>
  <c r="A34" i="20" s="1"/>
  <c r="A36" i="20" s="1"/>
  <c r="A41" i="20" s="1"/>
  <c r="A42" i="20" s="1"/>
  <c r="A50" i="20" s="1"/>
  <c r="A58" i="20" s="1"/>
  <c r="A60" i="20" s="1"/>
  <c r="A61" i="20" s="1"/>
  <c r="A62" i="20" s="1"/>
  <c r="A63" i="20" s="1"/>
  <c r="A67" i="20" s="1"/>
  <c r="A68" i="20" s="1"/>
  <c r="A69" i="20" s="1"/>
  <c r="A70" i="20" s="1"/>
  <c r="A72" i="20" s="1"/>
  <c r="AA3" i="17"/>
  <c r="AA4" i="17"/>
  <c r="AA5" i="17"/>
  <c r="AA6" i="17"/>
  <c r="AA7" i="17"/>
  <c r="AA8" i="17"/>
  <c r="AA9" i="17"/>
  <c r="AA10" i="17"/>
  <c r="AA11" i="17"/>
  <c r="AA12" i="17"/>
  <c r="AA13" i="17"/>
  <c r="AA14" i="17"/>
  <c r="AA15" i="17"/>
  <c r="AA16" i="17"/>
  <c r="AA17" i="17"/>
  <c r="AA18" i="17"/>
  <c r="AA19" i="17"/>
  <c r="AA20" i="17"/>
  <c r="AA21" i="17"/>
  <c r="AA22" i="17"/>
  <c r="AA23" i="17"/>
  <c r="AA24" i="17"/>
  <c r="AA25" i="17"/>
  <c r="AA26" i="17"/>
  <c r="AA27" i="17"/>
  <c r="AA28" i="17"/>
  <c r="AA29" i="17"/>
  <c r="AA30" i="17"/>
  <c r="AA31" i="17"/>
  <c r="AA32" i="17"/>
  <c r="AA33" i="17"/>
  <c r="AA34" i="17"/>
  <c r="AA35" i="17"/>
  <c r="AA36" i="17"/>
  <c r="AA37" i="17"/>
  <c r="AA38" i="17"/>
  <c r="AA39" i="17"/>
  <c r="AA40" i="17"/>
  <c r="AA41" i="17"/>
  <c r="AA42" i="17"/>
  <c r="AA43" i="17"/>
  <c r="AA44" i="17"/>
  <c r="AA45" i="17"/>
  <c r="AA46" i="17"/>
  <c r="AA47" i="17"/>
  <c r="AA48" i="17"/>
  <c r="AA49" i="17"/>
  <c r="AA50" i="17"/>
  <c r="AA51" i="17"/>
  <c r="AA52" i="17"/>
  <c r="AA53" i="17"/>
  <c r="AA54" i="17"/>
  <c r="AA55" i="17"/>
  <c r="AA56" i="17"/>
  <c r="AA57" i="17"/>
  <c r="AA58" i="17"/>
  <c r="AA59" i="17"/>
  <c r="AA60" i="17"/>
  <c r="AA61" i="17"/>
  <c r="AA62" i="17"/>
  <c r="AA63" i="17"/>
  <c r="AA64" i="17"/>
  <c r="AA65" i="17"/>
  <c r="AA66" i="17"/>
  <c r="AA67" i="17"/>
  <c r="AA68" i="17"/>
  <c r="AA69" i="17"/>
  <c r="AA70" i="17"/>
  <c r="AA71" i="17"/>
  <c r="AA72" i="17"/>
  <c r="AA73" i="17"/>
  <c r="AA74" i="17"/>
  <c r="AA75" i="17"/>
  <c r="AA76" i="17"/>
  <c r="AA77" i="17"/>
  <c r="AA78" i="17"/>
  <c r="AA79" i="17"/>
  <c r="AA80" i="17"/>
  <c r="AA81" i="17"/>
  <c r="AA82" i="17"/>
  <c r="AA83" i="17"/>
  <c r="AA84" i="17"/>
  <c r="AA85" i="17"/>
  <c r="AA86" i="17"/>
  <c r="AA87" i="17"/>
  <c r="AA88" i="17"/>
  <c r="AA89" i="17"/>
  <c r="AA90" i="17"/>
  <c r="AA91" i="17"/>
  <c r="AA92" i="17"/>
  <c r="AA93" i="17"/>
  <c r="AA94" i="17"/>
  <c r="AA95" i="17"/>
  <c r="AA96" i="17"/>
  <c r="AA97" i="17"/>
  <c r="AA98" i="17"/>
  <c r="AA99" i="17"/>
  <c r="AA100" i="17"/>
  <c r="AA101" i="17"/>
  <c r="AA102" i="17"/>
  <c r="AA103" i="17"/>
  <c r="AA104" i="17"/>
  <c r="AA105" i="17"/>
  <c r="AA106" i="17"/>
  <c r="AA107" i="17"/>
  <c r="AA108" i="17"/>
  <c r="AA109" i="17"/>
  <c r="AA110" i="17"/>
  <c r="AA111" i="17"/>
  <c r="AA112" i="17"/>
  <c r="AA113" i="17"/>
  <c r="AA114" i="17"/>
  <c r="AA115" i="17"/>
  <c r="AA116" i="17"/>
  <c r="AA117" i="17"/>
  <c r="AA118" i="17"/>
  <c r="AA119" i="17"/>
  <c r="AA120" i="17"/>
  <c r="AA121" i="17"/>
  <c r="AA122" i="17"/>
  <c r="AA123" i="17"/>
  <c r="AA124" i="17"/>
  <c r="AA125" i="17"/>
  <c r="AA126" i="17"/>
  <c r="AA127" i="17"/>
  <c r="AA128" i="17"/>
  <c r="AA129" i="17"/>
  <c r="AA130" i="17"/>
  <c r="AA131" i="17"/>
  <c r="AA132" i="17"/>
  <c r="AA133" i="17"/>
  <c r="AA134" i="17"/>
  <c r="AA135" i="17"/>
  <c r="AA136" i="17"/>
  <c r="AA137" i="17"/>
  <c r="AA138" i="17"/>
  <c r="AA139" i="17"/>
  <c r="AA140" i="17"/>
  <c r="AA141" i="17"/>
  <c r="AA142" i="17"/>
  <c r="AA143" i="17"/>
  <c r="AA144" i="17"/>
  <c r="AA145" i="17"/>
  <c r="AA146" i="17"/>
  <c r="AA147" i="17"/>
  <c r="AA149" i="17"/>
  <c r="AA150" i="17"/>
  <c r="AA151" i="17"/>
  <c r="AA152" i="17"/>
  <c r="AA153" i="17"/>
  <c r="AA154" i="17"/>
  <c r="AA155" i="17"/>
  <c r="AA156" i="17"/>
  <c r="AA157" i="17"/>
  <c r="AA158" i="17"/>
  <c r="AA159" i="17"/>
  <c r="AA160" i="17"/>
  <c r="AA161" i="17"/>
  <c r="A152" i="17" l="1"/>
  <c r="I27" i="7" l="1"/>
  <c r="E18" i="7"/>
  <c r="E19" i="7" s="1"/>
  <c r="E24" i="7"/>
  <c r="AE71" i="16" l="1"/>
  <c r="AE56" i="16" l="1"/>
  <c r="Z35" i="19" l="1"/>
  <c r="Y35" i="19"/>
  <c r="AB12" i="19"/>
  <c r="AB13" i="19"/>
  <c r="AB14" i="19"/>
  <c r="AB15" i="19"/>
  <c r="AB16" i="19"/>
  <c r="AB17" i="19"/>
  <c r="AB18" i="19"/>
  <c r="AB19" i="19"/>
  <c r="AB20" i="19"/>
  <c r="AB21" i="19"/>
  <c r="AB22" i="19"/>
  <c r="AB23" i="19"/>
  <c r="AB24" i="19"/>
  <c r="AB25" i="19"/>
  <c r="AB26" i="19"/>
  <c r="AB27" i="19"/>
  <c r="AB28" i="19"/>
  <c r="AB29" i="19"/>
  <c r="AB30" i="19"/>
  <c r="AB31" i="19"/>
  <c r="AB32" i="19"/>
  <c r="AB33" i="19"/>
  <c r="AB34" i="19"/>
  <c r="S31" i="19" l="1"/>
  <c r="S32" i="19" s="1"/>
  <c r="S33" i="19" s="1"/>
  <c r="S34" i="19" s="1"/>
  <c r="G78" i="19"/>
  <c r="G13" i="19" s="1"/>
  <c r="G14" i="19" s="1"/>
  <c r="G15" i="19" s="1"/>
  <c r="G16" i="19" s="1"/>
  <c r="G20" i="19" s="1"/>
  <c r="G70" i="19" s="1"/>
  <c r="G22" i="19" s="1"/>
  <c r="G24" i="19" s="1"/>
  <c r="G30" i="19" s="1"/>
  <c r="G31" i="19" s="1"/>
  <c r="G34" i="19" s="1"/>
  <c r="S12" i="19"/>
  <c r="S78" i="19" s="1"/>
  <c r="S13" i="19" s="1"/>
  <c r="S14" i="19" s="1"/>
  <c r="S15" i="19" s="1"/>
  <c r="S16" i="19" s="1"/>
  <c r="S20" i="19" s="1"/>
  <c r="S70" i="19" s="1"/>
  <c r="S22" i="19" s="1"/>
  <c r="S24" i="19" s="1"/>
  <c r="N12" i="19"/>
  <c r="N78" i="19" s="1"/>
  <c r="N13" i="19" s="1"/>
  <c r="N14" i="19" s="1"/>
  <c r="N15" i="19" s="1"/>
  <c r="N16" i="19" s="1"/>
  <c r="N20" i="19" s="1"/>
  <c r="N70" i="19" s="1"/>
  <c r="N22" i="19" s="1"/>
  <c r="N24" i="19" s="1"/>
  <c r="N30" i="19" s="1"/>
  <c r="N31" i="19" s="1"/>
  <c r="N32" i="19" s="1"/>
  <c r="N33" i="19" s="1"/>
  <c r="N34" i="19" s="1"/>
  <c r="B12" i="19"/>
  <c r="B78" i="19" s="1"/>
  <c r="B13" i="19" s="1"/>
  <c r="B14" i="19" s="1"/>
  <c r="B15" i="19" s="1"/>
  <c r="B16" i="19" s="1"/>
  <c r="B20" i="19" s="1"/>
  <c r="B70" i="19" s="1"/>
  <c r="B22" i="19" s="1"/>
  <c r="B24" i="19" s="1"/>
  <c r="B30" i="19" s="1"/>
  <c r="B31" i="19" s="1"/>
  <c r="B32" i="19" s="1"/>
  <c r="B33" i="19" s="1"/>
  <c r="B34" i="19" s="1"/>
  <c r="AC11" i="19"/>
  <c r="AB11" i="19"/>
  <c r="AB10" i="19"/>
  <c r="AB9" i="19"/>
  <c r="AB8" i="19"/>
  <c r="AC7" i="19"/>
  <c r="AB7" i="19"/>
  <c r="AB6" i="19"/>
  <c r="AB5" i="19"/>
  <c r="AB4" i="19"/>
  <c r="AC3" i="19"/>
  <c r="AB3" i="19"/>
  <c r="AC35" i="19" l="1"/>
  <c r="B4" i="18" l="1"/>
  <c r="B5" i="18" s="1"/>
  <c r="B6" i="18" s="1"/>
  <c r="B10" i="18" s="1"/>
  <c r="G4" i="18"/>
  <c r="G5" i="18" s="1"/>
  <c r="G6" i="18" s="1"/>
  <c r="G10" i="18" s="1"/>
  <c r="G11" i="18" s="1"/>
  <c r="G13" i="18" s="1"/>
  <c r="B11" i="18" l="1"/>
  <c r="B12" i="18" l="1"/>
  <c r="B13" i="18" s="1"/>
  <c r="B25" i="17" l="1"/>
  <c r="B26" i="17" s="1"/>
  <c r="B30" i="17" s="1"/>
  <c r="B31" i="17" s="1"/>
  <c r="B32" i="17" s="1"/>
  <c r="B33" i="17" s="1"/>
  <c r="B37" i="17" s="1"/>
  <c r="B39" i="17" s="1"/>
  <c r="B43" i="17" s="1"/>
  <c r="B45" i="17" s="1"/>
  <c r="B51" i="17" s="1"/>
  <c r="B52" i="17" s="1"/>
  <c r="B53" i="17" s="1"/>
  <c r="B54" i="17" s="1"/>
  <c r="B55" i="17" s="1"/>
  <c r="Q25" i="17"/>
  <c r="Q26" i="17" s="1"/>
  <c r="Q30" i="17" s="1"/>
  <c r="Q31" i="17" s="1"/>
  <c r="Q32" i="17" s="1"/>
  <c r="Q33" i="17" s="1"/>
  <c r="Q37" i="17" s="1"/>
  <c r="Q39" i="17" s="1"/>
  <c r="Q43" i="17" s="1"/>
  <c r="Q45" i="17" s="1"/>
  <c r="Q52" i="17"/>
  <c r="Q53" i="17" s="1"/>
  <c r="Q54" i="17" s="1"/>
  <c r="Q55" i="17" s="1"/>
  <c r="N25" i="17"/>
  <c r="N26" i="17" s="1"/>
  <c r="N30" i="17" s="1"/>
  <c r="N31" i="17" s="1"/>
  <c r="N32" i="17" s="1"/>
  <c r="N33" i="17" s="1"/>
  <c r="N37" i="17" s="1"/>
  <c r="N39" i="17" s="1"/>
  <c r="N43" i="17" s="1"/>
  <c r="N45" i="17" s="1"/>
  <c r="N51" i="17" s="1"/>
  <c r="N52" i="17" s="1"/>
  <c r="N53" i="17" s="1"/>
  <c r="N54" i="17" s="1"/>
  <c r="N55" i="17" s="1"/>
  <c r="G26" i="17"/>
  <c r="G30" i="17" s="1"/>
  <c r="G31" i="17" s="1"/>
  <c r="G32" i="17" s="1"/>
  <c r="G33" i="17" s="1"/>
  <c r="G37" i="17" s="1"/>
  <c r="G39" i="17" s="1"/>
  <c r="G43" i="17" s="1"/>
  <c r="G45" i="17" s="1"/>
  <c r="G51" i="17" s="1"/>
  <c r="G52" i="17" s="1"/>
  <c r="G55" i="17" s="1"/>
  <c r="AE55" i="16" l="1"/>
  <c r="AE54" i="16"/>
  <c r="AE74" i="16"/>
  <c r="AE73" i="16"/>
  <c r="AE72" i="16"/>
  <c r="AE68" i="16"/>
  <c r="AE66" i="16"/>
  <c r="AE59" i="16"/>
  <c r="AD54" i="16" l="1"/>
  <c r="AD55" i="16"/>
  <c r="AD56" i="16"/>
  <c r="AD57" i="16"/>
  <c r="AD58" i="16"/>
  <c r="AD59" i="16"/>
  <c r="AD60" i="16"/>
  <c r="AD61" i="16"/>
  <c r="AD62" i="16"/>
  <c r="AD63" i="16"/>
  <c r="AD64" i="16"/>
  <c r="AD65" i="16"/>
  <c r="AD66" i="16"/>
  <c r="AD67" i="16"/>
  <c r="AD68" i="16"/>
  <c r="AD69" i="16"/>
  <c r="AD70" i="16"/>
  <c r="AD71" i="16"/>
  <c r="AD72" i="16"/>
  <c r="AD73" i="16"/>
  <c r="AD74" i="16"/>
  <c r="G18" i="17" l="1"/>
  <c r="S73" i="16" l="1"/>
  <c r="S74" i="16" s="1"/>
  <c r="O73" i="16"/>
  <c r="O74" i="16" s="1"/>
  <c r="N74" i="16"/>
  <c r="G73" i="16"/>
  <c r="G74" i="16"/>
  <c r="AC48" i="16" l="1"/>
  <c r="AC51" i="16" l="1"/>
  <c r="AB48" i="9" l="1"/>
  <c r="AA48" i="9"/>
  <c r="D36" i="14"/>
  <c r="E36" i="14"/>
  <c r="F36" i="14"/>
  <c r="G36" i="14"/>
  <c r="H36" i="14"/>
  <c r="I36" i="14"/>
  <c r="J36" i="14"/>
  <c r="K36" i="14"/>
  <c r="L36" i="14"/>
  <c r="M36" i="14"/>
  <c r="N36" i="14"/>
  <c r="O36" i="14"/>
  <c r="P36" i="14"/>
  <c r="Q36" i="14"/>
  <c r="R36" i="14"/>
  <c r="S36" i="14"/>
  <c r="T36" i="14"/>
  <c r="U36" i="14"/>
  <c r="V36" i="14"/>
  <c r="W36" i="14"/>
  <c r="X36" i="14"/>
  <c r="Y36" i="14"/>
  <c r="C36" i="14"/>
  <c r="T74" i="1" l="1"/>
  <c r="T76" i="1" s="1"/>
  <c r="T80" i="1" s="1"/>
  <c r="T82" i="1" s="1"/>
  <c r="T83" i="1" s="1"/>
  <c r="S74" i="1"/>
  <c r="S76" i="1" s="1"/>
  <c r="S80" i="1" s="1"/>
  <c r="S82" i="1" s="1"/>
  <c r="S83" i="1" s="1"/>
  <c r="P74" i="1"/>
  <c r="P76" i="1" s="1"/>
  <c r="P80" i="1" s="1"/>
  <c r="P82" i="1" s="1"/>
  <c r="P83" i="1" s="1"/>
  <c r="O74" i="1"/>
  <c r="O76" i="1" s="1"/>
  <c r="O80" i="1" s="1"/>
  <c r="O82" i="1" s="1"/>
  <c r="O83" i="1" s="1"/>
  <c r="AE57" i="1" l="1"/>
  <c r="AE53" i="1" l="1"/>
  <c r="AE29" i="1" l="1"/>
  <c r="AJ45" i="1" l="1"/>
  <c r="AJ44" i="1"/>
  <c r="AI45" i="1"/>
  <c r="AI44" i="1"/>
  <c r="AH45" i="1"/>
  <c r="AH44" i="1"/>
  <c r="AG45" i="1"/>
  <c r="AG44" i="1"/>
  <c r="AF45" i="1"/>
  <c r="AF44" i="1"/>
  <c r="AC46" i="1"/>
  <c r="AE50" i="1" l="1"/>
  <c r="AE51" i="1"/>
  <c r="AE49" i="1"/>
  <c r="AE48" i="1"/>
  <c r="AE37" i="1" l="1"/>
  <c r="AE38" i="1"/>
  <c r="AE39" i="1"/>
  <c r="AH28" i="1" l="1"/>
  <c r="AH27" i="1"/>
  <c r="AH9" i="1" l="1"/>
  <c r="AE9" i="1" s="1"/>
  <c r="AH8" i="1"/>
  <c r="AE8" i="1" s="1"/>
  <c r="AH7" i="1"/>
  <c r="AE7" i="1" s="1"/>
  <c r="AH6" i="1"/>
  <c r="AE6" i="1" s="1"/>
  <c r="AH5" i="1"/>
  <c r="AE5" i="1" s="1"/>
  <c r="AE15" i="1"/>
  <c r="AE68" i="1"/>
  <c r="AE67" i="1"/>
  <c r="AE66" i="1"/>
  <c r="AE65" i="1"/>
  <c r="AE64" i="1"/>
  <c r="AE63" i="1"/>
  <c r="AE62" i="1"/>
  <c r="AE61" i="1"/>
  <c r="AE60" i="1"/>
  <c r="AE59" i="1"/>
  <c r="AE58" i="1"/>
  <c r="AE56" i="1"/>
  <c r="AE55" i="1"/>
  <c r="AE54" i="1"/>
  <c r="AE47" i="1"/>
  <c r="AE46" i="1"/>
  <c r="AE45" i="1"/>
  <c r="AE44" i="1"/>
  <c r="AE43" i="1"/>
  <c r="AE42" i="1"/>
  <c r="AE41" i="1"/>
  <c r="AE40" i="1"/>
  <c r="AE36" i="1"/>
  <c r="AE35" i="1"/>
  <c r="AE34" i="1"/>
  <c r="AE33" i="1"/>
  <c r="AE32" i="1"/>
  <c r="AE31" i="1"/>
  <c r="AE30" i="1"/>
  <c r="AE28" i="1"/>
  <c r="AE27" i="1"/>
  <c r="AE26" i="1"/>
  <c r="AE25" i="1"/>
  <c r="AE24" i="1"/>
  <c r="AE23" i="1"/>
  <c r="AE22" i="1"/>
  <c r="AE21" i="1"/>
  <c r="AE20" i="1"/>
  <c r="AE19" i="1"/>
  <c r="AE18" i="1"/>
  <c r="AE17" i="1"/>
  <c r="AE16" i="1"/>
  <c r="AE14" i="1"/>
  <c r="AE13" i="1"/>
  <c r="AE12" i="1"/>
  <c r="AE11" i="1"/>
  <c r="AE10" i="1"/>
  <c r="AE4" i="1"/>
  <c r="AH3" i="1"/>
  <c r="AE3" i="1" s="1"/>
  <c r="AD3" i="1"/>
  <c r="Z15" i="6" l="1"/>
  <c r="I15" i="6"/>
  <c r="Q15" i="6" s="1"/>
  <c r="F15" i="6"/>
  <c r="Z14" i="6"/>
  <c r="I14" i="6"/>
  <c r="Q14" i="6" s="1"/>
  <c r="S14" i="6" s="1"/>
  <c r="F14" i="6"/>
  <c r="Z13" i="6"/>
  <c r="I13" i="6"/>
  <c r="Q13" i="6" s="1"/>
  <c r="F13" i="6"/>
  <c r="Z12" i="6"/>
  <c r="I12" i="6"/>
  <c r="Q12" i="6" s="1"/>
  <c r="F12" i="6"/>
  <c r="Z11" i="6"/>
  <c r="I11" i="6"/>
  <c r="Q11" i="6" s="1"/>
  <c r="F11" i="6"/>
  <c r="Z10" i="6"/>
  <c r="I10" i="6"/>
  <c r="Q10" i="6" s="1"/>
  <c r="S10" i="6" s="1"/>
  <c r="F10" i="6"/>
  <c r="Z9" i="6"/>
  <c r="I9" i="6"/>
  <c r="Q9" i="6" s="1"/>
  <c r="F9" i="6"/>
  <c r="Z8" i="6"/>
  <c r="I8" i="6"/>
  <c r="Q8" i="6" s="1"/>
  <c r="F8" i="6"/>
  <c r="Z7" i="6"/>
  <c r="I7" i="6"/>
  <c r="Q7" i="6" s="1"/>
  <c r="F7" i="6"/>
  <c r="Z6" i="6"/>
  <c r="I6" i="6"/>
  <c r="Q6" i="6" s="1"/>
  <c r="S6" i="6" s="1"/>
  <c r="F6" i="6"/>
  <c r="Z5" i="6"/>
  <c r="I5" i="6"/>
  <c r="Q5" i="6" s="1"/>
  <c r="F5" i="6"/>
  <c r="Z4" i="6"/>
  <c r="I4" i="6"/>
  <c r="Q4" i="6" s="1"/>
  <c r="F4" i="6"/>
  <c r="Z3" i="6"/>
  <c r="I3" i="6"/>
  <c r="Q3" i="6" s="1"/>
  <c r="AA3" i="6" s="1"/>
  <c r="F3" i="6"/>
  <c r="AA4" i="6" l="1"/>
  <c r="S4" i="6"/>
  <c r="AA8" i="6"/>
  <c r="S8" i="6"/>
  <c r="AF8" i="6" s="1"/>
  <c r="AG8" i="6" s="1"/>
  <c r="AH8" i="6" s="1"/>
  <c r="AA12" i="6"/>
  <c r="S12" i="6"/>
  <c r="AF12" i="6" s="1"/>
  <c r="AG12" i="6" s="1"/>
  <c r="AH12" i="6" s="1"/>
  <c r="AA7" i="6"/>
  <c r="S7" i="6"/>
  <c r="AF7" i="6" s="1"/>
  <c r="AG7" i="6" s="1"/>
  <c r="AH7" i="6" s="1"/>
  <c r="AA11" i="6"/>
  <c r="S11" i="6"/>
  <c r="AF11" i="6" s="1"/>
  <c r="AG11" i="6" s="1"/>
  <c r="AH11" i="6" s="1"/>
  <c r="AA15" i="6"/>
  <c r="S15" i="6"/>
  <c r="AF15" i="6" s="1"/>
  <c r="AG15" i="6" s="1"/>
  <c r="AH15" i="6" s="1"/>
  <c r="S3" i="6"/>
  <c r="AF4" i="6" s="1"/>
  <c r="AG4" i="6" s="1"/>
  <c r="AH4" i="6" s="1"/>
  <c r="AA13" i="6"/>
  <c r="S13" i="6"/>
  <c r="AF14" i="6"/>
  <c r="AG14" i="6" s="1"/>
  <c r="AH14" i="6" s="1"/>
  <c r="S9" i="6"/>
  <c r="AA9" i="6"/>
  <c r="AF10" i="6"/>
  <c r="AG10" i="6" s="1"/>
  <c r="AH10" i="6" s="1"/>
  <c r="S5" i="6"/>
  <c r="AA5" i="6"/>
  <c r="AF6" i="6"/>
  <c r="AG6" i="6" s="1"/>
  <c r="AH6" i="6" s="1"/>
  <c r="AF3" i="6"/>
  <c r="AG3" i="6" s="1"/>
  <c r="AH3" i="6" s="1"/>
  <c r="AA6" i="6"/>
  <c r="AA10" i="6"/>
  <c r="AA14" i="6"/>
  <c r="AI6" i="6" l="1"/>
  <c r="AJ6" i="6" s="1"/>
  <c r="AI10" i="6"/>
  <c r="AJ10" i="6" s="1"/>
  <c r="AI4" i="6"/>
  <c r="AJ4" i="6" s="1"/>
  <c r="AI7" i="6"/>
  <c r="AJ7" i="6" s="1"/>
  <c r="AI3" i="6"/>
  <c r="AJ3" i="6" s="1"/>
  <c r="AI8" i="6"/>
  <c r="AJ8" i="6" s="1"/>
  <c r="AF5" i="6"/>
  <c r="AG5" i="6" s="1"/>
  <c r="AH5" i="6" s="1"/>
  <c r="AF9" i="6"/>
  <c r="AG9" i="6" s="1"/>
  <c r="AH9" i="6" s="1"/>
  <c r="AF13" i="6"/>
  <c r="AG13" i="6" s="1"/>
  <c r="AH13" i="6" s="1"/>
  <c r="AI12" i="6"/>
  <c r="AJ12" i="6" s="1"/>
  <c r="AI14" i="6"/>
  <c r="AJ14" i="6" s="1"/>
  <c r="AI15" i="6"/>
  <c r="AJ15" i="6" s="1"/>
  <c r="AI11" i="6"/>
  <c r="AJ11" i="6" s="1"/>
  <c r="AI5" i="6" l="1"/>
  <c r="AJ5" i="6" s="1"/>
  <c r="AI9" i="6"/>
  <c r="AJ9" i="6" s="1"/>
  <c r="AI13" i="6"/>
  <c r="AJ13" i="6" s="1"/>
  <c r="AD28" i="1" l="1"/>
  <c r="AD27" i="1"/>
  <c r="AD26" i="1"/>
  <c r="AD25" i="1"/>
  <c r="E4" i="5" l="1"/>
  <c r="E5" i="5" s="1"/>
  <c r="E6" i="5" s="1"/>
  <c r="G3" i="5"/>
  <c r="E14" i="4"/>
  <c r="I11" i="4"/>
  <c r="G11" i="4"/>
  <c r="I10" i="4"/>
  <c r="G10" i="4"/>
  <c r="I9" i="4"/>
  <c r="G9" i="4"/>
  <c r="I8" i="4"/>
  <c r="G8" i="4"/>
  <c r="I7" i="4"/>
  <c r="G7" i="4"/>
  <c r="I6" i="4"/>
  <c r="G6" i="4"/>
  <c r="I5" i="4"/>
  <c r="G5" i="4"/>
  <c r="I4" i="4"/>
  <c r="G4" i="4"/>
  <c r="I3" i="4"/>
  <c r="G3" i="4"/>
  <c r="AD9" i="1"/>
  <c r="AD10" i="1"/>
  <c r="AD11" i="1"/>
  <c r="AD12" i="1"/>
  <c r="AD13" i="1"/>
  <c r="AD14" i="1"/>
  <c r="AD15" i="1"/>
  <c r="AD16" i="1"/>
  <c r="AD17" i="1"/>
  <c r="AD18" i="1"/>
  <c r="AD19" i="1"/>
  <c r="AD20" i="1"/>
  <c r="AD21" i="1"/>
  <c r="AD22" i="1"/>
  <c r="AD23" i="1"/>
  <c r="AD24" i="1"/>
  <c r="AD8" i="1" l="1"/>
  <c r="AD7" i="1"/>
  <c r="W3" i="2"/>
  <c r="U3" i="2"/>
  <c r="Q3" i="2"/>
  <c r="W2" i="2"/>
  <c r="U2" i="2"/>
  <c r="Q2" i="2"/>
  <c r="AD6" i="1"/>
  <c r="AD5" i="1"/>
  <c r="AD4" i="1"/>
  <c r="W4" i="1"/>
  <c r="W3" i="1"/>
  <c r="R4" i="1"/>
  <c r="R3" i="1"/>
</calcChain>
</file>

<file path=xl/comments1.xml><?xml version="1.0" encoding="utf-8"?>
<comments xmlns="http://schemas.openxmlformats.org/spreadsheetml/2006/main">
  <authors>
    <author>tc={D735DEEA-7AF0-439A-9930-780A075CBABD}</author>
  </authors>
  <commentList>
    <comment ref="AG1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tool die cost 15.16
development- 12.84
child part fixture &amp; welding fixture- 1.5+1
values in lacs</t>
        </r>
      </text>
    </comment>
  </commentList>
</comments>
</file>

<file path=xl/comments2.xml><?xml version="1.0" encoding="utf-8"?>
<comments xmlns="http://schemas.openxmlformats.org/spreadsheetml/2006/main">
  <authors>
    <author>tc={671DC917-DCE2-4CD9-9E7C-42E4DC37592B}</author>
  </authors>
  <commentList>
    <comment ref="AH1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Business awarded settlement not done.</t>
        </r>
      </text>
    </comment>
  </commentList>
</comments>
</file>

<file path=xl/sharedStrings.xml><?xml version="1.0" encoding="utf-8"?>
<sst xmlns="http://schemas.openxmlformats.org/spreadsheetml/2006/main" count="14328" uniqueCount="3090">
  <si>
    <t>S.No.</t>
  </si>
  <si>
    <t>Model</t>
  </si>
  <si>
    <t>Customer(MSIl/Tier 1)</t>
  </si>
  <si>
    <t>Part No.</t>
  </si>
  <si>
    <t>Part Name</t>
  </si>
  <si>
    <t>RFQ No.</t>
  </si>
  <si>
    <t xml:space="preserve">RFQ Requested by </t>
  </si>
  <si>
    <t xml:space="preserve">Annual Volume </t>
  </si>
  <si>
    <t>CAD Data</t>
  </si>
  <si>
    <t>2D data</t>
  </si>
  <si>
    <t>BOM (Yes/NO)</t>
  </si>
  <si>
    <t>Category</t>
  </si>
  <si>
    <t>RFQ Location</t>
  </si>
  <si>
    <t>Actual Submission Date</t>
  </si>
  <si>
    <t xml:space="preserve">Delay in days </t>
  </si>
  <si>
    <t>Data Send to D&amp;D</t>
  </si>
  <si>
    <t xml:space="preserve">Target for Technical details submission </t>
  </si>
  <si>
    <t xml:space="preserve">Actual Technical Detail Submission </t>
  </si>
  <si>
    <t>Delay in days</t>
  </si>
  <si>
    <t>BUSINESS POTENTIAL(IN CRORS)</t>
  </si>
  <si>
    <t xml:space="preserve">Target Price </t>
  </si>
  <si>
    <t>LOI Price</t>
  </si>
  <si>
    <t>SOP Price</t>
  </si>
  <si>
    <t>SOP Date</t>
  </si>
  <si>
    <t>PCD (SOP + 1Year)</t>
  </si>
  <si>
    <t>PCD (SOP + 2Year)</t>
  </si>
  <si>
    <t>PCD (SOP + 3Year)</t>
  </si>
  <si>
    <t>Remarks</t>
  </si>
  <si>
    <t>YE3 MC</t>
  </si>
  <si>
    <t>MSIL</t>
  </si>
  <si>
    <t>61516-79GA0</t>
  </si>
  <si>
    <t>BRACKET</t>
  </si>
  <si>
    <t>RFQ-2018-27004-P001</t>
  </si>
  <si>
    <t>PULKIT</t>
  </si>
  <si>
    <t>YES</t>
  </si>
  <si>
    <t>BIW</t>
  </si>
  <si>
    <t>S084</t>
  </si>
  <si>
    <t>61580-79GA0</t>
  </si>
  <si>
    <t>BRACKET COMP</t>
  </si>
  <si>
    <t>RFQ-2018-27005-P001</t>
  </si>
  <si>
    <t>YBA MC</t>
  </si>
  <si>
    <t>58230-85S00</t>
  </si>
  <si>
    <t>MEMBER COMP</t>
  </si>
  <si>
    <t>RFQ-2018-27902-P001</t>
  </si>
  <si>
    <t>OMNI</t>
  </si>
  <si>
    <t>75721-79602</t>
  </si>
  <si>
    <t>BACK DOOR</t>
  </si>
  <si>
    <t>RFQ-2018-28139-P001</t>
  </si>
  <si>
    <t>NO</t>
  </si>
  <si>
    <t>YNC</t>
  </si>
  <si>
    <t>63730-81R00</t>
  </si>
  <si>
    <t>PANEL COMP QTR INNER REAR R</t>
  </si>
  <si>
    <t>RFQ-2018-28034-P002</t>
  </si>
  <si>
    <t>63330-81R00</t>
  </si>
  <si>
    <t>Target Date for Quote Submission</t>
  </si>
  <si>
    <t>RFQ Receipt date</t>
  </si>
  <si>
    <t>Quoted Price</t>
  </si>
  <si>
    <t>A</t>
  </si>
  <si>
    <t>Business (WON/LOST/AWAITED/REGRETED)</t>
  </si>
  <si>
    <t>MSIL - Sachin Padke  from Kapil Ahuja's Team. Follow up on</t>
  </si>
  <si>
    <t>MSIL - Vineet Prasad  from Kapil Ahuja's Team. Follow up on</t>
  </si>
  <si>
    <t>MSIL - Vivek Kumar from Kapil Ahuja's Team</t>
  </si>
  <si>
    <t>RFQ-2018-27768-P001 RFQ 1</t>
  </si>
  <si>
    <t>RFQ-2018-27840-P002 RFQ 2</t>
  </si>
  <si>
    <t>RFQ-2018-27815-P004 RFQ 3</t>
  </si>
  <si>
    <t>RFQ-2018-27885-P002 RFQ 4</t>
  </si>
  <si>
    <t>RFQ-2018-27868-P001 RFQ 5</t>
  </si>
  <si>
    <t>RFQ-2018-27849-P002 RFQ 6</t>
  </si>
  <si>
    <t>RFQ-2018-28291-P004 RFQ 7</t>
  </si>
  <si>
    <t xml:space="preserve">58230-81R00 </t>
  </si>
  <si>
    <t>59232-81R00</t>
  </si>
  <si>
    <t>59282-81R00</t>
  </si>
  <si>
    <t>59230-81R00</t>
  </si>
  <si>
    <t>59230-81R10</t>
  </si>
  <si>
    <t>59280-81R00</t>
  </si>
  <si>
    <t>59280-81R10</t>
  </si>
  <si>
    <t>63240-81R00</t>
  </si>
  <si>
    <t>63640-81R00</t>
  </si>
  <si>
    <t>65400-81R00</t>
  </si>
  <si>
    <t>63210-81R00</t>
  </si>
  <si>
    <t>63610-81R00</t>
  </si>
  <si>
    <t>63110-81R00</t>
  </si>
  <si>
    <t>63110-81R10</t>
  </si>
  <si>
    <t>63510-81R00</t>
  </si>
  <si>
    <t>63510-81R10</t>
  </si>
  <si>
    <t xml:space="preserve">Hood Lock </t>
  </si>
  <si>
    <t>Panel Dash Side Front R</t>
  </si>
  <si>
    <t>Panel Dash Side Front L</t>
  </si>
  <si>
    <t>Panel comp Dash Side R</t>
  </si>
  <si>
    <t>Panel comp Dash Side L</t>
  </si>
  <si>
    <t>Reinf comp, Rear Door Hinge R</t>
  </si>
  <si>
    <t>Reinf comp, Rear Door Hinge L</t>
  </si>
  <si>
    <t>Panel Assy, Rear Skirt</t>
  </si>
  <si>
    <t>Panel comp, Ctr Pillar inner R</t>
  </si>
  <si>
    <t>Panel comp, Ctr Pillar inner L</t>
  </si>
  <si>
    <t>PANEL COMP,FRONT PILLAR INR,R</t>
  </si>
  <si>
    <t>PANEL COMP,FRONT PILLAR INR,L</t>
  </si>
  <si>
    <t>8th Aug'18</t>
  </si>
  <si>
    <t>12th Aug'18</t>
  </si>
  <si>
    <t>14th Aug'18</t>
  </si>
  <si>
    <t>16th Aug'18</t>
  </si>
  <si>
    <t>63310-81R00</t>
  </si>
  <si>
    <t>63710-81R00</t>
  </si>
  <si>
    <t>PANEL COMP QTR INNER R UPPER R</t>
  </si>
  <si>
    <t>PANEL COMP QTR INNER R UPPER L</t>
  </si>
  <si>
    <t>17th Aug 18</t>
  </si>
  <si>
    <t>11th Aug 18</t>
  </si>
  <si>
    <t>RFQ-2018-27962-P002 RFQ 8</t>
  </si>
  <si>
    <t>13th Aug'18</t>
  </si>
  <si>
    <t>17th Aug'18</t>
  </si>
  <si>
    <t>Target Date for Quote Submission Given To DND</t>
  </si>
  <si>
    <t>08th Aug'18</t>
  </si>
  <si>
    <t>16th Aug 18</t>
  </si>
  <si>
    <t>13th Aug 18</t>
  </si>
  <si>
    <t>21st Aug'18</t>
  </si>
  <si>
    <t>23rd Aug'18</t>
  </si>
  <si>
    <t>Actual Target Date for Quote Submission By MSIL</t>
  </si>
  <si>
    <t>13th Aug18</t>
  </si>
  <si>
    <t>16th Aug18</t>
  </si>
  <si>
    <t>29th Aug'18</t>
  </si>
  <si>
    <t>28th Aug'18</t>
  </si>
  <si>
    <t>22nd Aug'18</t>
  </si>
  <si>
    <t>22nd Aug 18</t>
  </si>
  <si>
    <t>RFQ-2018-28435-P002</t>
  </si>
  <si>
    <t>63881-81R00</t>
  </si>
  <si>
    <t>PANEL COMP WHEEL HOUSE OUTER R</t>
  </si>
  <si>
    <t>63480-81R00</t>
  </si>
  <si>
    <t>PANEL WHEEL HOUSE OUTER</t>
  </si>
  <si>
    <t>6th Sept 18</t>
  </si>
  <si>
    <t>5th Sept 18</t>
  </si>
  <si>
    <t>61320-77S00</t>
  </si>
  <si>
    <t>PANEL COMP SIDE SILL INNER L</t>
  </si>
  <si>
    <t>11th sept 18</t>
  </si>
  <si>
    <t>61310-77S00</t>
  </si>
  <si>
    <t>PANEL COMP SIDE SILL INNER R</t>
  </si>
  <si>
    <t>RFQ-2018-28438-P002</t>
  </si>
  <si>
    <t>RFQ-2018-28616--P001</t>
  </si>
  <si>
    <t>58270-77S00</t>
  </si>
  <si>
    <t>MEMBER COMP FRONT BUMPER</t>
  </si>
  <si>
    <t>10th Sept 18</t>
  </si>
  <si>
    <t>RFQ-2018-28685-P001</t>
  </si>
  <si>
    <t>Frame comp front suspension</t>
  </si>
  <si>
    <t>6th sept 18</t>
  </si>
  <si>
    <t>45810-66R00</t>
  </si>
  <si>
    <t>10th sept 18</t>
  </si>
  <si>
    <t>RFQ-2018-28663-P002</t>
  </si>
  <si>
    <t>63630-77S00</t>
  </si>
  <si>
    <t>63230-77S00</t>
  </si>
  <si>
    <t>STRENGTH SOMP SIDE SILL R</t>
  </si>
  <si>
    <t>STRENGTH SOMP SIDE SILL L</t>
  </si>
  <si>
    <t>13.-Sept-18</t>
  </si>
  <si>
    <t>61210-81R00</t>
  </si>
  <si>
    <t>TUNEL COMP</t>
  </si>
  <si>
    <t>RFQ-2018-28762-P001</t>
  </si>
  <si>
    <t>85103-62S00</t>
  </si>
  <si>
    <t>85603-62S00</t>
  </si>
  <si>
    <t>85303-62S00</t>
  </si>
  <si>
    <t>85803-62S00</t>
  </si>
  <si>
    <t>87310-62S00</t>
  </si>
  <si>
    <t>87310-62SA0</t>
  </si>
  <si>
    <t>85303-62SA0</t>
  </si>
  <si>
    <t>S.NO.</t>
  </si>
  <si>
    <t>MODEL</t>
  </si>
  <si>
    <t>PART NO.</t>
  </si>
  <si>
    <t>PART DESCTIPTION</t>
  </si>
  <si>
    <t>TOTAL
Quote</t>
  </si>
  <si>
    <t>Amort
Cost</t>
  </si>
  <si>
    <t>TOTAL
Quote 
With Amort</t>
  </si>
  <si>
    <t>TOOLING
 Cost</t>
  </si>
  <si>
    <t>WELDING
Jigs &amp; CHECK FIXTURES</t>
  </si>
  <si>
    <t xml:space="preserve"> (Rs)</t>
  </si>
  <si>
    <t xml:space="preserve"> (Rs/Lacs)</t>
  </si>
  <si>
    <t>KML</t>
  </si>
  <si>
    <t>FRAME ASSY FR CUSH R</t>
  </si>
  <si>
    <t>CUST. SCOPE</t>
  </si>
  <si>
    <t>FRAME ASSY FR CUSH L</t>
  </si>
  <si>
    <t>FRAME ASSY FR BACK R</t>
  </si>
  <si>
    <t>FRAME ASSY FR BACK L</t>
  </si>
  <si>
    <t xml:space="preserve">FRAME COMP,RR BACK </t>
  </si>
  <si>
    <t>85803-62SA0</t>
  </si>
  <si>
    <t>590 CRITICALSTAMPING PARTS(6 PARTS)</t>
  </si>
  <si>
    <t>TOTAL PRICE</t>
  </si>
  <si>
    <t>ANNUAL BUSINESS VALUE</t>
  </si>
  <si>
    <t>ANNUAL BUSINESS VALUE IN cr</t>
  </si>
  <si>
    <t>SUZUKI MOTORCYCLES</t>
  </si>
  <si>
    <t>44110-3Z1ST</t>
  </si>
  <si>
    <t>TANK COMP FUEL</t>
  </si>
  <si>
    <t>Business Awarded /Lost</t>
  </si>
  <si>
    <t>9th Sept 18</t>
  </si>
  <si>
    <t>RFQ-2018-28736-P002</t>
  </si>
  <si>
    <t>63230-81R00</t>
  </si>
  <si>
    <t>63630-81R00</t>
  </si>
  <si>
    <t>STRENGTH COMP SIDE SILL</t>
  </si>
  <si>
    <t>16th Oct 18</t>
  </si>
  <si>
    <t>26th Oct 18</t>
  </si>
  <si>
    <t>22nd Oct 18</t>
  </si>
  <si>
    <t>30th sept 18</t>
  </si>
  <si>
    <t>YCA Derivative</t>
  </si>
  <si>
    <t>RFQ-2018-29013-P001</t>
  </si>
  <si>
    <t>61210-77S00</t>
  </si>
  <si>
    <t>TUNNEL COMP MAIN FLOOR</t>
  </si>
  <si>
    <t>RFQ-2018-28965-P001</t>
  </si>
  <si>
    <t>62600-77S00</t>
  </si>
  <si>
    <t>CROSSMEMBER COMP REAR FLOOR FR</t>
  </si>
  <si>
    <t>RFQ-2018-28951-P001</t>
  </si>
  <si>
    <t>58410-77S00</t>
  </si>
  <si>
    <t>PANEL COMP FENDER APRON (L)</t>
  </si>
  <si>
    <t>58310-77S00</t>
  </si>
  <si>
    <t>PANEL COMP FENDER APRON (R)</t>
  </si>
  <si>
    <t>YAD</t>
  </si>
  <si>
    <t>RFQ-2018-29155-P002</t>
  </si>
  <si>
    <t>75510-77S00</t>
  </si>
  <si>
    <t>75520-77S00</t>
  </si>
  <si>
    <t>GUARD COMP BATTERY PACK (L)</t>
  </si>
  <si>
    <t>GUARD COMP BATTERY PACK (R)</t>
  </si>
  <si>
    <t>RFQ-2018-29253-P002</t>
  </si>
  <si>
    <t>61130-59T00</t>
  </si>
  <si>
    <t>CROSSMEMBER COMP</t>
  </si>
  <si>
    <t>61180-59T00</t>
  </si>
  <si>
    <t>RFQ-2018-29255-P002</t>
  </si>
  <si>
    <t>61140-59T00</t>
  </si>
  <si>
    <t>CROSMEMBER COMP</t>
  </si>
  <si>
    <t>61190-59T00</t>
  </si>
  <si>
    <t>RFQ-2018-29257-P002</t>
  </si>
  <si>
    <t>61310-59T00</t>
  </si>
  <si>
    <t>PANEL COMP</t>
  </si>
  <si>
    <t>61320-59T00</t>
  </si>
  <si>
    <t>RFQ-2018-28972-P002</t>
  </si>
  <si>
    <t>61130-77S00</t>
  </si>
  <si>
    <t>CROSSMEMBER COMP FLR PAN RR ®</t>
  </si>
  <si>
    <t>RFQ-2018-28970-P002</t>
  </si>
  <si>
    <t>61120-77S00</t>
  </si>
  <si>
    <t>CROSSMEMBER COMP FLR PAN UPR ®</t>
  </si>
  <si>
    <t>61180-77S00</t>
  </si>
  <si>
    <t>CROSSMEMBER COMP FLR PAN RR (L)</t>
  </si>
  <si>
    <t>61170-77S00</t>
  </si>
  <si>
    <t>CROSSMEMBER COMP FLR PAN UPR (L)</t>
  </si>
  <si>
    <t>M091</t>
  </si>
  <si>
    <t xml:space="preserve">Gross </t>
  </si>
  <si>
    <t xml:space="preserve">Net </t>
  </si>
  <si>
    <t>Yield</t>
  </si>
  <si>
    <t>Raw Mat</t>
  </si>
  <si>
    <t>Process</t>
  </si>
  <si>
    <t>RM +</t>
  </si>
  <si>
    <t>Die
Maint</t>
  </si>
  <si>
    <t>Admn.
Expn</t>
  </si>
  <si>
    <t>Pac &amp;
Fawrd</t>
  </si>
  <si>
    <t>Rejection</t>
  </si>
  <si>
    <t>Intt.on</t>
  </si>
  <si>
    <t>Profit</t>
  </si>
  <si>
    <t>Royality</t>
  </si>
  <si>
    <t>TOOLING
Cost</t>
  </si>
  <si>
    <t>ROBOT
Cost</t>
  </si>
  <si>
    <t>WELDING
Jigs</t>
  </si>
  <si>
    <t>CHECK
Fixtures</t>
  </si>
  <si>
    <t>Develop
Exp</t>
  </si>
  <si>
    <t>RMC</t>
  </si>
  <si>
    <t>Total Tool Cost As Per LOI</t>
  </si>
  <si>
    <t>RMC Without Amort</t>
  </si>
  <si>
    <t>Profit/</t>
  </si>
  <si>
    <t>PCD SOP+ 1Yr</t>
  </si>
  <si>
    <t>PCD SOP+ 2Yr</t>
  </si>
  <si>
    <t>PCD SOP+ 3Yr</t>
  </si>
  <si>
    <t xml:space="preserve">Total Cost After 4 years </t>
  </si>
  <si>
    <t>RMC with Amort After 3 years</t>
  </si>
  <si>
    <t xml:space="preserve">Norms </t>
  </si>
  <si>
    <t>Wt.</t>
  </si>
  <si>
    <t>%</t>
  </si>
  <si>
    <t>Cost</t>
  </si>
  <si>
    <t>Process Cost</t>
  </si>
  <si>
    <t>RM+Process</t>
  </si>
  <si>
    <t>1.a</t>
  </si>
  <si>
    <t>PANEL COMP, QTR INNER REAR, R</t>
  </si>
  <si>
    <t>OH - 25%, PROFIT - 2% RM + 35% PROCESS</t>
  </si>
  <si>
    <t>1.b</t>
  </si>
  <si>
    <t>PANEL COMP, QTR INNER REAR, L</t>
  </si>
  <si>
    <t>2.a</t>
  </si>
  <si>
    <t>58230-81R00</t>
  </si>
  <si>
    <t>MEMBER COMP,HOOD LOCK</t>
  </si>
  <si>
    <t>3.a</t>
  </si>
  <si>
    <t>PANEL COMP,QTR INNER UPPER,R</t>
  </si>
  <si>
    <t>3.b</t>
  </si>
  <si>
    <t>PANEL COMP,QTR INNER UPPER,L</t>
  </si>
  <si>
    <t>4.a</t>
  </si>
  <si>
    <t>4.b</t>
  </si>
  <si>
    <t>4.c</t>
  </si>
  <si>
    <t>4.d</t>
  </si>
  <si>
    <t>5.a</t>
  </si>
  <si>
    <t>PANEL COMP WHEEL HOUSE OUTER,R</t>
  </si>
  <si>
    <t>5.b</t>
  </si>
  <si>
    <t>PANEL  WHEEL HOUSE OUTER,L</t>
  </si>
  <si>
    <t>6.a</t>
  </si>
  <si>
    <t>Panel Dash Side Front-R</t>
  </si>
  <si>
    <t>6.b</t>
  </si>
  <si>
    <t>Panel Dash Side Front-L</t>
  </si>
  <si>
    <t>RFQ-2018-29167-P001</t>
  </si>
  <si>
    <t>75660-81R00</t>
  </si>
  <si>
    <t>CARRIER COMP SPARE TIER RR</t>
  </si>
  <si>
    <t>Sachin Phadke</t>
  </si>
  <si>
    <t>Somesh</t>
  </si>
  <si>
    <t>Ankur Sharma</t>
  </si>
  <si>
    <t>Vivek</t>
  </si>
  <si>
    <t xml:space="preserve">Actual Technical Detail SubmITTED BY dnd to mkt </t>
  </si>
  <si>
    <t>YOM</t>
  </si>
  <si>
    <t>RFQ-2018-29180-P001</t>
  </si>
  <si>
    <t>65130-53T00</t>
  </si>
  <si>
    <t>MEMBER COMP ROOF BACK  INNER</t>
  </si>
  <si>
    <t>20.12.2018</t>
  </si>
  <si>
    <t>RFQ-2018-29179-P001</t>
  </si>
  <si>
    <t>65400-53T00</t>
  </si>
  <si>
    <t>PANEL COMP BACK</t>
  </si>
  <si>
    <t>21.12.2018</t>
  </si>
  <si>
    <t>RFQ-2018-29203-P002</t>
  </si>
  <si>
    <t>63110-53T00</t>
  </si>
  <si>
    <t>63510-63T00</t>
  </si>
  <si>
    <t>24.12.2018</t>
  </si>
  <si>
    <t>RFQ-2018-29212-P001</t>
  </si>
  <si>
    <t>58270-53T00</t>
  </si>
  <si>
    <t>RFQ-2018-29184-P002</t>
  </si>
  <si>
    <t>63240-53T00</t>
  </si>
  <si>
    <t>63640-53T00</t>
  </si>
  <si>
    <t>REINF COMP</t>
  </si>
  <si>
    <t>25.12.2018</t>
  </si>
  <si>
    <t>RFQ-2018-29187-P002</t>
  </si>
  <si>
    <t>63541-53T00</t>
  </si>
  <si>
    <t>63141-53T00</t>
  </si>
  <si>
    <t>REINF</t>
  </si>
  <si>
    <t>27.12.2018</t>
  </si>
  <si>
    <t>RFQ-2018-29763-P001</t>
  </si>
  <si>
    <t>45810-77S00</t>
  </si>
  <si>
    <t>FRAME COMP</t>
  </si>
  <si>
    <t>FRAME</t>
  </si>
  <si>
    <t>RFQ-2018-29183-P004</t>
  </si>
  <si>
    <t>63320-53T00</t>
  </si>
  <si>
    <t>63720-53T10</t>
  </si>
  <si>
    <t>63320-53T10</t>
  </si>
  <si>
    <t>63720-53T00</t>
  </si>
  <si>
    <t>28.12.2018</t>
  </si>
  <si>
    <t>RFQ-2018-29216-P002</t>
  </si>
  <si>
    <t>59720-53T00</t>
  </si>
  <si>
    <t>59720-53T10</t>
  </si>
  <si>
    <t>Aayush aggarwal</t>
  </si>
  <si>
    <t>Awarded</t>
  </si>
  <si>
    <t xml:space="preserve">Part cost Without Amort </t>
  </si>
  <si>
    <t xml:space="preserve">Amortization Cost </t>
  </si>
  <si>
    <t xml:space="preserve">Part cost With Amortization </t>
  </si>
  <si>
    <t>L</t>
  </si>
  <si>
    <t xml:space="preserve">Part Cost Without Amortization </t>
  </si>
  <si>
    <t xml:space="preserve">Total Quoted Price with Amortization </t>
  </si>
  <si>
    <t xml:space="preserve">QUOTED </t>
  </si>
  <si>
    <t xml:space="preserve">Development cost </t>
  </si>
  <si>
    <t>Business (WON/LOST/AWAITED)</t>
  </si>
  <si>
    <t>Business Awarded</t>
  </si>
  <si>
    <t>Business Lost to JBM because  of commonisation of part</t>
  </si>
  <si>
    <t>Business Lost due to High Tooling price as Imported Tooling was considered</t>
  </si>
  <si>
    <t>RFQ Cancelled by MSIL</t>
  </si>
  <si>
    <t>Quote submitted on 24th Dec'18. Business gone to JBM because of commonisation</t>
  </si>
  <si>
    <t>Quote submitted on 7th Jan'19</t>
  </si>
  <si>
    <t>PANEL COMP,QTR INNER REAR,R</t>
  </si>
  <si>
    <t>PANEL COMP,QTR INNER REAR,L</t>
  </si>
  <si>
    <t>Quote submitted on 17th Jan 19</t>
  </si>
  <si>
    <t>Quote submitted on 14th Jan 19</t>
  </si>
  <si>
    <t>Quote  submitted on 11th Jan'19</t>
  </si>
  <si>
    <t>Quote submitted on 14th Jan'19</t>
  </si>
  <si>
    <t>Quote to be submitted on 23rd Jan'19</t>
  </si>
  <si>
    <t>Y0M</t>
  </si>
  <si>
    <t>RFQ-2018-29182-P005</t>
  </si>
  <si>
    <t>63330-53T00</t>
  </si>
  <si>
    <t>63730-53T10</t>
  </si>
  <si>
    <t>63730-53T20</t>
  </si>
  <si>
    <t>63330-53T10</t>
  </si>
  <si>
    <t>63730-53T00</t>
  </si>
  <si>
    <t>RFQ-2018-29215-P002</t>
  </si>
  <si>
    <t>59710-53T00</t>
  </si>
  <si>
    <t>59710-53T10</t>
  </si>
  <si>
    <t>59240-53T00</t>
  </si>
  <si>
    <t>59290-53T10</t>
  </si>
  <si>
    <t>59290-53T00</t>
  </si>
  <si>
    <t>RFQ-2018-29993-P004</t>
  </si>
  <si>
    <t>RFQ-2018-29972-P002</t>
  </si>
  <si>
    <t>61320-53T00</t>
  </si>
  <si>
    <t>63130-53T00</t>
  </si>
  <si>
    <t>RFQ-2018-29923-P001</t>
  </si>
  <si>
    <t>72380-53T00</t>
  </si>
  <si>
    <t>CROSSMEMBER</t>
  </si>
  <si>
    <t>RFQ-2018-29968-P002</t>
  </si>
  <si>
    <t>61120-53T00</t>
  </si>
  <si>
    <t>61170-53T00</t>
  </si>
  <si>
    <t>05.02.2019</t>
  </si>
  <si>
    <t>01.02.2019</t>
  </si>
  <si>
    <t>08.02.2019</t>
  </si>
  <si>
    <t>13.02.2019</t>
  </si>
  <si>
    <t>LOI Received</t>
  </si>
  <si>
    <t>RFQ-2019-30063-P001</t>
  </si>
  <si>
    <t>71200-77S00</t>
  </si>
  <si>
    <t>FRAME ASSY</t>
  </si>
  <si>
    <t>26.03.2019</t>
  </si>
  <si>
    <t>05.04.2019</t>
  </si>
  <si>
    <t>Requote Done</t>
  </si>
  <si>
    <t>RFQ-2019-31146-P002</t>
  </si>
  <si>
    <t>64140-77S00</t>
  </si>
  <si>
    <t>64540-77S00</t>
  </si>
  <si>
    <t>19.04.2019</t>
  </si>
  <si>
    <t>22.04.2019</t>
  </si>
  <si>
    <t>RFQ-2019-30937-P001</t>
  </si>
  <si>
    <t>RFQ-2019-30934-P002</t>
  </si>
  <si>
    <t>RFQ-2019-30936-P001</t>
  </si>
  <si>
    <t>RFQ-2019-30940-P001</t>
  </si>
  <si>
    <t>RFQ-2019-30939-P001</t>
  </si>
  <si>
    <t>9B540-77S00</t>
  </si>
  <si>
    <t>9B510-77S00</t>
  </si>
  <si>
    <t>9B710-77S00</t>
  </si>
  <si>
    <t>9B340-77S00</t>
  </si>
  <si>
    <t>9B330-77S00</t>
  </si>
  <si>
    <t>9B320-77S00</t>
  </si>
  <si>
    <t>MEMBER COM</t>
  </si>
  <si>
    <t>29.04.2019</t>
  </si>
  <si>
    <t>RFQ NO</t>
  </si>
  <si>
    <t xml:space="preserve">PART NAME </t>
  </si>
  <si>
    <t>PART NUMBER</t>
  </si>
  <si>
    <t>3D</t>
  </si>
  <si>
    <t>2D</t>
  </si>
  <si>
    <t>yes</t>
  </si>
  <si>
    <t>BOM</t>
  </si>
  <si>
    <t>26.04.2019</t>
  </si>
  <si>
    <t>02.05.2019</t>
  </si>
  <si>
    <t>16.05.2019</t>
  </si>
  <si>
    <t>27.04.2019</t>
  </si>
  <si>
    <t>RFQ-2019-31145-P001</t>
  </si>
  <si>
    <t>58230-77S00</t>
  </si>
  <si>
    <t xml:space="preserve">HARSHIT </t>
  </si>
  <si>
    <t>09.05.2019</t>
  </si>
  <si>
    <t>11.05.2019</t>
  </si>
  <si>
    <t>07.06.2019</t>
  </si>
  <si>
    <t>08.08.2019</t>
  </si>
  <si>
    <t>13.08.2019</t>
  </si>
  <si>
    <t>YMP</t>
  </si>
  <si>
    <t>VOLUME</t>
  </si>
  <si>
    <t>SOP DATE</t>
  </si>
  <si>
    <t>YG8</t>
  </si>
  <si>
    <t>RFQ-2019-32153-P001</t>
  </si>
  <si>
    <t>59760M83B10</t>
  </si>
  <si>
    <t>26.08.2019</t>
  </si>
  <si>
    <t>16.09.2019</t>
  </si>
  <si>
    <t>02.09.2019</t>
  </si>
  <si>
    <t>S.No</t>
  </si>
  <si>
    <t>TARGET SUBMISSION DATE</t>
  </si>
  <si>
    <t>BUYER</t>
  </si>
  <si>
    <t>RFQ-2019-31638-P004</t>
  </si>
  <si>
    <t>63210-66T10</t>
  </si>
  <si>
    <t>PANEL COMP CTR PILLAR INNER R</t>
  </si>
  <si>
    <t>17.09.2019</t>
  </si>
  <si>
    <t>ANKIT GUPTA</t>
  </si>
  <si>
    <t>63610-66T10</t>
  </si>
  <si>
    <t>PANEL COMP CTR PILLAR INNER L</t>
  </si>
  <si>
    <t>63210-66T00</t>
  </si>
  <si>
    <t>63610-66T00</t>
  </si>
  <si>
    <t>RFQ-2019-31639-P002</t>
  </si>
  <si>
    <t>63231-66T00</t>
  </si>
  <si>
    <t>REINF ROOF SIDE R</t>
  </si>
  <si>
    <t>18.09.2019</t>
  </si>
  <si>
    <t>SOMESH</t>
  </si>
  <si>
    <t>63631-66T00</t>
  </si>
  <si>
    <t>REINF ROOF SIDE L</t>
  </si>
  <si>
    <t>RFQ-2019-31643-P002</t>
  </si>
  <si>
    <t>63330-66T00</t>
  </si>
  <si>
    <t>REINF COMP REAR PILLAR INNER R</t>
  </si>
  <si>
    <t>63730-66T00</t>
  </si>
  <si>
    <t>REINF COMP REAR PILLAR INNER L</t>
  </si>
  <si>
    <t>RFQ-2019-31640-P002</t>
  </si>
  <si>
    <t>63240-66T00</t>
  </si>
  <si>
    <t>REINF COMP REAR DOOR HINGE R</t>
  </si>
  <si>
    <t>63640-66T00</t>
  </si>
  <si>
    <t>REINF COMP REAR DOOR HINGE L</t>
  </si>
  <si>
    <t>RFQ-2019-31641-P002</t>
  </si>
  <si>
    <t>63310-66T00</t>
  </si>
  <si>
    <t>RAIL COMP ROOF SIDE INNER RR R</t>
  </si>
  <si>
    <t>63710-66T00</t>
  </si>
  <si>
    <t>RAIL COMP ROOF SIDE INNER RR L</t>
  </si>
  <si>
    <t>RFQ-2019-31628-P001</t>
  </si>
  <si>
    <t>59300-66T00</t>
  </si>
  <si>
    <t>PANEL COMP COWL UPPER</t>
  </si>
  <si>
    <t>RFQ-2019-31673-P001</t>
  </si>
  <si>
    <t>65130-66T00</t>
  </si>
  <si>
    <t>MEMBER COMP ROOF BACK INNER</t>
  </si>
  <si>
    <t>RFQ-2019-31665-P002</t>
  </si>
  <si>
    <t>64120-66T00</t>
  </si>
  <si>
    <t>EXTENSION COMP SIDE BODY OTR R</t>
  </si>
  <si>
    <t>64520-66T00</t>
  </si>
  <si>
    <t>EXTENSION COMP SIDE BODY OTR L</t>
  </si>
  <si>
    <t>RFQ-2019-31635-P002</t>
  </si>
  <si>
    <t>63110-66T00</t>
  </si>
  <si>
    <t>PANEL COMP FR PILLAR INNER R</t>
  </si>
  <si>
    <t>63510-66T00</t>
  </si>
  <si>
    <t>PANEL COMP FR PILLAR INNER L</t>
  </si>
  <si>
    <t>YXA</t>
  </si>
  <si>
    <t>10.09.2019</t>
  </si>
  <si>
    <t>25.09.2019</t>
  </si>
  <si>
    <t>28.09.2019</t>
  </si>
  <si>
    <t>Checked by vikas/Not</t>
  </si>
  <si>
    <t>Quote pending</t>
  </si>
  <si>
    <t>23.09.2019</t>
  </si>
  <si>
    <t>Checked</t>
  </si>
  <si>
    <t>Done</t>
  </si>
  <si>
    <t>Not Checked</t>
  </si>
  <si>
    <t>Not Received</t>
  </si>
  <si>
    <t>Final</t>
  </si>
  <si>
    <t>RFQ-2019-31618-P001</t>
  </si>
  <si>
    <t>58270-66T00</t>
  </si>
  <si>
    <t>19.09.2019</t>
  </si>
  <si>
    <t>Data received frm D&amp;D</t>
  </si>
  <si>
    <t>24.09.2019</t>
  </si>
  <si>
    <t>21.09.2019</t>
  </si>
  <si>
    <t>22.09.2019</t>
  </si>
  <si>
    <t>19..09.2019</t>
  </si>
  <si>
    <t>TARGET SUBMISSION DATE OLD</t>
  </si>
  <si>
    <t>TARGET SUBMISSION DATE REVISED</t>
  </si>
  <si>
    <t>30.09.2019</t>
  </si>
  <si>
    <t>03.10.2019</t>
  </si>
  <si>
    <t>2D Receive Date</t>
  </si>
  <si>
    <t>YXA Project  RFQ :-2d , 3d &amp; MSIL BOM Data Status  Sheet</t>
  </si>
  <si>
    <t>DATE</t>
  </si>
  <si>
    <t>25-09-2019</t>
  </si>
  <si>
    <t>S. No</t>
  </si>
  <si>
    <t>Part no</t>
  </si>
  <si>
    <t>Part name</t>
  </si>
  <si>
    <t>3D DATA</t>
  </si>
  <si>
    <t>MSIL BOM</t>
  </si>
  <si>
    <t>3d Received date</t>
  </si>
  <si>
    <t>2D DRAWING</t>
  </si>
  <si>
    <t>2d Received date</t>
  </si>
  <si>
    <t>RFQ Submission Date</t>
  </si>
  <si>
    <t>TOOLING</t>
  </si>
  <si>
    <t>WELDING</t>
  </si>
  <si>
    <t>Status</t>
  </si>
  <si>
    <t>RFQ RECEIVED DATE:-10-09-19 (2.00 P.M)</t>
  </si>
  <si>
    <t>RFQ-2019-31628-P001-</t>
  </si>
  <si>
    <t>59300-66T00-(PANEL-COMP-COWL-UPPER)</t>
  </si>
  <si>
    <t>59300-66T00-000</t>
  </si>
  <si>
    <t>PANEL COMP,COWL UPPER</t>
  </si>
  <si>
    <t>M233323-59300-66T00_000.003</t>
  </si>
  <si>
    <t>PENDING</t>
  </si>
  <si>
    <t>17-09-2019</t>
  </si>
  <si>
    <t>FOR REVIEW</t>
  </si>
  <si>
    <t>19-09-19</t>
  </si>
  <si>
    <t>59311-66T00-000</t>
  </si>
  <si>
    <t>PANEL,COWL UPPER</t>
  </si>
  <si>
    <t>M233323-59311-66T00-P1_000.011</t>
  </si>
  <si>
    <t>19-09-2019</t>
  </si>
  <si>
    <t>21-09-2019</t>
  </si>
  <si>
    <t>59312-61M00-000</t>
  </si>
  <si>
    <t>SEALING,COWL VENTILATOR</t>
  </si>
  <si>
    <t>59312-61M00A_002</t>
  </si>
  <si>
    <t>59313-64M01-000</t>
  </si>
  <si>
    <t>MEMBER,COWL UPPER FRONT</t>
  </si>
  <si>
    <t>59313-64M01A_000</t>
  </si>
  <si>
    <t>59314-66T00-000</t>
  </si>
  <si>
    <t>REINF PANEL,COWL UPPER</t>
  </si>
  <si>
    <t>M233323-59314-66T00_000.008</t>
  </si>
  <si>
    <t>59321-66T00-000</t>
  </si>
  <si>
    <t>BRACKET,BRAKE PEDAL</t>
  </si>
  <si>
    <t>M233323-59321-66T00_000.012</t>
  </si>
  <si>
    <t>59331-64M00-000</t>
  </si>
  <si>
    <t>BRACKET,CLUTCH PEDAL</t>
  </si>
  <si>
    <t>59331-64M00A_000</t>
  </si>
  <si>
    <t>59341-64M00-000</t>
  </si>
  <si>
    <t>BRACKET,WIPER LINK</t>
  </si>
  <si>
    <t>59341-64M00A_000</t>
  </si>
  <si>
    <t>63110-510-66T00-(PANEL-COMP-FR-PILLAR-INNER-R-L)</t>
  </si>
  <si>
    <t>PANEL COMP,FR PILLAR INNER,R</t>
  </si>
  <si>
    <t>MCAE-63110-66T00-XA01_000.001</t>
  </si>
  <si>
    <t>18-09-2019</t>
  </si>
  <si>
    <t>PANEL COMP,FR PILLAR INNER,L</t>
  </si>
  <si>
    <t>MCAE-63510-66T00-XA01_000.001</t>
  </si>
  <si>
    <t>63111-66T00</t>
  </si>
  <si>
    <t>PANEL,FR PILLAR INNER,R</t>
  </si>
  <si>
    <t>MCAE-63111-66T00-XA01_000.002</t>
  </si>
  <si>
    <t>PPT DRAWING</t>
  </si>
  <si>
    <t>24-09-2019</t>
  </si>
  <si>
    <t>63511-66T00</t>
  </si>
  <si>
    <t>PANEL,FR PILLAR INNER,L</t>
  </si>
  <si>
    <t>MCAE-63511-66T00-XA01_000.002</t>
  </si>
  <si>
    <t>63112-66T00</t>
  </si>
  <si>
    <t>BRACKET,ROOF SIDE FR,R</t>
  </si>
  <si>
    <t>MCAE-63112-66T00-XA01_000.004</t>
  </si>
  <si>
    <t>63512-66T00</t>
  </si>
  <si>
    <t>BRACKET,ROOF SIDE FR,L</t>
  </si>
  <si>
    <t>MCAE-63512-66T00-XA01_000.003</t>
  </si>
  <si>
    <t>63120-66T00</t>
  </si>
  <si>
    <t>RAIL COMP,ROOF SIDE INNER,R</t>
  </si>
  <si>
    <t>MCAE-63120-66T00-XA01_000.001</t>
  </si>
  <si>
    <t>63520-66T00</t>
  </si>
  <si>
    <t>RAIL COMP,ROOF SIDE INNER,L</t>
  </si>
  <si>
    <t>MCAE-63520-66T00-XA01_000.001</t>
  </si>
  <si>
    <t>63121-66T00</t>
  </si>
  <si>
    <t>RAIL,ROOF SIDE INNER,R</t>
  </si>
  <si>
    <t>MCAE-63121-66T00-XA01_000.003</t>
  </si>
  <si>
    <t>63521-66T00</t>
  </si>
  <si>
    <t>RAIL,ROOF SIDE INNER,L</t>
  </si>
  <si>
    <t>MCAE-63521-66T00-XA01_000.003</t>
  </si>
  <si>
    <t>63122-66T00</t>
  </si>
  <si>
    <t>BRACKET,ASSISTANT GRIP</t>
  </si>
  <si>
    <t>MCAE-63122-66T00-XA01_000.001</t>
  </si>
  <si>
    <t>63123-64M00</t>
  </si>
  <si>
    <t>BRACE,ROOF SIDE CTR</t>
  </si>
  <si>
    <t>63123-64M00A_000</t>
  </si>
  <si>
    <t>RFQ-2019-31638-P004-</t>
  </si>
  <si>
    <t>63210-610-66T00-T10-(PANEL-COMP-CTR-PILLAR-INNER-R-L)</t>
  </si>
  <si>
    <t>PANEL COMP,CTR PILLAR INNER,R</t>
  </si>
  <si>
    <t>M294845-63210-66T00_000.001</t>
  </si>
  <si>
    <t>20-09-19</t>
  </si>
  <si>
    <t>MCAE-63210-66T10-XA01_000.001</t>
  </si>
  <si>
    <t>PANEL COMP,CTR PILLAR INNER,L</t>
  </si>
  <si>
    <t>M186155-63610-66T-FIXED_000.001</t>
  </si>
  <si>
    <t>MCAE-63610-66T10-XA01_000.001</t>
  </si>
  <si>
    <t>63211-66T00</t>
  </si>
  <si>
    <t>PANEL,CTR PILLAR INNER,R</t>
  </si>
  <si>
    <t>20-09-2019</t>
  </si>
  <si>
    <t>63211-66T10</t>
  </si>
  <si>
    <t>MCAE-63211-66T10-XA01_000.001</t>
  </si>
  <si>
    <t>BOM V/s 3D MISS MATCH PART NUMBER</t>
  </si>
  <si>
    <t>63611-66T00</t>
  </si>
  <si>
    <t>PANEL,CTR PILLAR INNER,L</t>
  </si>
  <si>
    <t>M186155-63611-66T-FIXED_000.001</t>
  </si>
  <si>
    <t>63611-66T10</t>
  </si>
  <si>
    <t>MCAE-63611-66T10-XA01_000.001</t>
  </si>
  <si>
    <t>63212-76M00</t>
  </si>
  <si>
    <t>REINF,SEAT BELT ANCHORAGE</t>
  </si>
  <si>
    <t>63212-76M00A_003</t>
  </si>
  <si>
    <t>63213-75J01</t>
  </si>
  <si>
    <t>REINF,SEAT BELT ADJUSTER LWR</t>
  </si>
  <si>
    <t>63213-75J01A_001</t>
  </si>
  <si>
    <t>RFQ-2019-31639-P002-</t>
  </si>
  <si>
    <t>63231-66T00-(REINF-ROOF-SIDE)</t>
  </si>
  <si>
    <t>REINF-ROOF-SIDE-R</t>
  </si>
  <si>
    <t>MCAE-63231-66T00-XA01_000.003</t>
  </si>
  <si>
    <t>REINF-ROOF-SIDE-L</t>
  </si>
  <si>
    <t>MCAE-63631-66T00-XA01_000.003</t>
  </si>
  <si>
    <t>RFQ-2019-31640-P002-</t>
  </si>
  <si>
    <t>63240-640-66T00-(REINF-COMP-REAR-DOOR-HINGE)</t>
  </si>
  <si>
    <t>REINF COMP,REAR DOOR HINGE,R</t>
  </si>
  <si>
    <t>MCAE_63240_66T00_XA01_000_002</t>
  </si>
  <si>
    <t>16-09-19</t>
  </si>
  <si>
    <t>REINF COMP,REAR DOOR HINGE,L</t>
  </si>
  <si>
    <t>MCAE-63640-66T00-XA01_000.002</t>
  </si>
  <si>
    <t>63241-66T00</t>
  </si>
  <si>
    <t>REINF,RR DOOR HINGE,R</t>
  </si>
  <si>
    <t>MCAE-63241-66T00-XA01_000.004</t>
  </si>
  <si>
    <t>63641-66T00</t>
  </si>
  <si>
    <t>REINF,RR DOOR HINGE,L</t>
  </si>
  <si>
    <t>MCAE-63641-66T00-XA01_000.005</t>
  </si>
  <si>
    <t>63242-66T00</t>
  </si>
  <si>
    <t>EXTENSION,RR DOOR HINGE REINF,R</t>
  </si>
  <si>
    <t>MCAE-63242-66T00-XA01_000.001</t>
  </si>
  <si>
    <t>63642-66T00</t>
  </si>
  <si>
    <t>EXTENSION,RR DOOR HINGE REINF,L</t>
  </si>
  <si>
    <t>MCAE-63642-66T00-XA01_000.001</t>
  </si>
  <si>
    <t>63243-66T00</t>
  </si>
  <si>
    <t>REINF,RR DOOR HINGE UPR,R</t>
  </si>
  <si>
    <t>MCAE-63243-66T00-XA01_000.002</t>
  </si>
  <si>
    <t>63643-66T00</t>
  </si>
  <si>
    <t>REINF,RR DOOR HINGE UPR,L</t>
  </si>
  <si>
    <t>MCAE-63643-66T00-XA01_000.002</t>
  </si>
  <si>
    <t>63244-66T00</t>
  </si>
  <si>
    <t>REINF,RR DOOR HINGE LWR,R</t>
  </si>
  <si>
    <t>MCAE-63244-66T00-XA01_000.001</t>
  </si>
  <si>
    <t>63644-66T00</t>
  </si>
  <si>
    <t>REINF,RR DOOR HINGE LWR,L</t>
  </si>
  <si>
    <t>MCAE-63644-66T00-XA01_000.001</t>
  </si>
  <si>
    <t>64817-54L00</t>
  </si>
  <si>
    <t>RETAINER, DOOR STRIKER</t>
  </si>
  <si>
    <t>64817-54L00A/000</t>
  </si>
  <si>
    <t>RFQ-2019-31641-P002-</t>
  </si>
  <si>
    <t>63310-710-66T00-(RAIL-COMP-ROOF-SIDE-INNER-RR)</t>
  </si>
  <si>
    <t>RAIL COMP,ROOF SIDE INNER RR,R</t>
  </si>
  <si>
    <t>MCAE-63310-66T00-XA01_000.005</t>
  </si>
  <si>
    <t>15-09-19</t>
  </si>
  <si>
    <t>RAIL COMP,ROOF SIDE INNER RR,L</t>
  </si>
  <si>
    <t>MCAE-63710-66T00-XA01_000.001</t>
  </si>
  <si>
    <t>63311-66T00</t>
  </si>
  <si>
    <t>RAIL,ROOF SIDE INNER RR,R</t>
  </si>
  <si>
    <t>MCAE-63311-66T00-XA01_000.007</t>
  </si>
  <si>
    <t>63711-66T00</t>
  </si>
  <si>
    <t>RAIL,ROOF SIDE INNER RR,L</t>
  </si>
  <si>
    <t>MCAE-63711-66T00-XA01_000.005</t>
  </si>
  <si>
    <t>63330-730-66T00(REINF COMP REAR PILLAR INNER R/L)</t>
  </si>
  <si>
    <t>REINF COMP,REAR PILLAR INNER,R</t>
  </si>
  <si>
    <t>M294845-63330-66T00_000.001</t>
  </si>
  <si>
    <t>REINF COMP,REAR PILLAR INNER,L</t>
  </si>
  <si>
    <t>M294845-63730-66T00_000.001</t>
  </si>
  <si>
    <t>63331-66T00</t>
  </si>
  <si>
    <t>REINF,REAR PILLAR INNER UPR,R</t>
  </si>
  <si>
    <t>M294845-63331-66T00_000.002</t>
  </si>
  <si>
    <t>63731-66T00</t>
  </si>
  <si>
    <t>REINF,REAR PILLAR INNER UPR,L</t>
  </si>
  <si>
    <t>M294845-63731-66T00_000.001</t>
  </si>
  <si>
    <t>63332-66T00</t>
  </si>
  <si>
    <t>REINF,REAR PILLAR INNER LWR,R</t>
  </si>
  <si>
    <t>M294845-63332-66T00_000.002</t>
  </si>
  <si>
    <t>63732-66T00</t>
  </si>
  <si>
    <t>REINF,REAR PILLAR INNER LWR,L</t>
  </si>
  <si>
    <t>M294845-63732-66T00_000.001</t>
  </si>
  <si>
    <t>63333-66T00</t>
  </si>
  <si>
    <t>REINF,REAR PILLAR,R</t>
  </si>
  <si>
    <t>M294845-63333-66T00_000.002</t>
  </si>
  <si>
    <t>63733-66T00</t>
  </si>
  <si>
    <t>REINF,REAR PILLAR,L</t>
  </si>
  <si>
    <t>M293989-63733-66T00_000.001</t>
  </si>
  <si>
    <t>RFQ-2019-31665-P002-</t>
  </si>
  <si>
    <t>64120-520-66T00-(EXTENSION-COMP-SIDE-BODY)</t>
  </si>
  <si>
    <t>EXTENSION COMP,SIDE BODY OTR,R</t>
  </si>
  <si>
    <t>MCAE-64120-66T00-XA01_000.001</t>
  </si>
  <si>
    <t>13-09-19</t>
  </si>
  <si>
    <t>EXTENSION COMP,SIDE BODY OTR,L</t>
  </si>
  <si>
    <t>MCAE-64520-66T00-XA01_000.001</t>
  </si>
  <si>
    <t>64121-66T00</t>
  </si>
  <si>
    <t>EXTENSION, SIDE BODY OTR, R</t>
  </si>
  <si>
    <t>MCAE-64121-66T00-XA01_000.001</t>
  </si>
  <si>
    <t>64521-66T00</t>
  </si>
  <si>
    <t>EXTENSION, SIDE BODY OTR, L</t>
  </si>
  <si>
    <t>MCAE-64521-66T00-XA01_000.001</t>
  </si>
  <si>
    <t>64122-60M00</t>
  </si>
  <si>
    <t>REINF,BACK DOOR BALANCER</t>
  </si>
  <si>
    <t>64122-60M00A_000</t>
  </si>
  <si>
    <t>65130-66T00-(MEMBER-COMP-ROOF-BACK-INNER)</t>
  </si>
  <si>
    <t>MEMBER COMP,ROOF BACK INNER</t>
  </si>
  <si>
    <t>M267589-65130-66T00Y_000.002</t>
  </si>
  <si>
    <t>14-09-19</t>
  </si>
  <si>
    <t>65131-66T00</t>
  </si>
  <si>
    <t>MEMBER,ROOF BACK INNER</t>
  </si>
  <si>
    <t>M267589-65131-66T00_000.003</t>
  </si>
  <si>
    <t>65132-66T00</t>
  </si>
  <si>
    <t>REINF,BACK DOOR HINGE,R</t>
  </si>
  <si>
    <t>M267589-65132-66T00_000.008</t>
  </si>
  <si>
    <t>65133-66T00</t>
  </si>
  <si>
    <t>REINF,BACK DOOR HINGE,L</t>
  </si>
  <si>
    <t>M267589-65133-66T00_000.005</t>
  </si>
  <si>
    <t>65134-66T00</t>
  </si>
  <si>
    <t>STIFFENER,BACK DOOR HINGE,R</t>
  </si>
  <si>
    <t>M267589-65134-66T00_000.003</t>
  </si>
  <si>
    <t>65135-66T00</t>
  </si>
  <si>
    <t>STIFFENER,BACK DOOR HINGE,L</t>
  </si>
  <si>
    <t>M267589-65135-66T00_000.004</t>
  </si>
  <si>
    <t xml:space="preserve">RFQ RECEIVED DATE:-19-09-19 </t>
  </si>
  <si>
    <t>RFQ-2019-31618-P001-</t>
  </si>
  <si>
    <t>58270-66T00-(MEMBER-COMP-FRONT-BUMPER)</t>
  </si>
  <si>
    <t>MEMBER COMP,FRONT BUMPER</t>
  </si>
  <si>
    <t>M294845-58270-66T00/000.001</t>
  </si>
  <si>
    <t>M185566-58270-66T00YWAP/000.004</t>
  </si>
  <si>
    <t>23-09-2019</t>
  </si>
  <si>
    <t>58271-66T00</t>
  </si>
  <si>
    <t>MEMBER,FR BUMPER</t>
  </si>
  <si>
    <t>M185566-58271-66T00/000.003</t>
  </si>
  <si>
    <t>58272-66T00</t>
  </si>
  <si>
    <t>REINF,FR BUMPER MEMBER</t>
  </si>
  <si>
    <t>M294845-58272-66T00/000.001</t>
  </si>
  <si>
    <t>58273-66T00</t>
  </si>
  <si>
    <t>BRACKET,HORN</t>
  </si>
  <si>
    <t>M294845-58273-66T00/000.001</t>
  </si>
  <si>
    <t>58281-66T00</t>
  </si>
  <si>
    <t>PLATE,FR BUMPER MEMBER,R</t>
  </si>
  <si>
    <t>M185566-58281-66T00/000.001</t>
  </si>
  <si>
    <t>58291-66T00</t>
  </si>
  <si>
    <t>PLATE,FR BUMPER MEMBER,L</t>
  </si>
  <si>
    <t>M185566-58291-66T00/000.001</t>
  </si>
  <si>
    <t>58282-85S00</t>
  </si>
  <si>
    <t>ABSORBER,FR BPR MBR UPR FR,R</t>
  </si>
  <si>
    <t>58282-85S00A/000</t>
  </si>
  <si>
    <t>58292-85S00</t>
  </si>
  <si>
    <t>ABSORBER,FR BPR MBR UPR FR,L</t>
  </si>
  <si>
    <t>58292-85S00A/000</t>
  </si>
  <si>
    <t>58283-85S00</t>
  </si>
  <si>
    <t>ABSORBER,FR BPR MBR LWR FR,R</t>
  </si>
  <si>
    <t>58283-85S00A/000</t>
  </si>
  <si>
    <t>58293-85S00</t>
  </si>
  <si>
    <t>ABSORBER,FR BPR MBR LWR FR,L</t>
  </si>
  <si>
    <t>58293-85S00A/000</t>
  </si>
  <si>
    <t>58284-85S00</t>
  </si>
  <si>
    <t>ABSORBER,FR BPR MBR UPR RR,R</t>
  </si>
  <si>
    <t>58284-85S00A/000</t>
  </si>
  <si>
    <t>58294-85S00</t>
  </si>
  <si>
    <t>ABSORBER,FR BPR MBR UPR RR,L</t>
  </si>
  <si>
    <t>58294-85S00A/000</t>
  </si>
  <si>
    <t>58285-85S00</t>
  </si>
  <si>
    <t>ABSORBER,FR BPR MBR LWR RR,R</t>
  </si>
  <si>
    <t>58285-85S00A/000</t>
  </si>
  <si>
    <t>58295-85S0</t>
  </si>
  <si>
    <t>ABSORBER,FR BPR MBR LWR RR,L</t>
  </si>
  <si>
    <t>58295-85S00A/000</t>
  </si>
  <si>
    <t>RFQ-2019-31617-P001</t>
  </si>
  <si>
    <t>58230-66T00</t>
  </si>
  <si>
    <t>MEMBER COMP HOOD LOCK</t>
  </si>
  <si>
    <t>08.10.2019</t>
  </si>
  <si>
    <t>RFQ-2019-31645-P002</t>
  </si>
  <si>
    <t>63342-66T00</t>
  </si>
  <si>
    <t>63742-66T00</t>
  </si>
  <si>
    <t>PANEL LAMP HOUSE INNER (L)</t>
  </si>
  <si>
    <t>PANEL LAMP HOUSE INNER (R)</t>
  </si>
  <si>
    <t>RFQ-2019-31644-P002</t>
  </si>
  <si>
    <t>63741-66T00</t>
  </si>
  <si>
    <t>EXTENSION QTR INNER UPPER (L)</t>
  </si>
  <si>
    <t>63341-66T00</t>
  </si>
  <si>
    <t>EXTENSION QTR INNER UPPER (R)</t>
  </si>
  <si>
    <t>SUBMISSION DATE</t>
  </si>
  <si>
    <t>04.10.2019</t>
  </si>
  <si>
    <t>PANEL LAMP HOUSE INNER R</t>
  </si>
  <si>
    <t>PANEL LAMP HOUSE INNER L</t>
  </si>
  <si>
    <t>EXTENSION QTR INNER UPPER R</t>
  </si>
  <si>
    <t>01.10.2019</t>
  </si>
  <si>
    <t>05.10.2019</t>
  </si>
  <si>
    <t>TARGET SUBMISSION DATE MSIL</t>
  </si>
  <si>
    <t>STATUS</t>
  </si>
  <si>
    <t>Quote final by Vikas sir</t>
  </si>
  <si>
    <t>Reveived RFQ 01.10.2019 data send to D&amp;D</t>
  </si>
  <si>
    <t>09.10.2019</t>
  </si>
  <si>
    <t>RFQ-2019-31631-P001</t>
  </si>
  <si>
    <t>59710-66T00</t>
  </si>
  <si>
    <t>PANEL COMP COWL TOP</t>
  </si>
  <si>
    <t>18.10.2019</t>
  </si>
  <si>
    <t>RFQ-2019-31679-P002</t>
  </si>
  <si>
    <t>65500-66T00</t>
  </si>
  <si>
    <t>65500-66T10</t>
  </si>
  <si>
    <t>Data send to D&amp;D on 09.10.2019</t>
  </si>
  <si>
    <t>11.10.2019</t>
  </si>
  <si>
    <t>10.10.2019</t>
  </si>
  <si>
    <t>14.10.2019</t>
  </si>
  <si>
    <t>To be checked by vikas sir</t>
  </si>
  <si>
    <t>12.10.2019</t>
  </si>
  <si>
    <t>16.10.2019</t>
  </si>
  <si>
    <t>23.10.2019</t>
  </si>
  <si>
    <t>19.10.2019</t>
  </si>
  <si>
    <t>Data received</t>
  </si>
  <si>
    <t>15.10.2019</t>
  </si>
  <si>
    <t>SUSPENDED</t>
  </si>
  <si>
    <t>RFQ-2019-31915-P001</t>
  </si>
  <si>
    <t>RFQ-2019-32135-P002</t>
  </si>
  <si>
    <t>RFQ-2019-31647-P002</t>
  </si>
  <si>
    <t>RFQ-2019-31682-P002</t>
  </si>
  <si>
    <t>63140-66T10</t>
  </si>
  <si>
    <t>63540-66T10</t>
  </si>
  <si>
    <t>63430-66T00</t>
  </si>
  <si>
    <t>63830-66T00</t>
  </si>
  <si>
    <t>63151-66T00</t>
  </si>
  <si>
    <t>63551-66T00</t>
  </si>
  <si>
    <t>REINF COMP SLIDING ROOF</t>
  </si>
  <si>
    <t>REINF COMP FRONT DOOR HINGE R</t>
  </si>
  <si>
    <t>REINF COMP FRONT DOOR HINGE L</t>
  </si>
  <si>
    <t>PANEL COMP WHEEL HOUSE FR R</t>
  </si>
  <si>
    <t>PANEL COMP WHEEL HOUSE FR L</t>
  </si>
  <si>
    <t>REINF FR PILLAR UPPER R</t>
  </si>
  <si>
    <t>REINF FR PILLAR UPPER L</t>
  </si>
  <si>
    <t>07.11.2019</t>
  </si>
  <si>
    <t>14.11.2019</t>
  </si>
  <si>
    <t>Quote not done due to Low Volume</t>
  </si>
  <si>
    <t>59760-83B10</t>
  </si>
  <si>
    <t>65170-66T50</t>
  </si>
  <si>
    <t>Net RM Cost</t>
  </si>
  <si>
    <t>Total RMC %</t>
  </si>
  <si>
    <t>Line Item Name (Do not change this column)</t>
  </si>
  <si>
    <t>Name</t>
  </si>
  <si>
    <t>MSIL FOR</t>
  </si>
  <si>
    <t>Ex Works</t>
  </si>
  <si>
    <t>RM Cost</t>
  </si>
  <si>
    <t>Scrap Cost</t>
  </si>
  <si>
    <t>Continuous Process Cost</t>
  </si>
  <si>
    <t>Total Direct Cost</t>
  </si>
  <si>
    <t>Admin Expense Cost</t>
  </si>
  <si>
    <t>Inventory Cost</t>
  </si>
  <si>
    <t>Rejection Cost</t>
  </si>
  <si>
    <t>Profit Cost</t>
  </si>
  <si>
    <t>Packaging And Forwarding Cost</t>
  </si>
  <si>
    <t>Other Cost</t>
  </si>
  <si>
    <t>Royalty Cost</t>
  </si>
  <si>
    <t>Total Indirect Cost</t>
  </si>
  <si>
    <t>Total Basic Cost</t>
  </si>
  <si>
    <t>Tooling Cost</t>
  </si>
  <si>
    <t>Total Part Cost</t>
  </si>
  <si>
    <t>Development Cost</t>
  </si>
  <si>
    <t>LTR SOP 1</t>
  </si>
  <si>
    <t>LTR SOP 2</t>
  </si>
  <si>
    <t>LTR SOP 3</t>
  </si>
  <si>
    <t>name</t>
  </si>
  <si>
    <t>Li0_auto_61568889996819</t>
  </si>
  <si>
    <t>Li0_auto_441567602233986</t>
  </si>
  <si>
    <t>Li0_auto_531567053205495</t>
  </si>
  <si>
    <t>Li0_auto_581569819070348</t>
  </si>
  <si>
    <t>Li0_auto_201566187619669</t>
  </si>
  <si>
    <t>Li1_auto_661566187620429</t>
  </si>
  <si>
    <t>Li2_auto_621566291286873</t>
  </si>
  <si>
    <t>Li0_auto_61566291285684</t>
  </si>
  <si>
    <t>Li1_auto_521566291286493</t>
  </si>
  <si>
    <t>Li3_auto_721566291287390</t>
  </si>
  <si>
    <t>Li0_auto_621566187651995</t>
  </si>
  <si>
    <t>Li1_auto_1081566187652617</t>
  </si>
  <si>
    <t>Li1_auto_401566187666126</t>
  </si>
  <si>
    <t>Li0_auto_1221566187665683</t>
  </si>
  <si>
    <t>Li1_auto_561566291340579</t>
  </si>
  <si>
    <t>Li0_auto_101566291339843</t>
  </si>
  <si>
    <t>Li1_auto_1241566291330087</t>
  </si>
  <si>
    <t>Li0_auto_781566291329603</t>
  </si>
  <si>
    <t>Li1_auto_1201568889989837</t>
  </si>
  <si>
    <t>Li0_auto_741568889989263</t>
  </si>
  <si>
    <t>Li0_auto_821568889970758</t>
  </si>
  <si>
    <t>Li1_auto_01568889971283</t>
  </si>
  <si>
    <t>Li0_auto_1171572500171334</t>
  </si>
  <si>
    <t>Li1_auto_351572500171813</t>
  </si>
  <si>
    <t>Li1_auto_1261566187635374</t>
  </si>
  <si>
    <t>Li0_auto_801566187634655</t>
  </si>
  <si>
    <t>Li0_auto_51569586568643</t>
  </si>
  <si>
    <t>Li1_auto_511569586569276</t>
  </si>
  <si>
    <t>Li0_auto_491572500178048</t>
  </si>
  <si>
    <t>Li1_auto_951572500178696</t>
  </si>
  <si>
    <t>Li0_auto_1151572500200044</t>
  </si>
  <si>
    <t>Li0_auto_571572500162093</t>
  </si>
  <si>
    <t>Li1_auto_1031572500162817</t>
  </si>
  <si>
    <t>58230-66T00-000</t>
  </si>
  <si>
    <t>58270-66T00-000</t>
  </si>
  <si>
    <t>59710-66T00-000</t>
  </si>
  <si>
    <t>63110-66T00-000</t>
  </si>
  <si>
    <t>63510-66T00-000</t>
  </si>
  <si>
    <t>63210-66T00-000</t>
  </si>
  <si>
    <t>63210-66T10-000</t>
  </si>
  <si>
    <t>63610-66T10-000</t>
  </si>
  <si>
    <t>63610-66T00-000</t>
  </si>
  <si>
    <t>63231-66T00-000</t>
  </si>
  <si>
    <t>63631-66T00-000</t>
  </si>
  <si>
    <t>63640-66T00-000</t>
  </si>
  <si>
    <t>63240-66T00-000</t>
  </si>
  <si>
    <t>63710-66T00-000</t>
  </si>
  <si>
    <t>63310-66T00-000</t>
  </si>
  <si>
    <t>63730-66T00-000</t>
  </si>
  <si>
    <t>63741-66T00-000</t>
  </si>
  <si>
    <t>63330-66T00-000</t>
  </si>
  <si>
    <t>63341-66T00-000</t>
  </si>
  <si>
    <t>63342-66T00-000</t>
  </si>
  <si>
    <t>63742-66T00-000</t>
  </si>
  <si>
    <t>63430-66T00-000</t>
  </si>
  <si>
    <t>63830-66T00-000</t>
  </si>
  <si>
    <t>64520-66T00-000</t>
  </si>
  <si>
    <t>64120-66T00-000</t>
  </si>
  <si>
    <t>65500-66T00-000</t>
  </si>
  <si>
    <t>65500-66T10-000</t>
  </si>
  <si>
    <t>63151-66T10-000</t>
  </si>
  <si>
    <t>63551-66T10-000</t>
  </si>
  <si>
    <t>65170-66T50-000</t>
  </si>
  <si>
    <t>63140-66T10-000</t>
  </si>
  <si>
    <t>63540-66T10-000</t>
  </si>
  <si>
    <t>TOTAL</t>
  </si>
  <si>
    <t>RFQ-2019-33319-P002</t>
  </si>
  <si>
    <t>59242-66T00</t>
  </si>
  <si>
    <t>59292-66T00</t>
  </si>
  <si>
    <t>REINF DASH SIDE FRONT R</t>
  </si>
  <si>
    <t>REINF DASH SIDE FRONT L</t>
  </si>
  <si>
    <t>25.01.2020</t>
  </si>
  <si>
    <t>10.01.2020</t>
  </si>
  <si>
    <t>RFQ-2019-33334-P002</t>
  </si>
  <si>
    <t>59232-66T00</t>
  </si>
  <si>
    <t>59282-66T00</t>
  </si>
  <si>
    <t>PANEL DASH SIDE FRONT R</t>
  </si>
  <si>
    <t>PANEL DASH SIDE FRONT L</t>
  </si>
  <si>
    <t>6517-66T50</t>
  </si>
  <si>
    <t>14,11,2019</t>
  </si>
  <si>
    <t>RFQ-2020-33762-P002</t>
  </si>
  <si>
    <t>63480-66T00</t>
  </si>
  <si>
    <t>63880-66T00</t>
  </si>
  <si>
    <t>PANEL COMP WHEEL HOUSE OUTER,L</t>
  </si>
  <si>
    <t>31.01.2020</t>
  </si>
  <si>
    <t>14.02.2020</t>
  </si>
  <si>
    <t>RFQ-2020-34456-P001</t>
  </si>
  <si>
    <t>58600-66T00</t>
  </si>
  <si>
    <t>MEMBER ASSY</t>
  </si>
  <si>
    <t>RFQ-2020334457-P001</t>
  </si>
  <si>
    <t>58700-66T00</t>
  </si>
  <si>
    <t>YG8 MC2</t>
  </si>
  <si>
    <t>RFQ-2020-34215-P003</t>
  </si>
  <si>
    <t>61120-78T00</t>
  </si>
  <si>
    <t>61120-78T10</t>
  </si>
  <si>
    <t>61120-78T20</t>
  </si>
  <si>
    <t>PANEL COMP ENGINE ROOM FRONT</t>
  </si>
  <si>
    <t>Shubhangi</t>
  </si>
  <si>
    <t>RFQ-2020-34198-P007</t>
  </si>
  <si>
    <t>61710-78T00</t>
  </si>
  <si>
    <t>61710-78T80</t>
  </si>
  <si>
    <t>61710-78T10</t>
  </si>
  <si>
    <t>61710-78T20</t>
  </si>
  <si>
    <t>61710-78T30</t>
  </si>
  <si>
    <t>61710-78T40</t>
  </si>
  <si>
    <t>61710-78T60</t>
  </si>
  <si>
    <t>PANEL COMP REAR FLOOR FRONT</t>
  </si>
  <si>
    <t>RFQ-2020-31146-P002</t>
  </si>
  <si>
    <t>58810-78T10</t>
  </si>
  <si>
    <t>58810-78T30</t>
  </si>
  <si>
    <t>RFQ-2020-31629-P003</t>
  </si>
  <si>
    <t>61180-66T10</t>
  </si>
  <si>
    <t>61130-66T00</t>
  </si>
  <si>
    <t>61180-66T00</t>
  </si>
  <si>
    <t>Ankit gupta</t>
  </si>
  <si>
    <t>19.03.2020</t>
  </si>
  <si>
    <t>24.03.2020</t>
  </si>
  <si>
    <t>14.03.2020</t>
  </si>
  <si>
    <t>18.03.2020</t>
  </si>
  <si>
    <t>05.04.2020</t>
  </si>
  <si>
    <t>10.04.2020</t>
  </si>
  <si>
    <t>20.04.2020</t>
  </si>
  <si>
    <t>RFQ-2020-35299-P001</t>
  </si>
  <si>
    <t>RFQ-2020-34483-P001</t>
  </si>
  <si>
    <t>YFG</t>
  </si>
  <si>
    <t>59750-78T00</t>
  </si>
  <si>
    <t>RFQ-2020-34429-P001</t>
  </si>
  <si>
    <t>65810-76T00</t>
  </si>
  <si>
    <t>CROSSMEMBER COMP ENGINE MT REAR</t>
  </si>
  <si>
    <t>PANEL COMP LUGGAGE FLOORY</t>
  </si>
  <si>
    <t>03.04.2020</t>
  </si>
  <si>
    <t>29.03.2020</t>
  </si>
  <si>
    <t>15.04.2020</t>
  </si>
  <si>
    <t>07.04.2020</t>
  </si>
  <si>
    <t>30.04.2020</t>
  </si>
  <si>
    <t>CROSSMEMBER COMP,FLR PAN UPR,R</t>
  </si>
  <si>
    <t>CROSSMEMBER COMP,FLR PAN UPR,L</t>
  </si>
  <si>
    <t>REINF MAIN FLOOR NO2</t>
  </si>
  <si>
    <t>61117-66T00</t>
  </si>
  <si>
    <t>05.03.2020</t>
  </si>
  <si>
    <t>RFQ-2020-34044-P001</t>
  </si>
  <si>
    <t>RFQ-2020-34462-P001</t>
  </si>
  <si>
    <t>RFQ-2020-34463-P001</t>
  </si>
  <si>
    <t>63220-82P00</t>
  </si>
  <si>
    <t>63620-82O00</t>
  </si>
  <si>
    <t>Strength Comp,Side Sill,R</t>
  </si>
  <si>
    <t>Strength Comp,Side Sill,L</t>
  </si>
  <si>
    <t>06.03.2020</t>
  </si>
  <si>
    <t>YWD</t>
  </si>
  <si>
    <t>RFQ-2020-34749-P008</t>
  </si>
  <si>
    <t>63510-80T00</t>
  </si>
  <si>
    <t>63110-80T00</t>
  </si>
  <si>
    <t>63510-80T10</t>
  </si>
  <si>
    <t>63110-80T10</t>
  </si>
  <si>
    <t>63510-78R00Y</t>
  </si>
  <si>
    <t>63110-78R00Y</t>
  </si>
  <si>
    <t>63110-78R10Y</t>
  </si>
  <si>
    <t>m091</t>
  </si>
  <si>
    <t>15.05.2020</t>
  </si>
  <si>
    <t>65820-78T00</t>
  </si>
  <si>
    <t>PARTITION COMP</t>
  </si>
  <si>
    <t>12.05.2020</t>
  </si>
  <si>
    <t>RFQ-2020-35636-P001</t>
  </si>
  <si>
    <t>45810M65M60</t>
  </si>
  <si>
    <t>FRAME COMP FRONT</t>
  </si>
  <si>
    <t>Frame</t>
  </si>
  <si>
    <t>01.05.2020</t>
  </si>
  <si>
    <t>CONTENT</t>
  </si>
  <si>
    <t>Business Contect</t>
  </si>
  <si>
    <t>Business Content</t>
  </si>
  <si>
    <t>RFQ-2020-35879-P004</t>
  </si>
  <si>
    <t>RFQ-2020-34872-P001</t>
  </si>
  <si>
    <t>RFQ-2020-36058-P004</t>
  </si>
  <si>
    <t>RFQ-2020-36055-P001</t>
  </si>
  <si>
    <t>RFQ-2020-36125-P001</t>
  </si>
  <si>
    <t>RFQ-2020-36126-P001</t>
  </si>
  <si>
    <t>RFQ-2020-35859-P004</t>
  </si>
  <si>
    <t>RFQ-2020-34928-P002</t>
  </si>
  <si>
    <t>RFQ-2020-36150-P004</t>
  </si>
  <si>
    <t>RFQ-2020-35939-P002</t>
  </si>
  <si>
    <t>RFQ-2020-36086-P006</t>
  </si>
  <si>
    <t>RFQ-2020-34865-P001</t>
  </si>
  <si>
    <t>RFQ-2020-35866-P001</t>
  </si>
  <si>
    <t>RFQ-2020-34930-P001</t>
  </si>
  <si>
    <t>RFQ-2020-34927-P001</t>
  </si>
  <si>
    <t>57110-78R00</t>
  </si>
  <si>
    <t>57110-78R10</t>
  </si>
  <si>
    <t>57610-78R00</t>
  </si>
  <si>
    <t>57610-78R10</t>
  </si>
  <si>
    <t>57240-78R00</t>
  </si>
  <si>
    <t>57120-78R00</t>
  </si>
  <si>
    <t>57120-80T00</t>
  </si>
  <si>
    <t>57170-78R00</t>
  </si>
  <si>
    <t>57170-80T00</t>
  </si>
  <si>
    <t>65130-78R00</t>
  </si>
  <si>
    <t>61700-78R00</t>
  </si>
  <si>
    <t>62140-78R00</t>
  </si>
  <si>
    <t>62140-80T00</t>
  </si>
  <si>
    <t>62150-78R00</t>
  </si>
  <si>
    <t>62150-80T00</t>
  </si>
  <si>
    <t>57270-78R00</t>
  </si>
  <si>
    <t>57270-80T00</t>
  </si>
  <si>
    <t>63230-78R00</t>
  </si>
  <si>
    <t>63230-80T00</t>
  </si>
  <si>
    <t>63630-78R00</t>
  </si>
  <si>
    <t>63630-80T00</t>
  </si>
  <si>
    <t>64150-73T00</t>
  </si>
  <si>
    <t>64550-73T00</t>
  </si>
  <si>
    <t>61610-78R00</t>
  </si>
  <si>
    <t>61610-80T00</t>
  </si>
  <si>
    <t>61660-80T00</t>
  </si>
  <si>
    <t>61660-78R00</t>
  </si>
  <si>
    <t>61620-78R00</t>
  </si>
  <si>
    <t>61670-78R00</t>
  </si>
  <si>
    <t>57220-78R00</t>
  </si>
  <si>
    <t>62511-78R00</t>
  </si>
  <si>
    <t>57281-78R00</t>
  </si>
  <si>
    <t>57260-78R00</t>
  </si>
  <si>
    <t>57230-78R00</t>
  </si>
  <si>
    <t>MEMBER COMP FRAME FRONT R</t>
  </si>
  <si>
    <t>MEMBER COMP FRAME FRONT L</t>
  </si>
  <si>
    <t>CROSSMEMBER 4TH</t>
  </si>
  <si>
    <t>MEMBER COMP FRAME CTR R</t>
  </si>
  <si>
    <t>MEMBER COMP FRAME CTR L</t>
  </si>
  <si>
    <t>MEMBER COMP ROOF BACK</t>
  </si>
  <si>
    <t>PANEL COMP DTR FLOOR</t>
  </si>
  <si>
    <t>PANEL COMP WHEEL HOUSE INNER R</t>
  </si>
  <si>
    <t>PANEL COMP WHEEL HOUSE INNER L</t>
  </si>
  <si>
    <t>CROSSMEMBER COMP 7TH</t>
  </si>
  <si>
    <t>STRENGTH COMP SIDE SILL R</t>
  </si>
  <si>
    <t>STRENGTH COMP SIDE SILL L</t>
  </si>
  <si>
    <t>PANEL COMP BACK PILLAR OUTER R</t>
  </si>
  <si>
    <t>PANEL COMP BACK PILLAR OUTER L</t>
  </si>
  <si>
    <t>CROSSMEMBER COMP 2ND</t>
  </si>
  <si>
    <t>MEMBER TAIL OUTER</t>
  </si>
  <si>
    <t>CROSSMEMBER 8TH</t>
  </si>
  <si>
    <t>CROSSMEMBER 6TH</t>
  </si>
  <si>
    <t>CROSSMEMBER COMP 3RD</t>
  </si>
  <si>
    <t>Akshit chandra</t>
  </si>
  <si>
    <t>02.06.2020</t>
  </si>
  <si>
    <t>27.06.2020</t>
  </si>
  <si>
    <t>03.06.2020</t>
  </si>
  <si>
    <t>RFQ-2020-36259-P008</t>
  </si>
  <si>
    <t>61412-81A01</t>
  </si>
  <si>
    <t>BRACKET PARKING CABLE</t>
  </si>
  <si>
    <t>61510-80T00</t>
  </si>
  <si>
    <t>PANEL  MAIN FLOOR</t>
  </si>
  <si>
    <t>61511-78R00</t>
  </si>
  <si>
    <t>PANEL MAIN FLOOR</t>
  </si>
  <si>
    <t>61514-78R00</t>
  </si>
  <si>
    <t>BRACKET REAR CONSOLE FRONT</t>
  </si>
  <si>
    <t>61515-78R00</t>
  </si>
  <si>
    <t>BRACKET REAR CONSOLE REAR</t>
  </si>
  <si>
    <t>61516-78R00</t>
  </si>
  <si>
    <t>REINF MAIN FLOOR R</t>
  </si>
  <si>
    <t>61517-78R00</t>
  </si>
  <si>
    <t>REINF MAIN FLOOR L</t>
  </si>
  <si>
    <t>61550-78R00</t>
  </si>
  <si>
    <t>REINF COMP PARKING BRAKE LEVER</t>
  </si>
  <si>
    <t>RFQ-2020-36327-P010</t>
  </si>
  <si>
    <t>59123-63R00</t>
  </si>
  <si>
    <t>BRACKET HARNESS</t>
  </si>
  <si>
    <t>59242-54M00</t>
  </si>
  <si>
    <t>BRACKET INSTRUMENT PANEL SIDE</t>
  </si>
  <si>
    <t>61200-78R00</t>
  </si>
  <si>
    <t>PANEL COMP DASH SIDE R</t>
  </si>
  <si>
    <t>61211-78R00</t>
  </si>
  <si>
    <t>PANEL DASH SIDE R</t>
  </si>
  <si>
    <t>61212-78R00</t>
  </si>
  <si>
    <t>REINF DASH SIDE R</t>
  </si>
  <si>
    <t>61220-78R00</t>
  </si>
  <si>
    <t>PANEL COMP DASH SIDE FR R</t>
  </si>
  <si>
    <t>61300-78R00</t>
  </si>
  <si>
    <t>PANEL COMP DASH SIDE L</t>
  </si>
  <si>
    <t>61311-78R00</t>
  </si>
  <si>
    <t>PANEL DASH SIDE L</t>
  </si>
  <si>
    <t>61312-78R00</t>
  </si>
  <si>
    <t>REINF DASH SIDE L</t>
  </si>
  <si>
    <t>61320-78R00</t>
  </si>
  <si>
    <t>PANEL COMP DASH SIDE FR L</t>
  </si>
  <si>
    <t>RFQ-2020-36278-P002</t>
  </si>
  <si>
    <t>63240-80T00</t>
  </si>
  <si>
    <t>REINF COMP DTR PILLAR R</t>
  </si>
  <si>
    <t>63640-80T00</t>
  </si>
  <si>
    <t>REINF COMP CTR PILLAR L</t>
  </si>
  <si>
    <t>15.06.2020</t>
  </si>
  <si>
    <t>63510-78R10Y</t>
  </si>
  <si>
    <t>20.06.2020</t>
  </si>
  <si>
    <t>RFQ-2020-34863-P001</t>
  </si>
  <si>
    <t>57210-78R00</t>
  </si>
  <si>
    <t>CROSSMEMBER COMP 1ST</t>
  </si>
  <si>
    <t>29.05.2020</t>
  </si>
  <si>
    <t xml:space="preserve">Target to DNDfor Technical details submission </t>
  </si>
  <si>
    <t>13.06.2020</t>
  </si>
  <si>
    <t>23.06.2020</t>
  </si>
  <si>
    <t>16.06.2020</t>
  </si>
  <si>
    <t>25.04.2020</t>
  </si>
  <si>
    <t>26.04.2020</t>
  </si>
  <si>
    <t>16.05.2020</t>
  </si>
  <si>
    <t>24.04.2020</t>
  </si>
  <si>
    <t>30.05.2020</t>
  </si>
  <si>
    <t>19.06.2020</t>
  </si>
  <si>
    <t>RFQ-2020-34864-P001</t>
  </si>
  <si>
    <t>RFQ-2020-34859-P002</t>
  </si>
  <si>
    <t>57130-78R00</t>
  </si>
  <si>
    <t>MEMBER COMP FRAME REAR R</t>
  </si>
  <si>
    <t>57180-78R00</t>
  </si>
  <si>
    <t>MEMBER COMP FRAME REAR L</t>
  </si>
  <si>
    <t>RFQ-2020-36267-P012</t>
  </si>
  <si>
    <t>59300-78R00</t>
  </si>
  <si>
    <t>PANEL COMP COWL BOX</t>
  </si>
  <si>
    <t>59300-78R10</t>
  </si>
  <si>
    <t>59310-78R00</t>
  </si>
  <si>
    <t>59310-78R10</t>
  </si>
  <si>
    <t>59323-78R00</t>
  </si>
  <si>
    <t>BRACKET COWL SIDE L</t>
  </si>
  <si>
    <t>59321-78R00</t>
  </si>
  <si>
    <t>PANEL COWL TOP</t>
  </si>
  <si>
    <t>59322-78R00</t>
  </si>
  <si>
    <t>BRACKET COWL SIDE R</t>
  </si>
  <si>
    <t>59324-78R00</t>
  </si>
  <si>
    <t>BRAKET WIPER MOTOR</t>
  </si>
  <si>
    <t>59324-78R10</t>
  </si>
  <si>
    <t>BRACKET WIPER MOTOR</t>
  </si>
  <si>
    <t>59326-78R00</t>
  </si>
  <si>
    <t>EXTENSION HVAC BRACKET</t>
  </si>
  <si>
    <t>59330-78R00</t>
  </si>
  <si>
    <t>EXTENSION COMP PADEL BRACKET</t>
  </si>
  <si>
    <t>59330-78R10</t>
  </si>
  <si>
    <t>18.06.2020</t>
  </si>
  <si>
    <t>24.06.2020</t>
  </si>
  <si>
    <t>22.06.2020</t>
  </si>
  <si>
    <t>61700-80T00</t>
  </si>
  <si>
    <t>Current Status</t>
  </si>
  <si>
    <t>SUBMITTED</t>
  </si>
  <si>
    <t>25.06.2020</t>
  </si>
  <si>
    <t>PENDING BY DND</t>
  </si>
  <si>
    <t>PANEL COMP,SIDE SILL INR FR,R</t>
  </si>
  <si>
    <t>PANEL COMP,SIDE SILL INR RR,R</t>
  </si>
  <si>
    <t>PANEL COMP,SIDE SILL INR FR,L</t>
  </si>
  <si>
    <t>PANEL COMP,SIDE SILL INR,L</t>
  </si>
  <si>
    <t>PANEL COMP,SIDE SILL INR RR,L</t>
  </si>
  <si>
    <t>RFQ-2020-36760-P002</t>
  </si>
  <si>
    <t>63310-80T00</t>
  </si>
  <si>
    <t>63710-80T00</t>
  </si>
  <si>
    <t>RFQ-2020-36183-P002</t>
  </si>
  <si>
    <t>63730-78R00</t>
  </si>
  <si>
    <t>63330-78R00</t>
  </si>
  <si>
    <t>PANEL COMP RR WHEEL HSG OTR R</t>
  </si>
  <si>
    <t>PANEL COMP RR WHEEL HSG OTR L</t>
  </si>
  <si>
    <t>PANEL COMP BACK PILLAR INNER L</t>
  </si>
  <si>
    <t>PANEL COMP BACK PILLAR INNER R</t>
  </si>
  <si>
    <t>01.07.2020</t>
  </si>
  <si>
    <t>21.07.2020</t>
  </si>
  <si>
    <t>03.07.2020</t>
  </si>
  <si>
    <t>14.07.2020</t>
  </si>
  <si>
    <t>02.07.2020</t>
  </si>
  <si>
    <t>Actual Submission Date by MKT</t>
  </si>
  <si>
    <t>Basic Part Cost</t>
  </si>
  <si>
    <t>YHB</t>
  </si>
  <si>
    <t>09.07.2020</t>
  </si>
  <si>
    <t>08.07.2020</t>
  </si>
  <si>
    <t>30.06.2020</t>
  </si>
  <si>
    <t>26.06.2020</t>
  </si>
  <si>
    <t>07.07.2020</t>
  </si>
  <si>
    <t>06.07.2020</t>
  </si>
  <si>
    <t>04.07.2020</t>
  </si>
  <si>
    <t>Actual Technical Detail Submission by DND to MKT</t>
  </si>
  <si>
    <t>Aayush Aggarwal</t>
  </si>
  <si>
    <t>05.06.2020</t>
  </si>
  <si>
    <t>05.07.2020</t>
  </si>
  <si>
    <t>PANEL COMP,MAIN FLOOR</t>
  </si>
  <si>
    <t>REINF COMP,PARKING BRAKE LEVER</t>
  </si>
  <si>
    <t>PANEL,MAIN FLOOR FR</t>
  </si>
  <si>
    <t>BRACKET,REAR CONSOLE FRONT</t>
  </si>
  <si>
    <t>BRACKET,REAR CONSOLE REAR</t>
  </si>
  <si>
    <t>REINF,MAIN FLOOR,R</t>
  </si>
  <si>
    <t>REINF,MAIN FLOOR,L</t>
  </si>
  <si>
    <t>BRACKET,PARKING CABLE</t>
  </si>
  <si>
    <t>-</t>
  </si>
  <si>
    <t>STRENGTH COMP,SIDE SILL,R</t>
  </si>
  <si>
    <t>STRENGTH COMP,SIDE SILL,L</t>
  </si>
  <si>
    <t>MEMBER COMP,FRAME CTR,R</t>
  </si>
  <si>
    <t>MEMBER COMP,FRAME CTR,L</t>
  </si>
  <si>
    <t>MEMBER COMP,FRAME FRONT,R</t>
  </si>
  <si>
    <t>57160-78R00</t>
  </si>
  <si>
    <t>MEMBER COMP,FRAME FRONT,L</t>
  </si>
  <si>
    <t>57160-78R10</t>
  </si>
  <si>
    <t>LOI/LOI</t>
  </si>
  <si>
    <t>LOI</t>
  </si>
  <si>
    <t>RFQ-2020-36470-P002</t>
  </si>
  <si>
    <t>RFQ-2020-36650-P002</t>
  </si>
  <si>
    <t>RFQ-2020-36675-P003</t>
  </si>
  <si>
    <t>RFQ-2020-36464-P002</t>
  </si>
  <si>
    <t xml:space="preserve">  RFQ-2020-36162-P002 </t>
  </si>
  <si>
    <t>RFQ-2020-36160-P002</t>
  </si>
  <si>
    <t xml:space="preserve">  RFQ-2020-36215-P002 </t>
  </si>
  <si>
    <t>RFQ-2020-36329-P016</t>
  </si>
  <si>
    <t>RFQ-2020-36427-P001</t>
  </si>
  <si>
    <t>RFQ-2020-36378-P001</t>
  </si>
  <si>
    <t>RFQ-2020-36085-P001</t>
  </si>
  <si>
    <t>RFQ-2020-36315-P001</t>
  </si>
  <si>
    <t>RFQ-2020-36388-P004</t>
  </si>
  <si>
    <t>Y1K  MC</t>
  </si>
  <si>
    <t>63310-78R00</t>
  </si>
  <si>
    <t>PANEL COMP,RR WHEEL HSG OTR,R</t>
  </si>
  <si>
    <t>PANEL COMP,RR WHEEL HSG OTR,L</t>
  </si>
  <si>
    <t>Ankit Gupta</t>
  </si>
  <si>
    <t>57250-78R00</t>
  </si>
  <si>
    <t>57250-80T00</t>
  </si>
  <si>
    <t>CROSSMEMBER COMP,5TH</t>
  </si>
  <si>
    <t>62130-78R00</t>
  </si>
  <si>
    <t>62130-78R10</t>
  </si>
  <si>
    <t>62130-80T00</t>
  </si>
  <si>
    <t>MEMBER COMP,TAIL INNER</t>
  </si>
  <si>
    <t>63321-78R00</t>
  </si>
  <si>
    <t>63721-78R00</t>
  </si>
  <si>
    <t>PANEL,RR QUARTER INNER,R</t>
  </si>
  <si>
    <t>PANEL,RR QUARTER INNER,L</t>
  </si>
  <si>
    <t>63350-80T00</t>
  </si>
  <si>
    <t>63750-80T00</t>
  </si>
  <si>
    <t>REINF COMP,QTR PANEL,R</t>
  </si>
  <si>
    <t>REINF COMP,QTR PANEL,L</t>
  </si>
  <si>
    <t>63320-80T00</t>
  </si>
  <si>
    <t>63720-80T00</t>
  </si>
  <si>
    <t>PANEL COMP,QUARTER INNER,R</t>
  </si>
  <si>
    <t>PANEL COMP,QUARTER INNER,L</t>
  </si>
  <si>
    <t>63210-80T00</t>
  </si>
  <si>
    <t>63610-80T00</t>
  </si>
  <si>
    <t>61400-78R00</t>
  </si>
  <si>
    <t>61400-78R10</t>
  </si>
  <si>
    <t>61400-78R20</t>
  </si>
  <si>
    <t>61400-78R30</t>
  </si>
  <si>
    <t>61410-78R00</t>
  </si>
  <si>
    <t>61410-78R10</t>
  </si>
  <si>
    <t>61410-78R20</t>
  </si>
  <si>
    <t>61410-78R30</t>
  </si>
  <si>
    <t>61416-78R00</t>
  </si>
  <si>
    <t>61416-78R10</t>
  </si>
  <si>
    <t>61417-78R00</t>
  </si>
  <si>
    <t>61417-78R10</t>
  </si>
  <si>
    <t>61418-78R00</t>
  </si>
  <si>
    <t>61418-78R10</t>
  </si>
  <si>
    <t>61420-78R00</t>
  </si>
  <si>
    <t>61430-78R00</t>
  </si>
  <si>
    <t>PANEL ASSY , TUNNEL FRONT</t>
  </si>
  <si>
    <t>PANEL COMP , TUNNEL FRONT</t>
  </si>
  <si>
    <t>BRACKET , I/P BRACE</t>
  </si>
  <si>
    <t>BRACKET , HEEL STOPPER</t>
  </si>
  <si>
    <t>BRACKET , FOOT REST</t>
  </si>
  <si>
    <r>
      <t>MEMBER COMP,2</t>
    </r>
    <r>
      <rPr>
        <vertAlign val="superscript"/>
        <sz val="11"/>
        <color rgb="FF000000"/>
        <rFont val="Calibri"/>
        <family val="2"/>
      </rPr>
      <t>ND</t>
    </r>
    <r>
      <rPr>
        <sz val="11"/>
        <color rgb="FF000000"/>
        <rFont val="Calibri"/>
        <family val="2"/>
      </rPr>
      <t xml:space="preserve"> MOUNTING, R</t>
    </r>
  </si>
  <si>
    <r>
      <t>MEMBER COMP,2</t>
    </r>
    <r>
      <rPr>
        <vertAlign val="superscript"/>
        <sz val="11"/>
        <color rgb="FF000000"/>
        <rFont val="Calibri"/>
        <family val="2"/>
      </rPr>
      <t>ND</t>
    </r>
    <r>
      <rPr>
        <sz val="11"/>
        <color rgb="FF000000"/>
        <rFont val="Calibri"/>
        <family val="2"/>
      </rPr>
      <t xml:space="preserve"> MOUNTING, L</t>
    </r>
  </si>
  <si>
    <t>61111-78R00</t>
  </si>
  <si>
    <t>61111-78R10</t>
  </si>
  <si>
    <t>61111-78R20</t>
  </si>
  <si>
    <t>61111-78R30</t>
  </si>
  <si>
    <t>PANEL DASH</t>
  </si>
  <si>
    <t>61512-78R00</t>
  </si>
  <si>
    <t>PANEL, MAIN FLOOR RR</t>
  </si>
  <si>
    <t>57290-80T00</t>
  </si>
  <si>
    <t>CROSSMEMBER COMP,CTR</t>
  </si>
  <si>
    <t>58270-62S10</t>
  </si>
  <si>
    <t>MEMBER  COMP,FR BUMPER</t>
  </si>
  <si>
    <t>62111-78R00</t>
  </si>
  <si>
    <t>PANEL REAR FLOOR</t>
  </si>
  <si>
    <t>11.09.2020</t>
  </si>
  <si>
    <t>25.08.2020</t>
  </si>
  <si>
    <t>14.09.2020</t>
  </si>
  <si>
    <t>12.09.2020</t>
  </si>
  <si>
    <t>13.08.2020</t>
  </si>
  <si>
    <t>05.09.2020</t>
  </si>
  <si>
    <t>26.08.2020</t>
  </si>
  <si>
    <t>06.08.2020</t>
  </si>
  <si>
    <t>24.08.2020</t>
  </si>
  <si>
    <t>12.08.2020</t>
  </si>
  <si>
    <t>20.07.2020</t>
  </si>
  <si>
    <t>28.07.2020</t>
  </si>
  <si>
    <t>17.07.2020</t>
  </si>
  <si>
    <t>22.07.2020</t>
  </si>
  <si>
    <t>23.07.2020</t>
  </si>
  <si>
    <t>24.07.2020</t>
  </si>
  <si>
    <t>25.07.2020</t>
  </si>
  <si>
    <t>Owner Driver</t>
  </si>
  <si>
    <t>Paid Driver 2 lakh</t>
  </si>
  <si>
    <t>IDV 286648</t>
  </si>
  <si>
    <t>United</t>
  </si>
  <si>
    <t>New india</t>
  </si>
  <si>
    <t>idv 303264</t>
  </si>
  <si>
    <t>bumper to bumper</t>
  </si>
  <si>
    <t>tyre battery 100%</t>
  </si>
  <si>
    <t>Rat white</t>
  </si>
  <si>
    <t>unlimited cashless</t>
  </si>
  <si>
    <t>02.08.2020</t>
  </si>
  <si>
    <t>11.08.2020</t>
  </si>
  <si>
    <t>07.08.2020</t>
  </si>
  <si>
    <t>17.08.2020</t>
  </si>
  <si>
    <t>14.08.2020</t>
  </si>
  <si>
    <t>20.08.2020</t>
  </si>
  <si>
    <t>07.09.2020</t>
  </si>
  <si>
    <t>21.08.2020</t>
  </si>
  <si>
    <t>29.08.2020</t>
  </si>
  <si>
    <t>30.08.2020</t>
  </si>
  <si>
    <t>11.07.2020</t>
  </si>
  <si>
    <t>13.07.2020</t>
  </si>
  <si>
    <t>63710-78R00</t>
  </si>
  <si>
    <t>27.04.2020</t>
  </si>
  <si>
    <t>29.04.2020</t>
  </si>
  <si>
    <t>28.04.2020</t>
  </si>
  <si>
    <t>FRAME COMP, RR BACK</t>
  </si>
  <si>
    <t>FRAME COMP, RR BACK, R</t>
  </si>
  <si>
    <t>FRAME COMP, RR BACK, L</t>
  </si>
  <si>
    <t>FRAME COMP RR ARM REST</t>
  </si>
  <si>
    <t>Deepak Jhamb</t>
  </si>
  <si>
    <t>YXA-SEATING</t>
  </si>
  <si>
    <t>Tier 1</t>
  </si>
  <si>
    <t>87310-66T10</t>
  </si>
  <si>
    <t>87310-66T20</t>
  </si>
  <si>
    <t>87310-66T40</t>
  </si>
  <si>
    <t>87810-66T40</t>
  </si>
  <si>
    <t>87509-65M30</t>
  </si>
  <si>
    <t>VIBRACOUSTIC</t>
  </si>
  <si>
    <t>XD-EK0295-303</t>
  </si>
  <si>
    <t>LINK</t>
  </si>
  <si>
    <t>Jatin Chawla</t>
  </si>
  <si>
    <t>YG8-K12</t>
  </si>
  <si>
    <t>XD-EA0114-303</t>
  </si>
  <si>
    <t>XD-EA0218-303</t>
  </si>
  <si>
    <t>RHS BRACKET</t>
  </si>
  <si>
    <t>HOUSING</t>
  </si>
  <si>
    <t>LHS BRACKET</t>
  </si>
  <si>
    <t xml:space="preserve">RFQ-2020-37733-P001 </t>
  </si>
  <si>
    <t>69210-77R00</t>
  </si>
  <si>
    <t>MEMBER COMP BACK DOOR CENTER</t>
  </si>
  <si>
    <t>09.10.2020</t>
  </si>
  <si>
    <t>22.09.2020</t>
  </si>
  <si>
    <t>30.09.2020</t>
  </si>
  <si>
    <t>29.09.2020</t>
  </si>
  <si>
    <t>RFQ-2020-37812-P001</t>
  </si>
  <si>
    <t>89019-78T00</t>
  </si>
  <si>
    <t>FUEL TANK ASSY</t>
  </si>
  <si>
    <t>Gangesh Mendiratta</t>
  </si>
  <si>
    <t>REINF COMP,CTR PILLAR,R</t>
  </si>
  <si>
    <t>REINF COMP,CTR PILLAR,L</t>
  </si>
  <si>
    <t>RFQ-2020-38200-P001</t>
  </si>
  <si>
    <t>11640-78T00</t>
  </si>
  <si>
    <t>BKY ENGINE RH MTG</t>
  </si>
  <si>
    <t>BRACKET ENG LH MTG BODY</t>
  </si>
  <si>
    <t>RFQ-2020-38201-P001</t>
  </si>
  <si>
    <t>11670-78T00</t>
  </si>
  <si>
    <t>45810-78R00</t>
  </si>
  <si>
    <t>HOUSING COMP. REAR AXLE</t>
  </si>
  <si>
    <t>RFQ-2020-38679-P001</t>
  </si>
  <si>
    <t>45500-80T00</t>
  </si>
  <si>
    <t>HOUSING COMP. FRONT AXLE EST</t>
  </si>
  <si>
    <t>45500-80T50</t>
  </si>
  <si>
    <t>RFQ-2020-39787-P001</t>
  </si>
  <si>
    <t>47300-77R00</t>
  </si>
  <si>
    <t>ROD COMP, REAR LATERAL</t>
  </si>
  <si>
    <t>RFQ-2020-39784-P001</t>
  </si>
  <si>
    <t>45300-78R00</t>
  </si>
  <si>
    <t>ROD COMP, FRONT LATERAL</t>
  </si>
  <si>
    <t>RFQ-2020-39775-P001</t>
  </si>
  <si>
    <t>45300-77R00</t>
  </si>
  <si>
    <t>YP8 NB</t>
  </si>
  <si>
    <t>YSB NB</t>
  </si>
  <si>
    <t>YHB/YHC</t>
  </si>
  <si>
    <t>RFQ-2021-41532-P001</t>
  </si>
  <si>
    <t>RFQ-2021-41470-P001</t>
  </si>
  <si>
    <t>RFQ-2021-41464-P001</t>
  </si>
  <si>
    <t>RFQ-2021-41462-P001</t>
  </si>
  <si>
    <t>RFQ-2021-41463-P001</t>
  </si>
  <si>
    <t>RFQ-2021-41465-P001</t>
  </si>
  <si>
    <t>RFQ-2021-41466-P001</t>
  </si>
  <si>
    <t>RFQ-2021-41467-P001</t>
  </si>
  <si>
    <t>RFQ-2021-41468-P001</t>
  </si>
  <si>
    <t>RFQ-2021-41469-P001</t>
  </si>
  <si>
    <t>RFQ-2021-41530-P001</t>
  </si>
  <si>
    <t>61511M74L00</t>
  </si>
  <si>
    <t>61111M55R01</t>
  </si>
  <si>
    <t>61161M55R00</t>
  </si>
  <si>
    <t>61111M73R00</t>
  </si>
  <si>
    <t>61161M73R00</t>
  </si>
  <si>
    <t>61161M73R10</t>
  </si>
  <si>
    <t>61161M73R20</t>
  </si>
  <si>
    <t>61161M73R30</t>
  </si>
  <si>
    <t>61161M73R40</t>
  </si>
  <si>
    <t>61161M73R50</t>
  </si>
  <si>
    <t>61161M73R60</t>
  </si>
  <si>
    <t>61512-73R00</t>
  </si>
  <si>
    <t>Rear Floor Front</t>
  </si>
  <si>
    <t>Main Floor RH</t>
  </si>
  <si>
    <t>Main Floor LH</t>
  </si>
  <si>
    <t>Rear Floor Center</t>
  </si>
  <si>
    <t>Shubhangi Srivastav</t>
  </si>
  <si>
    <t>YL7</t>
  </si>
  <si>
    <t>RFQ-2021-41982-P001</t>
  </si>
  <si>
    <t>11641M78R00</t>
  </si>
  <si>
    <t>RFQ-2021-41983-P001</t>
  </si>
  <si>
    <t>11651M78R00</t>
  </si>
  <si>
    <t>RFQ-2021-41984-P001</t>
  </si>
  <si>
    <t>11661M78R00</t>
  </si>
  <si>
    <t>RFQ-2021-41985-P001</t>
  </si>
  <si>
    <t>11671M78R00</t>
  </si>
  <si>
    <t>RFQ-2021-41987-P001</t>
  </si>
  <si>
    <t>11740M78R00</t>
  </si>
  <si>
    <t>RFQ-2021-41602-P001</t>
  </si>
  <si>
    <t>62711M78TB0</t>
  </si>
  <si>
    <t>RFQ-2021-41600-P001</t>
  </si>
  <si>
    <t>62211M78TB0</t>
  </si>
  <si>
    <t>RFQ-2021-41601-P001</t>
  </si>
  <si>
    <t>62711M78TA0</t>
  </si>
  <si>
    <t>RFQ-2021-41599-P001</t>
  </si>
  <si>
    <t>62211M78TA0</t>
  </si>
  <si>
    <t>RFQ-2021-41526-P001</t>
  </si>
  <si>
    <t>61512M76M00</t>
  </si>
  <si>
    <t>Bracket Engine Front MTG R</t>
  </si>
  <si>
    <t>Bracket Engine Front MTG L</t>
  </si>
  <si>
    <t>Bracket FR MTG FRM Side R</t>
  </si>
  <si>
    <t>Bracket FR MTG FRM Side L</t>
  </si>
  <si>
    <t>Bracket Comp. ENG RR MTG</t>
  </si>
  <si>
    <t>Panel Rear Quarter Inner R</t>
  </si>
  <si>
    <t>Panel Rear Quarter Inner L</t>
  </si>
  <si>
    <t>Rear Quarter Inner R</t>
  </si>
  <si>
    <t>Panel RR Floor CTR</t>
  </si>
  <si>
    <t>Y1K/Y0M</t>
  </si>
  <si>
    <t>RFQ-2021-41540-P001</t>
  </si>
  <si>
    <t>RFQ-2021-41542-P001</t>
  </si>
  <si>
    <t>61111-62S00,61161-62S00</t>
  </si>
  <si>
    <t xml:space="preserve"> 61111-62S00,61161-62S00</t>
  </si>
  <si>
    <t xml:space="preserve"> 61512-62S00</t>
  </si>
  <si>
    <t xml:space="preserve">PANEL, MAIN FLOOR , R &amp;L  </t>
  </si>
  <si>
    <t>PANEL, MAIN FLOOR , R &amp; L</t>
  </si>
  <si>
    <t xml:space="preserve">PANEL, REAR FLOOR CTR </t>
  </si>
  <si>
    <t>09.07.2021</t>
  </si>
  <si>
    <t>20.07.2021</t>
  </si>
  <si>
    <t>31.07.2021</t>
  </si>
  <si>
    <t>22.06.2021</t>
  </si>
  <si>
    <t>04.07.2021</t>
  </si>
  <si>
    <t>RFQ-2021-41472-P001</t>
  </si>
  <si>
    <t>RFQ-2021-42571-P001</t>
  </si>
  <si>
    <t>RFQ-2021-42572-P001</t>
  </si>
  <si>
    <t>26.07.2021</t>
  </si>
  <si>
    <t>Arm Assembly, Rear Trailing</t>
  </si>
  <si>
    <t>Arm Assembly, Front Leading</t>
  </si>
  <si>
    <t>46211-80T00</t>
  </si>
  <si>
    <t>45211-80T00</t>
  </si>
  <si>
    <t>02.08.2021</t>
  </si>
  <si>
    <t>29.07.2021</t>
  </si>
  <si>
    <t>RFQ-2021-42113-P001</t>
  </si>
  <si>
    <t>89310-80T00-000</t>
  </si>
  <si>
    <t>Protector comp. fuel tank</t>
  </si>
  <si>
    <t>03.08.2021</t>
  </si>
  <si>
    <t>13.08.2021</t>
  </si>
  <si>
    <t>Y9T Engine Mounting</t>
  </si>
  <si>
    <t>Y9T</t>
  </si>
  <si>
    <t>Vishal Singla</t>
  </si>
  <si>
    <t>LH- 11620-Y9T-K12N_P</t>
  </si>
  <si>
    <t>RR- Gas- 11710-Y9T-K12N_G_P</t>
  </si>
  <si>
    <t>RH- 11610-Y9T-K12N_P</t>
  </si>
  <si>
    <t>05.08.2021</t>
  </si>
  <si>
    <t>12.08.2021</t>
  </si>
  <si>
    <t>18.08.2021</t>
  </si>
  <si>
    <t>F.T</t>
  </si>
  <si>
    <t>Awarded/Adhoc settlement.</t>
  </si>
  <si>
    <t>Not awarded</t>
  </si>
  <si>
    <t>Awaited</t>
  </si>
  <si>
    <t>RFQ-2020-38936-P001</t>
  </si>
  <si>
    <t>RFQ Open</t>
  </si>
  <si>
    <t>YED NB</t>
  </si>
  <si>
    <t>RFQ-2021-42906-P002</t>
  </si>
  <si>
    <t>20.10.2021</t>
  </si>
  <si>
    <t>25.10.2021</t>
  </si>
  <si>
    <t>Business (AWARDED/NOT AWARDED/AWAITED)</t>
  </si>
  <si>
    <t>NOT SUBMITTED</t>
  </si>
  <si>
    <t>RFQ-2021-42822-P002</t>
  </si>
  <si>
    <t>29.10.2022</t>
  </si>
  <si>
    <t>01.11.2021</t>
  </si>
  <si>
    <t>01.11.2022</t>
  </si>
  <si>
    <t>01.11.2023</t>
  </si>
  <si>
    <t>08-11.2021</t>
  </si>
  <si>
    <t>RFQ-2021-42944-P008</t>
  </si>
  <si>
    <t>RFQ-2021-42909-P004</t>
  </si>
  <si>
    <t>30.06.2021</t>
  </si>
  <si>
    <t>29.06.2021</t>
  </si>
  <si>
    <t>15.07.2021</t>
  </si>
  <si>
    <t>AWARDED</t>
  </si>
  <si>
    <t>RFQ-2021-43001-P008</t>
  </si>
  <si>
    <t>RFQ-2021-43240-P001</t>
  </si>
  <si>
    <t>YL1</t>
  </si>
  <si>
    <t>58270-55U00</t>
  </si>
  <si>
    <t>61161M82R10</t>
  </si>
  <si>
    <t>61161M82R00</t>
  </si>
  <si>
    <t>61111M82R00</t>
  </si>
  <si>
    <t>RFQ-2021-43087-P001</t>
  </si>
  <si>
    <t>RFQ-2021-43086-P001</t>
  </si>
  <si>
    <t>RFQ-2021-43085-P001</t>
  </si>
  <si>
    <t>MAIN FLOOR, LEFT</t>
  </si>
  <si>
    <t>MAIN FLOOR, RIGHT</t>
  </si>
  <si>
    <t>NOT AWARDED</t>
  </si>
  <si>
    <t>Jan'23</t>
  </si>
  <si>
    <t>Basic Part cost</t>
  </si>
  <si>
    <t>LOI PRICE</t>
  </si>
  <si>
    <t xml:space="preserve">Basic Part cost </t>
  </si>
  <si>
    <t>feb'22</t>
  </si>
  <si>
    <t>RFQ-2021-42913-P004</t>
  </si>
  <si>
    <t>RFQ-2021-43380-P001</t>
  </si>
  <si>
    <t>RFQ-2021-43381-P001</t>
  </si>
  <si>
    <t>76551-55U00</t>
  </si>
  <si>
    <t>76511-55U00</t>
  </si>
  <si>
    <t>CROSS MEMBER PARTITION FRONT</t>
  </si>
  <si>
    <t>CROSS MEMBER PARTITION LWR</t>
  </si>
  <si>
    <t>AJAY SHARMA</t>
  </si>
  <si>
    <t>63230-55U00</t>
  </si>
  <si>
    <t>63230-55U10</t>
  </si>
  <si>
    <t>63630-55U00</t>
  </si>
  <si>
    <t>63630-55U10</t>
  </si>
  <si>
    <t>Total Assembly Checking Fixture/ Welding Fixture /Child Part Checking Fixture cost</t>
  </si>
  <si>
    <t>63140-55UA0</t>
  </si>
  <si>
    <t>63540-55UA0</t>
  </si>
  <si>
    <t>REINF COMP,FRONT DOOR HING,R 980 MPA</t>
  </si>
  <si>
    <t>REINF COMP,FRONT DOOR HING,L 980 MPA</t>
  </si>
  <si>
    <t>REINF COMP,FRONT DOOR HING,R 1180 MPA</t>
  </si>
  <si>
    <t>REINF COMP,FRONT DOOR HING,L 1180 MPA</t>
  </si>
  <si>
    <t>63140-55U00</t>
  </si>
  <si>
    <t>63540-55U00</t>
  </si>
  <si>
    <t>63110-55U10</t>
  </si>
  <si>
    <t>63110-55U20</t>
  </si>
  <si>
    <t>63110-55U30</t>
  </si>
  <si>
    <t>63510-55U00</t>
  </si>
  <si>
    <t>63510-55U10</t>
  </si>
  <si>
    <t>63510-55U20</t>
  </si>
  <si>
    <t>63510-55U30</t>
  </si>
  <si>
    <t>63110-55U00</t>
  </si>
  <si>
    <t>63110-55UA0</t>
  </si>
  <si>
    <t>63110-55UB0</t>
  </si>
  <si>
    <t>63110-55UC0</t>
  </si>
  <si>
    <t>63110-55UD0</t>
  </si>
  <si>
    <t>63510-55UA0</t>
  </si>
  <si>
    <t>63510-55UB0</t>
  </si>
  <si>
    <t>63510-55UC0</t>
  </si>
  <si>
    <t>63510-55UD0</t>
  </si>
  <si>
    <t>PANEL COMP,FR PILLAR INNER,R 1180 MPA</t>
  </si>
  <si>
    <t>PANEL COMP,FR PILLAR INNER,L 1180 MPA</t>
  </si>
  <si>
    <t>REINF COMP,CTR PILLAR,R 1180 MPA</t>
  </si>
  <si>
    <t>REINF COMP,CTR PILLAR,L 1180 MPA</t>
  </si>
  <si>
    <t>63230-55UA0</t>
  </si>
  <si>
    <t>63230-55UB0</t>
  </si>
  <si>
    <t>63630-55UA0</t>
  </si>
  <si>
    <t>63630-55UB0</t>
  </si>
  <si>
    <t>06-12-201</t>
  </si>
  <si>
    <t>REINF COMP,CTR PILLAR,R </t>
  </si>
  <si>
    <t>RFQ pending</t>
  </si>
  <si>
    <t>RFQ-2021-43601-P001</t>
  </si>
  <si>
    <t>RFQ-2021-43677-P002</t>
  </si>
  <si>
    <t>RFQ-2021-43372-P002</t>
  </si>
  <si>
    <t>65500-55U00</t>
  </si>
  <si>
    <t>63480-55U00</t>
  </si>
  <si>
    <t>63880-55U00</t>
  </si>
  <si>
    <t>63440-55U00</t>
  </si>
  <si>
    <t>63840-55U00</t>
  </si>
  <si>
    <t>PANEL COMP ,WHEEL HOUSE OUTER ,R</t>
  </si>
  <si>
    <t>PANEL COMP ,WHEEL HOUSE OUTER ,L</t>
  </si>
  <si>
    <t>Y9T MC 1</t>
  </si>
  <si>
    <t>PANEL COMP PARTITION SIDE R</t>
  </si>
  <si>
    <t>PANEL COMP PARTITION SIDE L</t>
  </si>
  <si>
    <t>RFQ-2021-43729-P001</t>
  </si>
  <si>
    <t>RFQ-2021-43730-P001</t>
  </si>
  <si>
    <t>11640-77U00</t>
  </si>
  <si>
    <t>11650-77U00</t>
  </si>
  <si>
    <t>BRACKET COMP, ENG MTG, RH</t>
  </si>
  <si>
    <t>BRACKET COMP, ENG MTG, LH</t>
  </si>
  <si>
    <t>MSIL Timeline plan are very stringent, SKH not able to meet.</t>
  </si>
  <si>
    <t>04-02-202</t>
  </si>
  <si>
    <t xml:space="preserve">NOT AWARDED </t>
  </si>
  <si>
    <t>NOT AWARED</t>
  </si>
  <si>
    <t>AWAITED</t>
  </si>
  <si>
    <t>ON HOLD</t>
  </si>
  <si>
    <t xml:space="preserve">Re-Quote submitted We loss the business by 3% </t>
  </si>
  <si>
    <t>REQUOTE   RFQ-2021-43730-P001</t>
  </si>
  <si>
    <t>RFQ-2022-43939-P001</t>
  </si>
  <si>
    <t>65170-55U50</t>
  </si>
  <si>
    <t>PANEL COMP, SLIDING ROOF</t>
  </si>
  <si>
    <t>tech review done 
MSIL requoted requested</t>
  </si>
  <si>
    <t>Customer (MSIl/Tier 1)</t>
  </si>
  <si>
    <t>MAR'22</t>
  </si>
  <si>
    <t>MAR'23</t>
  </si>
  <si>
    <t>JAN'23</t>
  </si>
  <si>
    <t>JULY'24</t>
  </si>
  <si>
    <t>JUN'22</t>
  </si>
  <si>
    <t>ARM COMP, FRONT SUSPENSION, R/L</t>
  </si>
  <si>
    <t>MSIL decided to go with 1180 MPA grade only for this Assembly</t>
  </si>
  <si>
    <t>RFQ received. Quote submitted. Awaiting Customer feedback</t>
  </si>
  <si>
    <t>SKH lost this business because of Strategic reasons, as well as capability issues</t>
  </si>
  <si>
    <t>Quote submitted. Awaiting MSIL's feedback</t>
  </si>
  <si>
    <t>RFQ-2022-44110-P004</t>
  </si>
  <si>
    <t>RFQ-2022-44264-P001</t>
  </si>
  <si>
    <t>PANEL REAR FLOOR CTR</t>
  </si>
  <si>
    <t>58600-55U00</t>
  </si>
  <si>
    <t>58600-55U10</t>
  </si>
  <si>
    <t>58700-55U00</t>
  </si>
  <si>
    <t>58700-55U10</t>
  </si>
  <si>
    <t>SOMIC</t>
  </si>
  <si>
    <t>MEMBER COMP FRONT SIDE R</t>
  </si>
  <si>
    <t>MEMBER COMP FRONT SIDE L</t>
  </si>
  <si>
    <t>61512-68P01</t>
  </si>
  <si>
    <t>45210-72R00 /45220-72R00</t>
  </si>
  <si>
    <t>ARM</t>
  </si>
  <si>
    <t xml:space="preserve">REQUOTED AGAIN </t>
  </si>
  <si>
    <t>M180</t>
  </si>
  <si>
    <t>DANA ANAND INDIA</t>
  </si>
  <si>
    <t>STY00026879</t>
  </si>
  <si>
    <t>BANJO HOUSING &amp; COVER</t>
  </si>
  <si>
    <t>BANJO</t>
  </si>
  <si>
    <t>XF3P1</t>
  </si>
  <si>
    <t>SUZUKI 2 WHEELER</t>
  </si>
  <si>
    <t>48211/21-29L00</t>
  </si>
  <si>
    <t>SHIELD,LEG FRONT,R/L</t>
  </si>
  <si>
    <t>ASHISH</t>
  </si>
  <si>
    <t>PRAGYAN</t>
  </si>
  <si>
    <t>RAKESH SINGHLA</t>
  </si>
  <si>
    <t>RFQ-2022-44072-P007</t>
  </si>
  <si>
    <t>61511-68P01</t>
  </si>
  <si>
    <t>PANEL REAR FLOOR FRONT</t>
  </si>
  <si>
    <t>59100-75T00</t>
  </si>
  <si>
    <t>59100-45T10</t>
  </si>
  <si>
    <t>59100-45T20</t>
  </si>
  <si>
    <t>59100-45T30</t>
  </si>
  <si>
    <t>59100-45T40</t>
  </si>
  <si>
    <t>59100-45T60</t>
  </si>
  <si>
    <t>59100-45T80</t>
  </si>
  <si>
    <t>RFQ-2022-44253-P001</t>
  </si>
  <si>
    <t>April'24</t>
  </si>
  <si>
    <t>RFQ-2022-44287-P001</t>
  </si>
  <si>
    <t>65150-55U00</t>
  </si>
  <si>
    <t>MEMBER COMP ROOF PANEL CTR</t>
  </si>
  <si>
    <t>RFQ-2022-44445-P002</t>
  </si>
  <si>
    <t>61310-55U00</t>
  </si>
  <si>
    <t>61320-55U00</t>
  </si>
  <si>
    <t>RFQ-2022-44464-P002</t>
  </si>
  <si>
    <t>61210-75T00</t>
  </si>
  <si>
    <t>61210-75T10</t>
  </si>
  <si>
    <t xml:space="preserve">TUNNEL COMP MAIN FLOOR </t>
  </si>
  <si>
    <t>YG8 K12</t>
  </si>
  <si>
    <t>RFQ-2022-44402-P002</t>
  </si>
  <si>
    <t>RFQ-2022-44729-P001</t>
  </si>
  <si>
    <t>61232-80S00</t>
  </si>
  <si>
    <t>CROSS MEMBER FLOOR PAN UPR RR</t>
  </si>
  <si>
    <t>24-05-022</t>
  </si>
  <si>
    <t>59230-55U00</t>
  </si>
  <si>
    <t>59280-55U00</t>
  </si>
  <si>
    <t>PANEL COMP,DASH SIDE ,R</t>
  </si>
  <si>
    <t>PANEL COMP,DASH SIDE ,L</t>
  </si>
  <si>
    <t>hold</t>
  </si>
  <si>
    <t>MSIL's Captive Stamping business</t>
  </si>
  <si>
    <t>RFQ pending/hold</t>
  </si>
  <si>
    <t>XF3T1</t>
  </si>
  <si>
    <t>SMIPL</t>
  </si>
  <si>
    <t>RFQ-2020</t>
  </si>
  <si>
    <t>44110-14L00</t>
  </si>
  <si>
    <t>TANK COMP, FUEL</t>
  </si>
  <si>
    <t>ASHISH SHARMA</t>
  </si>
  <si>
    <t>KML SEATING RFQ</t>
  </si>
  <si>
    <t>85111-68P01-000</t>
  </si>
  <si>
    <t>85611-68P01-000</t>
  </si>
  <si>
    <t>85112-68P00-000</t>
  </si>
  <si>
    <t>85612-68P00-000</t>
  </si>
  <si>
    <t>85111-68P20-000</t>
  </si>
  <si>
    <t>85112-68P20-000</t>
  </si>
  <si>
    <t>RISER,FR CUSH OUTSIDE,R</t>
  </si>
  <si>
    <t>RISER,FR CUSH OUTSIDE,L</t>
  </si>
  <si>
    <t xml:space="preserve">RISER,FR CUSH INSIDE,R        </t>
  </si>
  <si>
    <t>RISER,FR CUSH INSIDE,L</t>
  </si>
  <si>
    <t>BRACKET,FR CUSH OUTSIDE,R</t>
  </si>
  <si>
    <t>BRACKET,FR CUSH INSIDE,R</t>
  </si>
  <si>
    <t>RFQ-2022-45355-P001</t>
  </si>
  <si>
    <t>58270-75T00</t>
  </si>
  <si>
    <t>MEMBER COMP FRONT BUMPER 980MPA</t>
  </si>
  <si>
    <t>ASHOK</t>
  </si>
  <si>
    <t>HARISH</t>
  </si>
  <si>
    <t>As per latest MSIL insight, this business may go to MMTC and not SOMIC ZF
Final MSIL decision pending.</t>
  </si>
  <si>
    <t>1) SKH to qualify tech Review. And if Tech Review is qualified, SKH has clear chance of winning business as per  customer.
2) Tech Review final judgement is expected by 9th July 2022
3) as per D&amp;D , Tolerance seems very diffcult to get accepted.</t>
  </si>
  <si>
    <t>Business Lost by 5% on the Part Price and 35% on tooling to Competition.</t>
  </si>
  <si>
    <t>Business Lost due to Price competion 
 20% on the Part Price and 25% on tooling to Competition.</t>
  </si>
  <si>
    <t>Business Lost due to Price competion 
15% on the Part Price and 27% on tooling to Competition.</t>
  </si>
  <si>
    <t>Business Awarded.MOM signed on 07.07.2022</t>
  </si>
  <si>
    <t>RFQ-2022-45344-P002</t>
  </si>
  <si>
    <t>63211-55U00</t>
  </si>
  <si>
    <t>63611-55U00</t>
  </si>
  <si>
    <t>PANEL CTR PILLAR INNER R</t>
  </si>
  <si>
    <t>PANEL CTR PILLAR INNER L</t>
  </si>
  <si>
    <t>L1 Status achieved. Requote submitted.
Tech. CAE anlaysis failed for 1180 grade done by MSIL 
As per MSIL New RFQ will be Released on 980MPA or ECN will given if appicalbe in Existing part.</t>
  </si>
  <si>
    <t>Seating</t>
  </si>
  <si>
    <t>Requote requested</t>
  </si>
  <si>
    <t xml:space="preserve">41110-29L00 </t>
  </si>
  <si>
    <t xml:space="preserve">41140-29L00 </t>
  </si>
  <si>
    <t>PIPE COMP FRAME HEAD</t>
  </si>
  <si>
    <t>TUBE COMP FRAME DOWN</t>
  </si>
  <si>
    <t xml:space="preserve">41660-29L00 
</t>
  </si>
  <si>
    <t xml:space="preserve">41680-29L00 </t>
  </si>
  <si>
    <t>TUBE COMP PILLION FOOTREST LH</t>
  </si>
  <si>
    <t>TUBE COMP PILLION FOOTREST RH</t>
  </si>
  <si>
    <t>RFQ-2022-44633-P001</t>
  </si>
  <si>
    <t>61234M68P00</t>
  </si>
  <si>
    <t>REINF, MAIN FLOOR R</t>
  </si>
  <si>
    <t>HOLD BY SMIPL</t>
  </si>
  <si>
    <t>RFQ-2022-45908-P003</t>
  </si>
  <si>
    <t>59710M55U00</t>
  </si>
  <si>
    <t>59710M55U10</t>
  </si>
  <si>
    <t>59710M55U20</t>
  </si>
  <si>
    <t>YP8 HB</t>
  </si>
  <si>
    <t>RFQ-2022-46631-P001</t>
  </si>
  <si>
    <t>RFQ-2022-44630-P001</t>
  </si>
  <si>
    <t>RFQ-2022-44628-P001</t>
  </si>
  <si>
    <t>RFQ-2022-44629-P001</t>
  </si>
  <si>
    <t>RFQ-2022-44632-P001</t>
  </si>
  <si>
    <t>68002M74L31</t>
  </si>
  <si>
    <t>68001M74L31</t>
  </si>
  <si>
    <t>68002M74L21</t>
  </si>
  <si>
    <t>68001M74L21</t>
  </si>
  <si>
    <t>61284M68P00</t>
  </si>
  <si>
    <t>PANEL ASSY.FR DOOR.L</t>
  </si>
  <si>
    <t>PANEL ASSY.FR DOOR.R</t>
  </si>
  <si>
    <t>Loi received</t>
  </si>
  <si>
    <t xml:space="preserve">Business Lost </t>
  </si>
  <si>
    <t>customer target price is Rs 3656.71/unit
In a recent meeting with M/S DANA on 01.12.2022, 3-piece banjo (M180 Model) is under testing. As per DANA they will release New RFQ for V30 Model by this month end</t>
  </si>
  <si>
    <t>carryover business from YRA</t>
  </si>
  <si>
    <t>carry over</t>
  </si>
  <si>
    <t xml:space="preserve">Business Lost due to Price competion </t>
  </si>
  <si>
    <t>Loi awaited</t>
  </si>
  <si>
    <t>RFQ-2023-47499-P001</t>
  </si>
  <si>
    <t>RFQ-2023-47500-P001</t>
  </si>
  <si>
    <t>RFQ-2023-47501-P001</t>
  </si>
  <si>
    <t>RFQ-2023-47502-P001</t>
  </si>
  <si>
    <t>PUNEET MEHTA</t>
  </si>
  <si>
    <t>PANEL ASSY RR DOOR RH</t>
  </si>
  <si>
    <t>PANEL ASSY RR DOOR RH CARGO</t>
  </si>
  <si>
    <t>PANEL ASSY RR DOOR LH</t>
  </si>
  <si>
    <t>PANEL ASSY RR DOOR LH CARGO</t>
  </si>
  <si>
    <t>RFQ-2023-47503-P001</t>
  </si>
  <si>
    <t>RFQ-2023-47498-P001</t>
  </si>
  <si>
    <t>RFQ-2023-47491-P001</t>
  </si>
  <si>
    <t>RFQ-2023-47496-P001</t>
  </si>
  <si>
    <t>RFQ-2023-47495-P001</t>
  </si>
  <si>
    <t>RFQ-2023-47594-P001</t>
  </si>
  <si>
    <t>75003-79700</t>
  </si>
  <si>
    <t>75003-797B0</t>
  </si>
  <si>
    <t>75004-79700</t>
  </si>
  <si>
    <t>75004-797B0</t>
  </si>
  <si>
    <t>75700-79660</t>
  </si>
  <si>
    <t>PANEL ASSY BACK DOOR</t>
  </si>
  <si>
    <t>75002-79131</t>
  </si>
  <si>
    <t>PANEL ASSY FR DR LH</t>
  </si>
  <si>
    <t>75001-79131</t>
  </si>
  <si>
    <t>PANEL ASSY FR DR RH</t>
  </si>
  <si>
    <t>67180M797703</t>
  </si>
  <si>
    <t>PANEL COMP RR QTR INNER L</t>
  </si>
  <si>
    <t>68510M79511</t>
  </si>
  <si>
    <t>PANEL CTR, PILLAR OUTER RH</t>
  </si>
  <si>
    <t>65410M797E0</t>
  </si>
  <si>
    <t>PANEL.FR FLOOR(MPFI)</t>
  </si>
  <si>
    <t>62100-71U00</t>
  </si>
  <si>
    <t>MEMBER COMP, REAR FLOOR SIDE, R</t>
  </si>
  <si>
    <t>62100-71UA0</t>
  </si>
  <si>
    <t>62100-71UC0</t>
  </si>
  <si>
    <t>62300-71U00</t>
  </si>
  <si>
    <t>MEMBER COMP, REAR FLOOR SIDE, L</t>
  </si>
  <si>
    <t>62300-71UA0</t>
  </si>
  <si>
    <t>62300-71UC0</t>
  </si>
  <si>
    <t>Y17</t>
  </si>
  <si>
    <t>RFQ-2022-46226-P003</t>
  </si>
  <si>
    <t>RFQ-2022-46327-P001</t>
  </si>
  <si>
    <t>RFQ-2022-46224-P002</t>
  </si>
  <si>
    <t>RFQ-2022-46222-P002</t>
  </si>
  <si>
    <t>RFQ-2022-46220-P002</t>
  </si>
  <si>
    <t>RFQ-2022-46218-P002</t>
  </si>
  <si>
    <t>63220-71U00</t>
  </si>
  <si>
    <t>STRENGTH COMP, SIDE SILL, R</t>
  </si>
  <si>
    <t>63220-71U10</t>
  </si>
  <si>
    <t>63620-71U00</t>
  </si>
  <si>
    <t>STRENGTH COMP, SIDE SILL, L</t>
  </si>
  <si>
    <t>58270-71U00</t>
  </si>
  <si>
    <t>63240-71U00</t>
  </si>
  <si>
    <t>REINF COMP, REAR DOOR HINGE, R</t>
  </si>
  <si>
    <t>63640-71U00</t>
  </si>
  <si>
    <t>REINF COMP, REAR DOOR HINGE, L</t>
  </si>
  <si>
    <t>63211-71U00</t>
  </si>
  <si>
    <t>PANEL, CTR PILLAR INNER , R</t>
  </si>
  <si>
    <t>63611-71U00</t>
  </si>
  <si>
    <t>PANEL, CTR PILLAR INNER , L</t>
  </si>
  <si>
    <t>63140-77U00</t>
  </si>
  <si>
    <t>REINF COMP, FRONT DOOR HINGE, R</t>
  </si>
  <si>
    <t>63540-77U00</t>
  </si>
  <si>
    <t>REINF COMP, FRONT DOOR HINGE, L</t>
  </si>
  <si>
    <t>63110-71U00</t>
  </si>
  <si>
    <t>PANEL COMP, FR PILLAR INNER, R</t>
  </si>
  <si>
    <t>63510-71U00</t>
  </si>
  <si>
    <t>PANEL COMP, FR PILLAR INNER, L</t>
  </si>
  <si>
    <t>YCA MC</t>
  </si>
  <si>
    <t>61520M69R00</t>
  </si>
  <si>
    <t>MEMBER COMP RR SEAT BACK MTG</t>
  </si>
  <si>
    <t>RFQ-2023-47290-P001</t>
  </si>
  <si>
    <t>ASHOK KUMAR</t>
  </si>
  <si>
    <t xml:space="preserve">Target to DND for Technical details submission </t>
  </si>
  <si>
    <t>Requote requested.</t>
  </si>
  <si>
    <t>REQUOTE</t>
  </si>
  <si>
    <t xml:space="preserve">OMNI </t>
  </si>
  <si>
    <t>YP8</t>
  </si>
  <si>
    <t>RFQ-2023-47593-P001</t>
  </si>
  <si>
    <t>RFQ-2023-47586-P001</t>
  </si>
  <si>
    <t>RFQ-2023-47587-P001</t>
  </si>
  <si>
    <t>RFQ-2023-47588-P001</t>
  </si>
  <si>
    <t>RFQ-2023-47590-P001</t>
  </si>
  <si>
    <t>RFQ-2023-47591-P001</t>
  </si>
  <si>
    <t>RFQ-2023-47589-P001</t>
  </si>
  <si>
    <t>RFQ-2023-47592-P001</t>
  </si>
  <si>
    <t>RFQ-2023-47826-P001</t>
  </si>
  <si>
    <t>RFQ-2023-47820-P001</t>
  </si>
  <si>
    <t>RFQ-2023-47821-P001</t>
  </si>
  <si>
    <t>RFQ-2023-47822-P001</t>
  </si>
  <si>
    <t>RFQ-2023-47823-P001</t>
  </si>
  <si>
    <t>RFQ-2023-47824-P001</t>
  </si>
  <si>
    <t>RFQ-2023-47825-P001</t>
  </si>
  <si>
    <t>67130M79701</t>
  </si>
  <si>
    <t>PANEL COMP RR QTR INNER R</t>
  </si>
  <si>
    <t>61200M797B0</t>
  </si>
  <si>
    <t>PANEL ASSY FRONT MPFI TYPE 2</t>
  </si>
  <si>
    <t>65400M797E0</t>
  </si>
  <si>
    <t>PANEL ASSY FRONT FLOOR MPFI</t>
  </si>
  <si>
    <t>68910M797B0</t>
  </si>
  <si>
    <t>PANEL ASSY REAR QTR RH</t>
  </si>
  <si>
    <t>68560M79501</t>
  </si>
  <si>
    <t>PANEL CTR PILLAR OUTER LH</t>
  </si>
  <si>
    <t>68960M79590</t>
  </si>
  <si>
    <t>PANEL RR QTR OUTER RH</t>
  </si>
  <si>
    <t>61210M797E1</t>
  </si>
  <si>
    <t>PANEL COMP FRONT WITH HEATER</t>
  </si>
  <si>
    <t>61201M797B2</t>
  </si>
  <si>
    <t>PANEL COMP FRONT W/O HEATER</t>
  </si>
  <si>
    <t>57711M71P00</t>
  </si>
  <si>
    <t>FENDER LH</t>
  </si>
  <si>
    <t>57331M74L00</t>
  </si>
  <si>
    <t>HOOD INNER</t>
  </si>
  <si>
    <t>57311M74L00</t>
  </si>
  <si>
    <t>HOOD OUTER</t>
  </si>
  <si>
    <t>57311M71P00</t>
  </si>
  <si>
    <t>57611M71P10</t>
  </si>
  <si>
    <t>FENDER RH</t>
  </si>
  <si>
    <t>57611M71P00</t>
  </si>
  <si>
    <t>57711M71P10</t>
  </si>
  <si>
    <t>quoted to customer .feedback awaited</t>
  </si>
  <si>
    <t>MODEL V</t>
  </si>
  <si>
    <t>EULER MOTOR</t>
  </si>
  <si>
    <t>1) SKH Quoted for the business
2) KML shared its 1st feedback about prices are high in some areas and need to be discussed with Cust.
3) Tech. dicussion planed for 02nd dec 2022
4) THIS PARTS NOW WILL MARUTI SOURCING</t>
  </si>
  <si>
    <t>85110-68P23-000</t>
  </si>
  <si>
    <t>85610-68P22-000</t>
  </si>
  <si>
    <t>85110-68P40-000</t>
  </si>
  <si>
    <t>85610-68P40-000</t>
  </si>
  <si>
    <t>85310-72S00-000</t>
  </si>
  <si>
    <t>85810-72S00-000</t>
  </si>
  <si>
    <t>85310-72S50-000</t>
  </si>
  <si>
    <t>85810-72S50-000</t>
  </si>
  <si>
    <t xml:space="preserve">Fram Comp FR Cush R- </t>
  </si>
  <si>
    <t xml:space="preserve">Fram Comp FR Cush L- </t>
  </si>
  <si>
    <t>Fram Comp. FR Cush  R</t>
  </si>
  <si>
    <t>Fram Comp. FR Cush  L</t>
  </si>
  <si>
    <t xml:space="preserve">Frame Comp.FR Back R </t>
  </si>
  <si>
    <t>Frame Comp.FR Back L</t>
  </si>
  <si>
    <t xml:space="preserve">Mayand </t>
  </si>
  <si>
    <t>SKHM</t>
  </si>
  <si>
    <t>87315-68PA0</t>
  </si>
  <si>
    <t>BRACKET,RR BACK LOCK,R</t>
  </si>
  <si>
    <t>87815-68PA0</t>
  </si>
  <si>
    <t>BRACKET,RR BACK LOCK,L</t>
  </si>
  <si>
    <t>87316-68PA0</t>
  </si>
  <si>
    <t>BRACKET, RR BACK LOCK UPPER ,R</t>
  </si>
  <si>
    <t>87816-68PA0</t>
  </si>
  <si>
    <t>BRACKET, RR BACK LOCK UPPER , L</t>
  </si>
  <si>
    <t>87318-71L00</t>
  </si>
  <si>
    <t>BRACKET,RR BACK PANEL, R</t>
  </si>
  <si>
    <t>87818-71L00</t>
  </si>
  <si>
    <t>BRACKET,RR BACK PANEL, L</t>
  </si>
  <si>
    <t>87324-62R01</t>
  </si>
  <si>
    <t>BRACKET, TETHER ANCHOR</t>
  </si>
  <si>
    <t>85315-58J00</t>
  </si>
  <si>
    <t xml:space="preserve">HOLDER,HEADRESTRAINT,R </t>
  </si>
  <si>
    <t>85316-58J00</t>
  </si>
  <si>
    <t xml:space="preserve">HOLDER,HEADRESTRAINT,L </t>
  </si>
  <si>
    <t>87823-52RG0</t>
  </si>
  <si>
    <t>BRACKET,RR BACK INNER, L</t>
  </si>
  <si>
    <t>87824-68PG0</t>
  </si>
  <si>
    <t>REINF, RR BACK HINGE INSIDE, L</t>
  </si>
  <si>
    <t>87824-62R00</t>
  </si>
  <si>
    <t>REINF, RR BACK HINGE OUTSIDE, L</t>
  </si>
  <si>
    <t>87823-71L00</t>
  </si>
  <si>
    <t>BRACKET,RR CENTER ELR</t>
  </si>
  <si>
    <t>87828-68PA0</t>
  </si>
  <si>
    <t>BRACKET,BELT GUIDE</t>
  </si>
  <si>
    <t>85124-63R00</t>
  </si>
  <si>
    <t>PLATE ,FR CUSH FRAME, R</t>
  </si>
  <si>
    <t>85624-63R00</t>
  </si>
  <si>
    <t>PLATE ,FR CUSH FRAME, L</t>
  </si>
  <si>
    <t>86162-74P00</t>
  </si>
  <si>
    <t xml:space="preserve">PLATE FR CUSH FRAME   </t>
  </si>
  <si>
    <t>85138-74P00</t>
  </si>
  <si>
    <t>REINF,FR CUSH SIDE, R</t>
  </si>
  <si>
    <t>85139-74P00</t>
  </si>
  <si>
    <t>REINF,FR CUSH SIDE, L</t>
  </si>
  <si>
    <t>85319-74P00</t>
  </si>
  <si>
    <t>HOOK,SPRING, R</t>
  </si>
  <si>
    <t>85819-74P00</t>
  </si>
  <si>
    <t>HOOK,SPRING, L</t>
  </si>
  <si>
    <t>87311-53TB0</t>
  </si>
  <si>
    <t>PANEL,RR,BACK</t>
  </si>
  <si>
    <t>87315-53TB0</t>
  </si>
  <si>
    <t>BRACKET,RR BACK LOCK , R</t>
  </si>
  <si>
    <t>87815-53TB0</t>
  </si>
  <si>
    <t>BRACKET,RR BACK LOCK , L</t>
  </si>
  <si>
    <t>87314-68PA0</t>
  </si>
  <si>
    <t>REINF,RR BACK HINGE OUTER,R</t>
  </si>
  <si>
    <t>87814-68PA0</t>
  </si>
  <si>
    <t>REINF,RR BACK HINGE OUTER,L</t>
  </si>
  <si>
    <t>Y1K / Y0M</t>
  </si>
  <si>
    <t>Ather 450, 450 X</t>
  </si>
  <si>
    <t>ATHER ENERGY</t>
  </si>
  <si>
    <t>Regret</t>
  </si>
  <si>
    <t>Parts under subjected Project RFQ’s is not feasible in our existing in-house setup due to the following reason :
•	Shut height- 1100 mm.
•	Die washing – Die washing mechanism not available with us. 
•	Automation- Part lifting with Robot or Finger not available in our press shop.</t>
  </si>
  <si>
    <t>Y1K RC 25</t>
  </si>
  <si>
    <t>Y0M RC 25</t>
  </si>
  <si>
    <t>YNC RC 25</t>
  </si>
  <si>
    <t>63350-62SA0</t>
  </si>
  <si>
    <t>REINF COMP,RR DOOR STRIKER,R</t>
  </si>
  <si>
    <t>63750-62SA0</t>
  </si>
  <si>
    <t>Piyush</t>
  </si>
  <si>
    <t>Y1K RC 25 DP</t>
  </si>
  <si>
    <t>Y0M RC 25 DP</t>
  </si>
  <si>
    <t>YNC RC 25 DP</t>
  </si>
  <si>
    <t>REINF COMP,RR DOOR STRIKER,L</t>
  </si>
  <si>
    <t>63350-53TA0</t>
  </si>
  <si>
    <t>63750-53TA0 </t>
  </si>
  <si>
    <t>63881M81R00</t>
  </si>
  <si>
    <t>PANEL,WHEEL HOUSE OUTER,L</t>
  </si>
  <si>
    <t xml:space="preserve">Kartik </t>
  </si>
  <si>
    <t>63330M81RA0</t>
  </si>
  <si>
    <t>Satvinder</t>
  </si>
  <si>
    <t xml:space="preserve">TUNNEL COMP,MAIN FLOOR        </t>
  </si>
  <si>
    <t>TUNNEL COMP,MAIN FLOOR</t>
  </si>
  <si>
    <t xml:space="preserve">PANEL COMP,SIDE SILL INNER,R  </t>
  </si>
  <si>
    <t>61210M62S00</t>
  </si>
  <si>
    <t>61210M62S10</t>
  </si>
  <si>
    <t>61210M62S20</t>
  </si>
  <si>
    <t>61210M62S30</t>
  </si>
  <si>
    <t>61310M62S00</t>
  </si>
  <si>
    <t>61310M53T00</t>
  </si>
  <si>
    <t>61210M53T00</t>
  </si>
  <si>
    <t>61210M53T10</t>
  </si>
  <si>
    <t>61210M53T20</t>
  </si>
  <si>
    <t>YG8 RC25</t>
  </si>
  <si>
    <t>65971M78TA1</t>
  </si>
  <si>
    <t>REINF,ROOF FRONT</t>
  </si>
  <si>
    <t>Jeevan</t>
  </si>
  <si>
    <t>PANEL COMP,SIDE SILL INNER,L</t>
  </si>
  <si>
    <t>61320M62SA0</t>
  </si>
  <si>
    <t>YHB RC 25</t>
  </si>
  <si>
    <t>YG8 RC 25</t>
  </si>
  <si>
    <t>224000/297640</t>
  </si>
  <si>
    <t>Oct'24</t>
  </si>
  <si>
    <t>Feb'25</t>
  </si>
  <si>
    <t>Jan'25</t>
  </si>
  <si>
    <t>Jul'25</t>
  </si>
  <si>
    <t>Mar'25</t>
  </si>
  <si>
    <t>Immediate</t>
  </si>
  <si>
    <t>Robotic Welding Assembly</t>
  </si>
  <si>
    <t>168000 TO 336000</t>
  </si>
  <si>
    <t>Electric 4 Wheeler - Model V</t>
  </si>
  <si>
    <t>Cabin Sheet metal Parts</t>
  </si>
  <si>
    <t>Sep'23</t>
  </si>
  <si>
    <t>STEEL SIDE CHANNEL-RH</t>
  </si>
  <si>
    <t>STEEL SIDE CHANNEL-LH</t>
  </si>
  <si>
    <t xml:space="preserve">Electric 2 Wheeler </t>
  </si>
  <si>
    <t>SEATING</t>
  </si>
  <si>
    <t>Ankur</t>
  </si>
  <si>
    <t>Ajay Sharma</t>
  </si>
  <si>
    <t>YE3</t>
  </si>
  <si>
    <t xml:space="preserve">63711M53M10 </t>
  </si>
  <si>
    <t>PANEL,QTR INNER,L</t>
  </si>
  <si>
    <t>63711M53M00</t>
  </si>
  <si>
    <t>63311M53M10</t>
  </si>
  <si>
    <t>PANEL,QTR INNER,R</t>
  </si>
  <si>
    <t>62700-71U00</t>
  </si>
  <si>
    <t>62700-71U10</t>
  </si>
  <si>
    <t>62700-71UA0</t>
  </si>
  <si>
    <t>62700-71UB0</t>
  </si>
  <si>
    <t>62700-71UC0</t>
  </si>
  <si>
    <t>61530-71U00</t>
  </si>
  <si>
    <t>61530-71U10</t>
  </si>
  <si>
    <t>61530-71UA0</t>
  </si>
  <si>
    <t>61530-71UB0</t>
  </si>
  <si>
    <t>61530-71UC0</t>
  </si>
  <si>
    <t>61111-71U20</t>
  </si>
  <si>
    <t>61111-76T00</t>
  </si>
  <si>
    <t>61161-71U00</t>
  </si>
  <si>
    <t>61161-71U10</t>
  </si>
  <si>
    <t>61161-71U20</t>
  </si>
  <si>
    <t>61161-71U30</t>
  </si>
  <si>
    <t>CROSS MEMBER COMP RR FLOOR CTR</t>
  </si>
  <si>
    <t>PANEL COMP REAR FLOOR RR</t>
  </si>
  <si>
    <t>PAN MAIN FLOOR R</t>
  </si>
  <si>
    <t>PAN MAIN FLOOR L</t>
  </si>
  <si>
    <t>RFQ-2022-46651-P005</t>
  </si>
  <si>
    <t>RFQ-2023-48121-P005</t>
  </si>
  <si>
    <t>RFQ-2023-48318-P006</t>
  </si>
  <si>
    <t>Sr. No.</t>
  </si>
  <si>
    <t xml:space="preserve">Part No. </t>
  </si>
  <si>
    <t>Part Desc.</t>
  </si>
  <si>
    <t>Price (INR)</t>
  </si>
  <si>
    <t>65560M58U00</t>
  </si>
  <si>
    <t>MEMBER COMP,REAR BUMPER</t>
  </si>
  <si>
    <t>59410M58U00</t>
  </si>
  <si>
    <t>MEMBER COMP, COWL SIDE OUTER,R</t>
  </si>
  <si>
    <t>59460M58U00</t>
  </si>
  <si>
    <t>MEMBER COMP, COWL SIDE OUTER,L</t>
  </si>
  <si>
    <t>61140M58U00</t>
  </si>
  <si>
    <t>CROSSMEMBER COMP,FLR PAN NO-02</t>
  </si>
  <si>
    <t>61120M58U00</t>
  </si>
  <si>
    <t>CROSSMEMBER COMP,FLR PAN NO-1</t>
  </si>
  <si>
    <t>61234M58U00</t>
  </si>
  <si>
    <t>61284M58U00</t>
  </si>
  <si>
    <t>REINF, MAIN FLOOR L</t>
  </si>
  <si>
    <t>61514M58U00</t>
  </si>
  <si>
    <t>Panl Rear Floor RR R</t>
  </si>
  <si>
    <t>61517M58U00</t>
  </si>
  <si>
    <t>Penal Rear Floor RR L</t>
  </si>
  <si>
    <t>63410M58U00</t>
  </si>
  <si>
    <t>PANEL COMP,WHEEL HOUSE INNER,R</t>
  </si>
  <si>
    <t>63810M58U00</t>
  </si>
  <si>
    <t>PANEL COMP,WHEEL HOUSE INNER,L</t>
  </si>
  <si>
    <t>63140M58U00</t>
  </si>
  <si>
    <t>REINF COMP,FRONT DOOR HINGE,R</t>
  </si>
  <si>
    <t>63540M58U00</t>
  </si>
  <si>
    <t>REINF COMP,FRONT DOOR HINGE,L</t>
  </si>
  <si>
    <t>59232M58U00</t>
  </si>
  <si>
    <t>PANEL,DASH SIDE FRONT,R</t>
  </si>
  <si>
    <t>59282M58U00</t>
  </si>
  <si>
    <t>PANEL,DASH SIDE FRONT,L</t>
  </si>
  <si>
    <t>63210M58U00</t>
  </si>
  <si>
    <t>63610M58U00</t>
  </si>
  <si>
    <t>61531M58U00</t>
  </si>
  <si>
    <t>REINF COMP, RR FL FR RR R</t>
  </si>
  <si>
    <t>61581M58U00</t>
  </si>
  <si>
    <t>REINF COMP, RR FL FR RR L</t>
  </si>
  <si>
    <t>58250M58U00</t>
  </si>
  <si>
    <t>BRACKET COMP FR SIDE MBR LWR R</t>
  </si>
  <si>
    <t>58260M58U00</t>
  </si>
  <si>
    <t>BRACKET COMP FR SIDE MBR LWR L</t>
  </si>
  <si>
    <t>62600M58U00</t>
  </si>
  <si>
    <t>CROSSMEMBER COMP,FR FL FRONT</t>
  </si>
  <si>
    <t>71200M58U00</t>
  </si>
  <si>
    <t>Frame Assy,Motor Mount(1/2)</t>
  </si>
  <si>
    <t>45810M58U00</t>
  </si>
  <si>
    <t>Frame Comp, Front Suspension</t>
  </si>
  <si>
    <t>46801M58U00</t>
  </si>
  <si>
    <t>BRACE,REAR SPNSN FRAME,R</t>
  </si>
  <si>
    <t>46802M58U00</t>
  </si>
  <si>
    <t>BRACE,REAR SPNSN FRAME,L</t>
  </si>
  <si>
    <t>46525M58U00</t>
  </si>
  <si>
    <t>BRACKET,TRLG ARM FRONT,R</t>
  </si>
  <si>
    <t>46526M58U00</t>
  </si>
  <si>
    <t>BRACKET,TRLG ARM FRONT,L</t>
  </si>
  <si>
    <t>45210M58U00</t>
  </si>
  <si>
    <t>ARM COMP,FRONT SUSPENSION R</t>
  </si>
  <si>
    <t>45220M58U00</t>
  </si>
  <si>
    <t>ARM COMP,FRONT SUSPENSION L</t>
  </si>
  <si>
    <t>61520-71U00</t>
  </si>
  <si>
    <t>PANEL COMP REAR FLOOR CTR</t>
  </si>
  <si>
    <t>61520-71U10</t>
  </si>
  <si>
    <t>61520-71UA0</t>
  </si>
  <si>
    <t>61520-71UB0</t>
  </si>
  <si>
    <t>63480-71U00</t>
  </si>
  <si>
    <t>63480-71U20</t>
  </si>
  <si>
    <t>63880-71U00</t>
  </si>
  <si>
    <t>PANEL COMP WHEEL HOUSE OUTER L</t>
  </si>
  <si>
    <t>63880-71U10</t>
  </si>
  <si>
    <t>63880-71U20</t>
  </si>
  <si>
    <t>Y17 RFQ</t>
  </si>
  <si>
    <t>YY8 AWARDED PARTS</t>
  </si>
  <si>
    <t>Under feasibility</t>
  </si>
  <si>
    <t>RFQ-2023-48062-P004</t>
  </si>
  <si>
    <t>RFQ-2023-48068-P005</t>
  </si>
  <si>
    <t>Parts under subjected Project RFQ’s is not feasible in our existing in-house setup due to the following reason :
•	Shut height- 1100 mm.</t>
  </si>
  <si>
    <t>61310-71U00</t>
  </si>
  <si>
    <t>61310-71UA0</t>
  </si>
  <si>
    <t>61320-71U00</t>
  </si>
  <si>
    <t>61320-71UA0</t>
  </si>
  <si>
    <t>PANEL COMP SIDE SILL INNER R/L</t>
  </si>
  <si>
    <t xml:space="preserve">Business Awarded </t>
  </si>
  <si>
    <t>CROSSMEMBER COMP,RR FLOOR 2ND</t>
  </si>
  <si>
    <t>Yes</t>
  </si>
  <si>
    <t>62650-71U00</t>
  </si>
  <si>
    <t>62400-71UA0</t>
  </si>
  <si>
    <t>62400-71UB0</t>
  </si>
  <si>
    <t>62400-71UC0</t>
  </si>
  <si>
    <t>CROSSMEMBER COMP,RR FLOOR</t>
  </si>
  <si>
    <t>CROSSMEMBER COMP,RR FLOOR RR</t>
  </si>
  <si>
    <t>62800-71U00</t>
  </si>
  <si>
    <t>62800-71U10</t>
  </si>
  <si>
    <t>62800-71U20</t>
  </si>
  <si>
    <t>62800-71U30</t>
  </si>
  <si>
    <t>Jul-25.</t>
  </si>
  <si>
    <t>4581M82P10</t>
  </si>
  <si>
    <t>FRAME COMP, FRONT FRAME SUSPEN.</t>
  </si>
  <si>
    <t>Under Discussion</t>
  </si>
  <si>
    <t>RFQ- 2023-49685-P001</t>
  </si>
  <si>
    <t>RFQ-2023-49077-P001</t>
  </si>
  <si>
    <t>RFQ-2023-49918-P001</t>
  </si>
  <si>
    <t>RFQ2023-49843-P001</t>
  </si>
  <si>
    <t>RFQ-2023-49831-P001</t>
  </si>
  <si>
    <t>RFQ-2023-49844-P001</t>
  </si>
  <si>
    <t>RFQ-2023-49845-P001</t>
  </si>
  <si>
    <t>RFQ-2023-49846-P001</t>
  </si>
  <si>
    <t>RFQ-2023-49847-P001</t>
  </si>
  <si>
    <t>RFQ-2023-49852-P001</t>
  </si>
  <si>
    <t>RFQ-2023-49887-P001</t>
  </si>
  <si>
    <t>RFQ-2023-49987-P001</t>
  </si>
  <si>
    <t>RFQ-2023-49905-P001</t>
  </si>
  <si>
    <t>RFQ-2023-49906-P001</t>
  </si>
  <si>
    <t>RFQ-2023-49907-P001</t>
  </si>
  <si>
    <t>RFQ-2023-49908-P001</t>
  </si>
  <si>
    <t>RFQ-2023-49911-P001</t>
  </si>
  <si>
    <t>RFQ-2023-48984-P002</t>
  </si>
  <si>
    <t>RFQ-2023-48927-P004</t>
  </si>
  <si>
    <t>RFQ-2023-48720-P002</t>
  </si>
  <si>
    <t>RFQ-2023-48020-P004</t>
  </si>
  <si>
    <t>RFQ-2023-48526-P001</t>
  </si>
  <si>
    <t>RFQ-2023-48484-P008</t>
  </si>
  <si>
    <t>RFQ-2023-48544-P002</t>
  </si>
  <si>
    <t>RFQ-2023-48929-P001</t>
  </si>
  <si>
    <t>RFQ-2023-46304-P006</t>
  </si>
  <si>
    <t>58310-76TA0</t>
  </si>
  <si>
    <t>PANEL COMP FENDER APRON R</t>
  </si>
  <si>
    <t>58310 -76T00</t>
  </si>
  <si>
    <t>Deepak Katyan</t>
  </si>
  <si>
    <t>58410-76T00</t>
  </si>
  <si>
    <t>PANEL COMP FENDER APRON ,L</t>
  </si>
  <si>
    <t>58410-76TA0</t>
  </si>
  <si>
    <t>61511-76T00</t>
  </si>
  <si>
    <t>PANEL REAR FLOOR FR</t>
  </si>
  <si>
    <t>65170-76T50</t>
  </si>
  <si>
    <t>REINF. COMP SlIDING ROOF</t>
  </si>
  <si>
    <t>61241-76T00</t>
  </si>
  <si>
    <t>MEMBER, FLOOR SIDE REAR</t>
  </si>
  <si>
    <t>59300-76T00</t>
  </si>
  <si>
    <t>59300-76T10</t>
  </si>
  <si>
    <t>61130-76T00</t>
  </si>
  <si>
    <t>CROSSMEMBER COMP, FLR PAN UPR ,R</t>
  </si>
  <si>
    <t>61180-76T00</t>
  </si>
  <si>
    <t>CROSSMEMBER COMP, FLR PAN UPR , L</t>
  </si>
  <si>
    <t>Total RM + BOP Cost</t>
  </si>
  <si>
    <t>61140-76T00</t>
  </si>
  <si>
    <t>CROSSMEMBER COMP, FLR PAN RR ,R</t>
  </si>
  <si>
    <t>CROSSMEMBER COMP, FLR PAN RR ,L</t>
  </si>
  <si>
    <t>61190-76T00</t>
  </si>
  <si>
    <t>61241-71U00</t>
  </si>
  <si>
    <t>61241-7110</t>
  </si>
  <si>
    <t>MEMBER,FLOOR SIDE REAR</t>
  </si>
  <si>
    <t>61200-71U00</t>
  </si>
  <si>
    <t>61200-71U10</t>
  </si>
  <si>
    <t xml:space="preserve">Shubhanghi </t>
  </si>
  <si>
    <t>59710-71U00</t>
  </si>
  <si>
    <t>59710-71U10</t>
  </si>
  <si>
    <t>59710-71U20</t>
  </si>
  <si>
    <t>59710-713U0</t>
  </si>
  <si>
    <t>PANEL COMP,COWL TOP</t>
  </si>
  <si>
    <t>22..60</t>
  </si>
  <si>
    <t>65500-71U00</t>
  </si>
  <si>
    <t>65500-71U10</t>
  </si>
  <si>
    <t>65500-71UA0</t>
  </si>
  <si>
    <t>65500-71UB0</t>
  </si>
  <si>
    <t>65170-71U10</t>
  </si>
  <si>
    <t>PANEL COMP,SLIDING ROOF</t>
  </si>
  <si>
    <t>63410-71U00-000</t>
  </si>
  <si>
    <t>63410-71U10-000</t>
  </si>
  <si>
    <t>63410-71UA0-000</t>
  </si>
  <si>
    <t>63410-71UB0-000</t>
  </si>
  <si>
    <t>63410-71U20-000</t>
  </si>
  <si>
    <t>63410-71UD0-000</t>
  </si>
  <si>
    <t>63810-71U00-000</t>
  </si>
  <si>
    <t>63810-71U10-000</t>
  </si>
  <si>
    <t>63810-71UA0-000</t>
  </si>
  <si>
    <t>63810-71U20-000</t>
  </si>
  <si>
    <t>63810-71UD0-000</t>
  </si>
  <si>
    <t>65151-71U00-000</t>
  </si>
  <si>
    <t>MEMBER,ROOF PANEL CTR</t>
  </si>
  <si>
    <t>58600-71U00-000</t>
  </si>
  <si>
    <t>MEMBER ASSY,APRON SIDE,R</t>
  </si>
  <si>
    <t>58600-71U10-000</t>
  </si>
  <si>
    <t>58700-71U00-000</t>
  </si>
  <si>
    <t>MEMBER ASSY,APRON SIDE,L</t>
  </si>
  <si>
    <t>58700-71U10-000</t>
  </si>
  <si>
    <t>58700-71UA0-000</t>
  </si>
  <si>
    <t>58700-71UB0-000</t>
  </si>
  <si>
    <t>YED-NB</t>
  </si>
  <si>
    <t>85111-68P01</t>
  </si>
  <si>
    <t>85112-68P00</t>
  </si>
  <si>
    <t>RISER,FR CUSH OUTSIDE,RH</t>
  </si>
  <si>
    <t>RISER,FR CUSH INSIDE,RH</t>
  </si>
  <si>
    <t>Feedback Awaited</t>
  </si>
  <si>
    <t xml:space="preserve">RFQ-2023-48341-P004
</t>
  </si>
  <si>
    <t xml:space="preserve">
RFQ 48307</t>
  </si>
  <si>
    <t>RFQ-48266</t>
  </si>
  <si>
    <t>RFQ-48976</t>
  </si>
  <si>
    <t>Hasandeep Singh</t>
  </si>
  <si>
    <t>Pitambar Sharma</t>
  </si>
  <si>
    <t>Oct'23</t>
  </si>
  <si>
    <t xml:space="preserve">LOI Awaited </t>
  </si>
  <si>
    <t>Nityanand</t>
  </si>
  <si>
    <t>RFQ-2022-46287</t>
  </si>
  <si>
    <t xml:space="preserve">LOI Received </t>
  </si>
  <si>
    <t xml:space="preserve">Under discussion </t>
  </si>
  <si>
    <t>Y43</t>
  </si>
  <si>
    <t>RFQ-2023-50953-P002</t>
  </si>
  <si>
    <t>61515-56Q00-000</t>
  </si>
  <si>
    <t xml:space="preserve"> PANEL,REAR FLOOR SIDE,R</t>
  </si>
  <si>
    <t>61517-56Q00-000</t>
  </si>
  <si>
    <t xml:space="preserve"> PANEL,REAR FLOOR SIDE,L</t>
  </si>
  <si>
    <t>MSIL-M</t>
  </si>
  <si>
    <t>10.05.2024</t>
  </si>
  <si>
    <t>21.05.2024</t>
  </si>
  <si>
    <t>13.05.2024</t>
  </si>
  <si>
    <t>RFQ-2023-50959-P001</t>
  </si>
  <si>
    <t>65151-56Q00-000</t>
  </si>
  <si>
    <t>RFQ-2023-50966-P004</t>
  </si>
  <si>
    <t xml:space="preserve"> 59230-56Q00-000</t>
  </si>
  <si>
    <t xml:space="preserve"> 59230-56Q10-000</t>
  </si>
  <si>
    <t xml:space="preserve"> 59280-56Q00-000</t>
  </si>
  <si>
    <t>59280-56Q10-000</t>
  </si>
  <si>
    <t>PANEL COMP,DASH SIDE,R</t>
  </si>
  <si>
    <t xml:space="preserve">PANEL COMP,DASH SIDE,R </t>
  </si>
  <si>
    <t xml:space="preserve">PANEL COMP,DASH SIDE,L </t>
  </si>
  <si>
    <t>PANEL COMP,DASH SIDE,L</t>
  </si>
  <si>
    <t>Data Sumitted to D&amp;D for feasibility</t>
  </si>
  <si>
    <t>RFQ-2023-50996-P001</t>
  </si>
  <si>
    <t>61117-62R10-000</t>
  </si>
  <si>
    <t>REINF,MAIN FLOOR INSIDE,L</t>
  </si>
  <si>
    <t>MEMBER,ROOF CTR INNER</t>
  </si>
  <si>
    <t>RFQ-2023-50961-P004</t>
  </si>
  <si>
    <t>61310-56Q00-000</t>
  </si>
  <si>
    <t>PANEL COMP SILE SILL R</t>
  </si>
  <si>
    <t>61310-56Q10-000</t>
  </si>
  <si>
    <t>PANLE COMP SIDE SILL L</t>
  </si>
  <si>
    <t>61320-56Q00-000</t>
  </si>
  <si>
    <t>61320-56Q10-000</t>
  </si>
  <si>
    <t>RFQ-2023-51184-P006</t>
  </si>
  <si>
    <t>62100-56Q00-000</t>
  </si>
  <si>
    <t>MEMBER COMP RR FLOOR R</t>
  </si>
  <si>
    <t>62100-56Q10-000</t>
  </si>
  <si>
    <t>62100-56Q20-000</t>
  </si>
  <si>
    <t>62300-56Q00-000</t>
  </si>
  <si>
    <t>MEMBER COMP RR FLOOR L</t>
  </si>
  <si>
    <t>63240-56Q00-000</t>
  </si>
  <si>
    <t>63240-56QA0-000</t>
  </si>
  <si>
    <t>63640-56Q00-000</t>
  </si>
  <si>
    <t>RFQ-2023-50957-P004</t>
  </si>
  <si>
    <t>63640-56QA0-000</t>
  </si>
  <si>
    <t>RFQ-2023-50955-P004</t>
  </si>
  <si>
    <t>63230-56Q00-000</t>
  </si>
  <si>
    <t>63230-56QA0-000</t>
  </si>
  <si>
    <t>63630-56QA0-000</t>
  </si>
  <si>
    <t>63630-56Q00-000</t>
  </si>
  <si>
    <t>RFQ-2023-50983-P008</t>
  </si>
  <si>
    <t>63110-56Q00-000</t>
  </si>
  <si>
    <t>PANEL COMP FRONT PILLLAR R</t>
  </si>
  <si>
    <t>PANEL COMP FRONT PILLLAR L</t>
  </si>
  <si>
    <t>63110-56Q10-000</t>
  </si>
  <si>
    <t>63510-56Q00-000</t>
  </si>
  <si>
    <t>63510-56Q10-000</t>
  </si>
  <si>
    <t>63510-56Q1A-000</t>
  </si>
  <si>
    <t>63510-56Q1B-000</t>
  </si>
  <si>
    <t>63510-56QA0-000</t>
  </si>
  <si>
    <t>63510-56QB0-000</t>
  </si>
  <si>
    <t>RFQ-2023-50972-P002</t>
  </si>
  <si>
    <t>Annual Volume As Per RFQ</t>
  </si>
  <si>
    <t>63140-56Q00-000</t>
  </si>
  <si>
    <t>REINF DOOR HINGE R</t>
  </si>
  <si>
    <t>REINF DOOR HINGE L</t>
  </si>
  <si>
    <t>63540-56Q00-000</t>
  </si>
  <si>
    <t>RFQ-2023-50952-P001</t>
  </si>
  <si>
    <t>58270-56Q00-000</t>
  </si>
  <si>
    <t>RFQ-2023-51130-POO4</t>
  </si>
  <si>
    <t>58600-56Q00-000</t>
  </si>
  <si>
    <t>58600-56Q10-000</t>
  </si>
  <si>
    <t>58700-56Q10-000</t>
  </si>
  <si>
    <t>58700-56Q00-000</t>
  </si>
  <si>
    <t>25.05.2024</t>
  </si>
  <si>
    <t>RFQ-2023-51084-P001</t>
  </si>
  <si>
    <t>61210-56Q00-000</t>
  </si>
  <si>
    <t>16.05.2024</t>
  </si>
  <si>
    <t>23.05.2024</t>
  </si>
  <si>
    <t>QUOTATION SUBMITTEED</t>
  </si>
  <si>
    <t>20.05.2024</t>
  </si>
  <si>
    <t>20.05.2025</t>
  </si>
  <si>
    <t>20.05.2026</t>
  </si>
  <si>
    <t>TOOLING
 Cost
(LACS)</t>
  </si>
  <si>
    <t>RMC 
%</t>
  </si>
  <si>
    <t>PBT %</t>
  </si>
  <si>
    <t>Development cost 
(Lacs)</t>
  </si>
  <si>
    <t>Total Assembly Checking Fixture/ Welding Fixture /Child Part Checking Fixture cost
(Lacs)</t>
  </si>
  <si>
    <t>27.05.2024</t>
  </si>
  <si>
    <t xml:space="preserve">Business Value </t>
  </si>
  <si>
    <t>Sr No.</t>
  </si>
  <si>
    <t>Basic Part Cost
Quoted</t>
  </si>
  <si>
    <t>Total Quoted Content</t>
  </si>
  <si>
    <t>Total</t>
  </si>
  <si>
    <t>Amort</t>
  </si>
  <si>
    <t>Royalty</t>
  </si>
  <si>
    <t>Gross Weight</t>
  </si>
  <si>
    <t>Net Weight</t>
  </si>
  <si>
    <t>Yield %</t>
  </si>
  <si>
    <t>YCA MC'27</t>
  </si>
  <si>
    <t>RFQ-2024-51084-P001</t>
  </si>
  <si>
    <t>AJEET KUMAR</t>
  </si>
  <si>
    <t>RFQ-2024-52671-P001</t>
  </si>
  <si>
    <t>58270-69RA0-000</t>
  </si>
  <si>
    <t>61310-69RA0-000</t>
  </si>
  <si>
    <t>PANLE COMP SIDE SILL INNER - R</t>
  </si>
  <si>
    <t>PANLE COMP SIDE SILL INNER - L</t>
  </si>
  <si>
    <t>61320-69RA0-000</t>
  </si>
  <si>
    <t>STRENGHT COMP SIDE SILL - R</t>
  </si>
  <si>
    <t>STRENGHT COMP SIDE SILL - L</t>
  </si>
  <si>
    <t>RFQ-2024-52768-P002</t>
  </si>
  <si>
    <t>63230-69RA0-000</t>
  </si>
  <si>
    <t>63630-69RA0-000</t>
  </si>
  <si>
    <t>RFQ-2024-52766-P001</t>
  </si>
  <si>
    <t>RFQ-2024-52685-P001</t>
  </si>
  <si>
    <t>63140-69RA0-000</t>
  </si>
  <si>
    <t>59230-69RA0-000</t>
  </si>
  <si>
    <t xml:space="preserve">REINF COMP FRONT DOOR HINGE </t>
  </si>
  <si>
    <t>PANEL COMP DASH SIDE - R</t>
  </si>
  <si>
    <t>FEASIBILITY AWAITED FROM D&amp;D</t>
  </si>
  <si>
    <t xml:space="preserve">YWD MC </t>
  </si>
  <si>
    <t>RFQ-2024-52459</t>
  </si>
  <si>
    <t>72870-57Q00-000</t>
  </si>
  <si>
    <t>COVER COMP, FRAME</t>
  </si>
  <si>
    <t>AMOL CHANDRA</t>
  </si>
  <si>
    <t>YG8 RC</t>
  </si>
  <si>
    <t>RFQ-2024-52913</t>
  </si>
  <si>
    <t>69820-78T00-000</t>
  </si>
  <si>
    <t>PARTITION COMP BACK DOOR</t>
  </si>
  <si>
    <t>E-SUV</t>
  </si>
  <si>
    <t>Dana</t>
  </si>
  <si>
    <t>Tube Assy - Front</t>
  </si>
  <si>
    <t>ARADHANA JHA</t>
  </si>
  <si>
    <t>Axle</t>
  </si>
  <si>
    <t>USA</t>
  </si>
  <si>
    <t>YXA MC</t>
  </si>
  <si>
    <t>MEMBER COMP REAR FLOOR -R</t>
  </si>
  <si>
    <t>MEMBER COMP REAR FLOOR -L</t>
  </si>
  <si>
    <t>MEMBER COMP HOOD LOOK</t>
  </si>
  <si>
    <t>PANEL COMP FROMT PILLAR INNER -R</t>
  </si>
  <si>
    <t>PANEL COMP FROMT PILLAR INNER -L</t>
  </si>
  <si>
    <t>PANEL COMP WHEEL HOUSE OUTER-L</t>
  </si>
  <si>
    <t xml:space="preserve">MEMBER FLOOR SIDE REAR </t>
  </si>
  <si>
    <t>CROSSMEMEBR COMP RR FLOOR CTR</t>
  </si>
  <si>
    <t>RFQ-2024-52604-P004</t>
  </si>
  <si>
    <t>RFQ-2024-52408-P001</t>
  </si>
  <si>
    <t>61200-58Q00</t>
  </si>
  <si>
    <t>RFQ-2024-52471-P001</t>
  </si>
  <si>
    <t>RFQ-2024-52340-P004</t>
  </si>
  <si>
    <t>58230-59Q00</t>
  </si>
  <si>
    <t>RFQ-2024-50756-P001</t>
  </si>
  <si>
    <t>RFQ-2024-52343-P004</t>
  </si>
  <si>
    <t>63880-58Q00</t>
  </si>
  <si>
    <t>RFQ-2024-52005-P001</t>
  </si>
  <si>
    <t>65500-58Q10</t>
  </si>
  <si>
    <t>RFQ-2024-52890-P001</t>
  </si>
  <si>
    <t>61241-58Q00</t>
  </si>
  <si>
    <t>62700-58Q00</t>
  </si>
  <si>
    <t>63220-58Q00</t>
  </si>
  <si>
    <t>63620-58Q00</t>
  </si>
  <si>
    <t>62100-58Q00</t>
  </si>
  <si>
    <t>62100-58Q10</t>
  </si>
  <si>
    <t>62300-58Q10</t>
  </si>
  <si>
    <t>63110-58Q00</t>
  </si>
  <si>
    <t>63110-58Q10</t>
  </si>
  <si>
    <t>63510-58Q00</t>
  </si>
  <si>
    <t>63510-58Q10</t>
  </si>
  <si>
    <t>MSIL-K</t>
  </si>
  <si>
    <t>31.07.2024</t>
  </si>
  <si>
    <t>30.07.2024</t>
  </si>
  <si>
    <t>RFQ-2024-53022-P002</t>
  </si>
  <si>
    <t>59250-5Q00</t>
  </si>
  <si>
    <t>59260-5Q00</t>
  </si>
  <si>
    <t>PANEL COMP,DASH SIDE RR,R</t>
  </si>
  <si>
    <t>PANEL COMP,DASH SIDE RR,L</t>
  </si>
  <si>
    <t>RFQ-2024-53042-P002</t>
  </si>
  <si>
    <t>61310-58Q00-000</t>
  </si>
  <si>
    <t>61320-58Q00-000</t>
  </si>
  <si>
    <t>PANEL COMP,SIDE SILL INNER,R</t>
  </si>
  <si>
    <t>RFQ-2024-53038-P002</t>
  </si>
  <si>
    <t>61140-58Q00-000</t>
  </si>
  <si>
    <t>61190-58Q00-000</t>
  </si>
  <si>
    <t>CROSSMEMBER COMP,FLR PAN RR,R</t>
  </si>
  <si>
    <t>CROSSMEMBER COMP,FLR PAN RR,L</t>
  </si>
  <si>
    <t>RFQ-2024-53040-P002</t>
  </si>
  <si>
    <t>63140-58Q00-000</t>
  </si>
  <si>
    <t>63540-58Q00-000</t>
  </si>
  <si>
    <t>63240-58Q00</t>
  </si>
  <si>
    <t>63640-58Q00</t>
  </si>
  <si>
    <t>RFQ-2024-53108-P002</t>
  </si>
  <si>
    <t>62100-56Q00</t>
  </si>
  <si>
    <t>62100-56Q10</t>
  </si>
  <si>
    <t>62100-56Q20</t>
  </si>
  <si>
    <t>62300-56Q00</t>
  </si>
  <si>
    <t>62300-56Q10</t>
  </si>
  <si>
    <t>62300-56Q20</t>
  </si>
  <si>
    <t xml:space="preserve"> MEMBER COMP,RR FLOOR SIDE,R</t>
  </si>
  <si>
    <t>MEMBER COMP,RR FLOOR SIDE,R</t>
  </si>
  <si>
    <t>MEMBER COMP,RR FLOOR SIDE,L</t>
  </si>
  <si>
    <t xml:space="preserve"> MEMBER COMP,RR FLOOR SIDE,L</t>
  </si>
  <si>
    <t>DEEPAK KATYAN</t>
  </si>
  <si>
    <t>MSIL - M</t>
  </si>
  <si>
    <t xml:space="preserve">RE-QUOTATION SUBMIITED </t>
  </si>
  <si>
    <t>RFQ-2024-52841-P004</t>
  </si>
  <si>
    <t>58600-69RA0</t>
  </si>
  <si>
    <t xml:space="preserve"> MEMBER COMP,  FRONT SIDE, R</t>
  </si>
  <si>
    <t xml:space="preserve"> MEMBER COMP,  FRONT SIDE, L</t>
  </si>
  <si>
    <t>YK9</t>
  </si>
  <si>
    <t>58700-69RA0</t>
  </si>
  <si>
    <t>61310-72Q00</t>
  </si>
  <si>
    <t>61320-72Q00</t>
  </si>
  <si>
    <t>PANEL COMP, SIDE SILL INNER, R</t>
  </si>
  <si>
    <t>PANEL COMP, SIDE SILL INNER, L</t>
  </si>
  <si>
    <t>RFQ-2024-53269</t>
  </si>
  <si>
    <t>RFQ-2024-53335</t>
  </si>
  <si>
    <t>59280-72Q00</t>
  </si>
  <si>
    <t>59230-72Q00</t>
  </si>
  <si>
    <t>59230-72Q10</t>
  </si>
  <si>
    <t>59280-72Q10</t>
  </si>
  <si>
    <t>RFQ-2024-53075</t>
  </si>
  <si>
    <t>65151-72Q00</t>
  </si>
  <si>
    <t>MEMBER,ROOF PANEL CTR NO.1</t>
  </si>
  <si>
    <t>63230-72Q00</t>
  </si>
  <si>
    <t>63230-72Q10</t>
  </si>
  <si>
    <t>63630-72Q00</t>
  </si>
  <si>
    <t>63630-72Q10</t>
  </si>
  <si>
    <t>58270-72Q00</t>
  </si>
  <si>
    <t xml:space="preserve">Member Comp, Front Bumper </t>
  </si>
  <si>
    <t xml:space="preserve"> 58270-72Q10</t>
  </si>
  <si>
    <t>63220-72Q00</t>
  </si>
  <si>
    <t>63220-72Q10</t>
  </si>
  <si>
    <t>63620-72Q00</t>
  </si>
  <si>
    <t>63620-72Q10</t>
  </si>
  <si>
    <t>RFQ-2024-53125-P004</t>
  </si>
  <si>
    <t>Sr. No</t>
  </si>
  <si>
    <t>Description</t>
  </si>
  <si>
    <t xml:space="preserve">Weigth </t>
  </si>
  <si>
    <t>RFQ Vol</t>
  </si>
  <si>
    <t>Major Grade Contribution</t>
  </si>
  <si>
    <t xml:space="preserve">Assy Price </t>
  </si>
  <si>
    <t>JSC1180YLN</t>
  </si>
  <si>
    <t>JAC1180YLN-45/45</t>
  </si>
  <si>
    <t>JSC980YLN</t>
  </si>
  <si>
    <t>JAC980YLN-45/45</t>
  </si>
  <si>
    <t>JAC980YN-45/45</t>
  </si>
  <si>
    <t>JSC980YN</t>
  </si>
  <si>
    <t>JSC1180YLN/JAC590RN-45/45</t>
  </si>
  <si>
    <t xml:space="preserve">TOTAL </t>
  </si>
  <si>
    <t>RFQ-2024-52771-P004</t>
  </si>
  <si>
    <t>62100-6R9A0</t>
  </si>
  <si>
    <t>62100-6R9B0</t>
  </si>
  <si>
    <t>62300-69RA0</t>
  </si>
  <si>
    <t>62300-69RB0</t>
  </si>
  <si>
    <t>MEMBER COMP REAR FLOOR SIDE R</t>
  </si>
  <si>
    <t>MEMBER COMP REAR FLOOR SIDE L</t>
  </si>
  <si>
    <t>AJEERT KUMAR</t>
  </si>
  <si>
    <t xml:space="preserve"> </t>
  </si>
  <si>
    <t xml:space="preserve">QUOTATION SUBMITTED </t>
  </si>
  <si>
    <t>33942-85U00</t>
  </si>
  <si>
    <t>Bracket, EPI CONT</t>
  </si>
  <si>
    <t>63230-53TA0</t>
  </si>
  <si>
    <t>63630-53TA0</t>
  </si>
  <si>
    <t>62910-56Q00</t>
  </si>
  <si>
    <t>Crossmember Comp Rear Floor No. - 2</t>
  </si>
  <si>
    <t>62810-56Q00</t>
  </si>
  <si>
    <t>Crossmember Comp Rear Floor No. - 1</t>
  </si>
  <si>
    <t>65560-56Q10</t>
  </si>
  <si>
    <t>Absorber Comp, RR Bumper - R</t>
  </si>
  <si>
    <t>Absorber Comp, RR Bumper - L</t>
  </si>
  <si>
    <t>62100-53TD0</t>
  </si>
  <si>
    <t xml:space="preserve">Member comp, RR floor, R </t>
  </si>
  <si>
    <t>62100-53TE0</t>
  </si>
  <si>
    <t>62100-53TF0</t>
  </si>
  <si>
    <t>62300-53TD0</t>
  </si>
  <si>
    <t>Member comp, RR floor, L</t>
  </si>
  <si>
    <t>62300-53TE0</t>
  </si>
  <si>
    <t>62300-53TF0</t>
  </si>
  <si>
    <t>57340-56Q00</t>
  </si>
  <si>
    <t>Striker Comp, Front Hood Look</t>
  </si>
  <si>
    <t>58230-56Q00</t>
  </si>
  <si>
    <t>Member Comp, Hood Lock</t>
  </si>
  <si>
    <t>62700-56Q10</t>
  </si>
  <si>
    <t>Crossmember Comp, RR Floor CTR</t>
  </si>
  <si>
    <t>64130-56Q00</t>
  </si>
  <si>
    <t>Pnl Comp, RR Lamp House - R</t>
  </si>
  <si>
    <t>64530-56Q00</t>
  </si>
  <si>
    <t>Pnl Comp, RR Lamp House - L</t>
  </si>
  <si>
    <t>63410-56Q00</t>
  </si>
  <si>
    <t>Pnl Comp, Wheel House Inner - R</t>
  </si>
  <si>
    <t>63410-56Q10</t>
  </si>
  <si>
    <t>63810-56Q00</t>
  </si>
  <si>
    <t>Pnl Comp, Wheel House Inner - L</t>
  </si>
  <si>
    <t>63810-56Q10</t>
  </si>
  <si>
    <t>61530-69RA0</t>
  </si>
  <si>
    <t>Pnl Comp, Rear Floor RR</t>
  </si>
  <si>
    <t>61530-58Q20</t>
  </si>
  <si>
    <t>61130-56Q00</t>
  </si>
  <si>
    <t>Crossmember Comp, Flr Upr Ctr - R</t>
  </si>
  <si>
    <t>61130-56QA0</t>
  </si>
  <si>
    <t>Crossmember Comp, Flr Upr Ctr - L</t>
  </si>
  <si>
    <t>63480-56Q00</t>
  </si>
  <si>
    <t>63880-56Q00</t>
  </si>
  <si>
    <t>63880-56Q10</t>
  </si>
  <si>
    <t>65170-56Q50</t>
  </si>
  <si>
    <t>Pnl Comp, Sliding Roof</t>
  </si>
  <si>
    <t>61120-56Q00</t>
  </si>
  <si>
    <t>Crossmember Comp, Flr Pan Upr - R</t>
  </si>
  <si>
    <t>61170-56Q00</t>
  </si>
  <si>
    <t>Crossmember Comp, Flr Pan Upr - L</t>
  </si>
  <si>
    <t>65400-56Q00</t>
  </si>
  <si>
    <t xml:space="preserve">Pnl Assy. Rear Skirt </t>
  </si>
  <si>
    <t>65400-56Q10</t>
  </si>
  <si>
    <t>63310-56Q00</t>
  </si>
  <si>
    <t>Pnl. Comp, Qtr Inner Upper - R</t>
  </si>
  <si>
    <t>Pnl. Comp, Qtr Inner Upper - L</t>
  </si>
  <si>
    <t>59410-56Q00</t>
  </si>
  <si>
    <t>Member Comp, Cowl Side Outer - R</t>
  </si>
  <si>
    <t>59460-56Q00</t>
  </si>
  <si>
    <t>Member Comp, Cowl Side Outer - L</t>
  </si>
  <si>
    <t>61520-69RA0</t>
  </si>
  <si>
    <t>Member Comp, RR Seat Back MTG - R</t>
  </si>
  <si>
    <t>61520-69RB0</t>
  </si>
  <si>
    <t>61540-69RA0</t>
  </si>
  <si>
    <t>Member Comp, RR Seat Back MTG - L</t>
  </si>
  <si>
    <t>61540-69RB0</t>
  </si>
  <si>
    <t>63350-56Q00</t>
  </si>
  <si>
    <t>Reinf Comp, RR Door Striker - R</t>
  </si>
  <si>
    <t>63750-56Q00</t>
  </si>
  <si>
    <t>Reinf Comp, RR Door Striker - L</t>
  </si>
  <si>
    <t>59220-56Q00</t>
  </si>
  <si>
    <t xml:space="preserve">Crossmember Comp, Dash Upper </t>
  </si>
  <si>
    <t>59220-56Q10</t>
  </si>
  <si>
    <t>63330-56Q00</t>
  </si>
  <si>
    <t>Pnl Comp Qtr Inner Rear - R</t>
  </si>
  <si>
    <t>63730-56Q00</t>
  </si>
  <si>
    <t>Pnl Comp Qtr Inner Rear - L</t>
  </si>
  <si>
    <t>59100-56Q00</t>
  </si>
  <si>
    <t>Pnl Comp, Dash</t>
  </si>
  <si>
    <t>59100-56Q10</t>
  </si>
  <si>
    <t>59100-56Q20</t>
  </si>
  <si>
    <t>59100-56Q30</t>
  </si>
  <si>
    <t>59100-56Q40</t>
  </si>
  <si>
    <t xml:space="preserve">Member Comp, Roof Back Inner </t>
  </si>
  <si>
    <t>58310-56Q00</t>
  </si>
  <si>
    <t>Pnl Comp Fender Apron - R</t>
  </si>
  <si>
    <t>58410-56Q00</t>
  </si>
  <si>
    <t>Pnl Comp Fender Apron - L</t>
  </si>
  <si>
    <t>58310-69RA0</t>
  </si>
  <si>
    <t>58410-69RA0</t>
  </si>
  <si>
    <t>63230-81RA0</t>
  </si>
  <si>
    <t>Strength Comp Side Sill - R</t>
  </si>
  <si>
    <t>63630-81RA0</t>
  </si>
  <si>
    <t>Strength Comp Side Sill - L</t>
  </si>
  <si>
    <t>59241-56Q00</t>
  </si>
  <si>
    <t>Bracket Hood Hinge - R</t>
  </si>
  <si>
    <t>59291-56Q00</t>
  </si>
  <si>
    <t>Bracket Hood Hinge - L</t>
  </si>
  <si>
    <t>59300-56Q00</t>
  </si>
  <si>
    <t>Pnl Comp, Cowl Upr</t>
  </si>
  <si>
    <t>59300-56Q10</t>
  </si>
  <si>
    <t>59300-56Q20</t>
  </si>
  <si>
    <t>61520-56Q20</t>
  </si>
  <si>
    <t>Member Comp RR Seat Back MTG</t>
  </si>
  <si>
    <t>65120-56Q00</t>
  </si>
  <si>
    <t xml:space="preserve">Member Comp Roof Front Inner </t>
  </si>
  <si>
    <t>61518-56Q00</t>
  </si>
  <si>
    <t xml:space="preserve">Member Rear Floor Inner </t>
  </si>
  <si>
    <t>61520-56Q00</t>
  </si>
  <si>
    <t>Member Comp RR Seat Back MTG - R</t>
  </si>
  <si>
    <t>61520-56Q10</t>
  </si>
  <si>
    <t>61540-56Q00</t>
  </si>
  <si>
    <t>Member Comp RR Seat Back MTG - L</t>
  </si>
  <si>
    <t>61540-56Q10</t>
  </si>
  <si>
    <t>63110-72Q00</t>
  </si>
  <si>
    <t>Pnl Comp, Front Pillar Inner - R</t>
  </si>
  <si>
    <t>63510-72Q00</t>
  </si>
  <si>
    <t>Pnl Comp, Front Pillar Inner - L</t>
  </si>
  <si>
    <t>65400-53TA0</t>
  </si>
  <si>
    <t xml:space="preserve">Pnl Comp, Rear Skirt </t>
  </si>
  <si>
    <t>63140-72Q00</t>
  </si>
  <si>
    <t>Reinf Comp Front Door Hinge - R</t>
  </si>
  <si>
    <t>63140-72Q10</t>
  </si>
  <si>
    <t>63540-72Q00</t>
  </si>
  <si>
    <t>61120-69RA0</t>
  </si>
  <si>
    <t>Crossmember Comp Flr Pan Upr - R</t>
  </si>
  <si>
    <t>62100-72Q00</t>
  </si>
  <si>
    <t>Member Comp Rear Floor Side - R</t>
  </si>
  <si>
    <t>62100-72Q10</t>
  </si>
  <si>
    <t>62100-72Q20</t>
  </si>
  <si>
    <t>62100-72QA0</t>
  </si>
  <si>
    <t>62100-72QB0</t>
  </si>
  <si>
    <t>62300-72Q00</t>
  </si>
  <si>
    <t>Member Comp Rear Floor Side - L</t>
  </si>
  <si>
    <t>62300-72Q10</t>
  </si>
  <si>
    <t>62300-72Q20</t>
  </si>
  <si>
    <t>62300-72QA0</t>
  </si>
  <si>
    <t>62300-72QB0</t>
  </si>
  <si>
    <t>58600-72Q00</t>
  </si>
  <si>
    <t>Member Comp  Front Side - R</t>
  </si>
  <si>
    <t>58600-72Q10</t>
  </si>
  <si>
    <t>58600-72Q20</t>
  </si>
  <si>
    <t>58600-72Q30</t>
  </si>
  <si>
    <t>58600-72Q40</t>
  </si>
  <si>
    <t>58700-72Q00</t>
  </si>
  <si>
    <t>Member Comp  Front Side - L</t>
  </si>
  <si>
    <t>58700-72Q10</t>
  </si>
  <si>
    <t>58700-72Q20</t>
  </si>
  <si>
    <t>58700-72Q30</t>
  </si>
  <si>
    <t>58700-72Q40</t>
  </si>
  <si>
    <t>62700-72Q00</t>
  </si>
  <si>
    <t>Crossmember Comp RR Floor CTR</t>
  </si>
  <si>
    <t>62700-72Q10</t>
  </si>
  <si>
    <t>62700-72Q20</t>
  </si>
  <si>
    <t>62700-72Q30</t>
  </si>
  <si>
    <t>62700-72QA0</t>
  </si>
  <si>
    <t>62700-72QB0</t>
  </si>
  <si>
    <t>65400-81P00</t>
  </si>
  <si>
    <t xml:space="preserve">Pnl Rear Skirt </t>
  </si>
  <si>
    <t>61130-69RA0</t>
  </si>
  <si>
    <t>61180-69RA0</t>
  </si>
  <si>
    <t>59411-69RA0</t>
  </si>
  <si>
    <t>Member Cowl Side Outer R</t>
  </si>
  <si>
    <t>59461-69RA0</t>
  </si>
  <si>
    <t>Member Cowl Side Outer L</t>
  </si>
  <si>
    <t>63210-56Q00</t>
  </si>
  <si>
    <t>Panel Comp CTR Pillar Inner R</t>
  </si>
  <si>
    <t>63610-56Q00</t>
  </si>
  <si>
    <t>Panel Comp CTR Pillar Inner L</t>
  </si>
  <si>
    <t>68131-58Q00</t>
  </si>
  <si>
    <t>Reinf Door Outer CTR Upr-R</t>
  </si>
  <si>
    <t>68331-58Q00</t>
  </si>
  <si>
    <t>Reinf Door Outer CTR Upr-L</t>
  </si>
  <si>
    <t>61560-69RA0</t>
  </si>
  <si>
    <t xml:space="preserve">Bracket Comp Spare Tire </t>
  </si>
  <si>
    <t>71110-56Q00</t>
  </si>
  <si>
    <t xml:space="preserve">Crossmember Comp Front Lower </t>
  </si>
  <si>
    <t>YWD MC</t>
  </si>
  <si>
    <t>Y0M RC</t>
  </si>
  <si>
    <t>YCA MC +Y43</t>
  </si>
  <si>
    <t xml:space="preserve">YCA MC </t>
  </si>
  <si>
    <t>YNC RC</t>
  </si>
  <si>
    <t>Ajeet Kumar</t>
  </si>
  <si>
    <t>MSIL - G</t>
  </si>
  <si>
    <t xml:space="preserve">AMOL </t>
  </si>
  <si>
    <t>Crossmember Comp Flr Upr CTR - R</t>
  </si>
  <si>
    <t>Crossmember Comp Flr Upr CTR - L</t>
  </si>
  <si>
    <t>65130-56Q00</t>
  </si>
  <si>
    <t>61180-56Q00</t>
  </si>
  <si>
    <t>61180-56QA0</t>
  </si>
  <si>
    <t>PANEL ASSY,REAR SKIRT</t>
  </si>
  <si>
    <t>63880-69RB0</t>
  </si>
  <si>
    <t>63740-69RA0</t>
  </si>
  <si>
    <t>STRIKER COMP,RR SEAT BACK,L</t>
  </si>
  <si>
    <t>Reinf Comp Front Door Hinge - L</t>
  </si>
  <si>
    <t>65170-72Q50</t>
  </si>
  <si>
    <t xml:space="preserve">Panel Comp Sliding Roof </t>
  </si>
  <si>
    <t>58310-72Q00</t>
  </si>
  <si>
    <t>58310-72Q10</t>
  </si>
  <si>
    <t>58410-72Q00</t>
  </si>
  <si>
    <t>58410-72Q10</t>
  </si>
  <si>
    <t>58410-72Q20</t>
  </si>
  <si>
    <t>Panel Comp Fender Apron - R</t>
  </si>
  <si>
    <t>Panel Comp Fender Apron - L</t>
  </si>
  <si>
    <t>72390-70T00</t>
  </si>
  <si>
    <t>Amol</t>
  </si>
  <si>
    <t>71120-70T00</t>
  </si>
  <si>
    <t xml:space="preserve">Member Comp Apron Lower </t>
  </si>
  <si>
    <t>61210-72Q00</t>
  </si>
  <si>
    <t>61210-72Q20</t>
  </si>
  <si>
    <t>61210-72Q30</t>
  </si>
  <si>
    <t>61210-72Q40</t>
  </si>
  <si>
    <t>61210-72Q50</t>
  </si>
  <si>
    <t>61210-72Q60</t>
  </si>
  <si>
    <t>61210-72QA0</t>
  </si>
  <si>
    <t>61210-72QB0</t>
  </si>
  <si>
    <t>BUSINESS AWARDED</t>
  </si>
  <si>
    <t>JUL'26</t>
  </si>
  <si>
    <t>DID NOT QUOTE</t>
  </si>
  <si>
    <t>61170-69RA0</t>
  </si>
  <si>
    <t>65400-69RA0</t>
  </si>
  <si>
    <t>65400-69RB0</t>
  </si>
  <si>
    <t>XF3Z*/3P</t>
  </si>
  <si>
    <t>53111-02L00</t>
  </si>
  <si>
    <t>PANEL , FRONT FENDER</t>
  </si>
  <si>
    <t>59710-72Q00</t>
  </si>
  <si>
    <t>59710-72Q10</t>
  </si>
  <si>
    <t>59710-72Q20</t>
  </si>
  <si>
    <t>PANEL COMP, COWL TOP</t>
  </si>
  <si>
    <t>58230-72Q00</t>
  </si>
  <si>
    <t>58230-72Q10</t>
  </si>
  <si>
    <t>63480-72Q00</t>
  </si>
  <si>
    <t>63480-72Q10</t>
  </si>
  <si>
    <t>63880-72Q00</t>
  </si>
  <si>
    <t>63880-72Q10</t>
  </si>
  <si>
    <t>63880-72Q20</t>
  </si>
  <si>
    <t>PANEL COMP WHEEL HOUSE OUTER-R</t>
  </si>
  <si>
    <t>63315-72Q00</t>
  </si>
  <si>
    <t>63715-72Q00</t>
  </si>
  <si>
    <t>PANEL RR LAMP HOUSE INNER - R</t>
  </si>
  <si>
    <t>PANEL RR LAMP HOUSE INNER - L</t>
  </si>
  <si>
    <t>64120-72Q00</t>
  </si>
  <si>
    <t>64120-72Q10</t>
  </si>
  <si>
    <t>64520-72Q00</t>
  </si>
  <si>
    <t>64520-72Q10</t>
  </si>
  <si>
    <t>EXTENSION COMP SIDE BODY OUTER - R</t>
  </si>
  <si>
    <t>EXTENSION COMP SIDE BODY OUTER - L</t>
  </si>
  <si>
    <t>64130-72Q00</t>
  </si>
  <si>
    <t>64130-72Q10</t>
  </si>
  <si>
    <t>64530-72Q10</t>
  </si>
  <si>
    <t>64530-72Q00</t>
  </si>
  <si>
    <t>PANEL COMP RR LAMP HOUSE OUTER - R</t>
  </si>
  <si>
    <t>PANEL COMP RR LAMP HOUSE OUTER - L</t>
  </si>
  <si>
    <t>61111-72Q00</t>
  </si>
  <si>
    <t>61111-72Q20</t>
  </si>
  <si>
    <t>61111-72Q10</t>
  </si>
  <si>
    <t>61161-72Q00</t>
  </si>
  <si>
    <t>PAN MAIN FLOOR - R</t>
  </si>
  <si>
    <t>PAN MAIN FLOOR - L</t>
  </si>
  <si>
    <t>PANEL COMP WHEEL HOUSE OUTER - R</t>
  </si>
  <si>
    <t>PANEL COMP WHEEL HOUSE OUTER - L</t>
  </si>
  <si>
    <t>65500-72Q00</t>
  </si>
  <si>
    <t>65500-72Q10</t>
  </si>
  <si>
    <t>65500-72Q20</t>
  </si>
  <si>
    <t>LUCKY GOEL</t>
  </si>
  <si>
    <t>61512-72Q00</t>
  </si>
  <si>
    <t>PANEL,REAR FLOOR CTR</t>
  </si>
  <si>
    <t>61512-72Q20</t>
  </si>
  <si>
    <t>61512-72Q30</t>
  </si>
  <si>
    <t>61512-72Q10</t>
  </si>
  <si>
    <t>63100-72Q00</t>
  </si>
  <si>
    <t>61530-72Q10</t>
  </si>
  <si>
    <t>61530-72Q40</t>
  </si>
  <si>
    <t>PANEL COMP,REAR FLOOR RR</t>
  </si>
  <si>
    <t>62800-72Q10</t>
  </si>
  <si>
    <t>CROSSMEMBER COMP,RR FLR NO.2</t>
  </si>
  <si>
    <t>61530-72Q00</t>
  </si>
  <si>
    <t>61530-72Q30</t>
  </si>
  <si>
    <t>62800-72Q00</t>
  </si>
  <si>
    <t>65120-72Q00</t>
  </si>
  <si>
    <t>65120-72Q50</t>
  </si>
  <si>
    <t>RAIL COMP,ROOF FRONT INNER</t>
  </si>
  <si>
    <t>59300-72Q00</t>
  </si>
  <si>
    <t>59300-72Q10</t>
  </si>
  <si>
    <t>63410-69RA0</t>
  </si>
  <si>
    <t>63810-69RA0</t>
  </si>
  <si>
    <t>Suzuki 2 W</t>
  </si>
  <si>
    <t>62750-72Q10</t>
  </si>
  <si>
    <t>CROSSMEMBER COMP RR FLR NO. 1</t>
  </si>
  <si>
    <t>65130-72Q00</t>
  </si>
  <si>
    <t xml:space="preserve">MEMBER COMP ROOF BACK INNER </t>
  </si>
  <si>
    <t>63310-72Q00</t>
  </si>
  <si>
    <t>Panel Comp Otr inner upper-R</t>
  </si>
  <si>
    <t>Panel Comp Otr inner upper-L</t>
  </si>
  <si>
    <t>59100-72Q00</t>
  </si>
  <si>
    <t>59100-72Q10</t>
  </si>
  <si>
    <t>59100-72Q20</t>
  </si>
  <si>
    <t>59100-72Q30</t>
  </si>
  <si>
    <t>59100-72Q40</t>
  </si>
  <si>
    <t>59100-72Q50</t>
  </si>
  <si>
    <t>59100-72Q60</t>
  </si>
  <si>
    <t>59100-72Q70</t>
  </si>
  <si>
    <t>59100-72Q80</t>
  </si>
  <si>
    <t>Panel Comp, Dash</t>
  </si>
  <si>
    <t>63410-72Q00</t>
  </si>
  <si>
    <t>63810-72Q00</t>
  </si>
  <si>
    <t>63410-72Q50</t>
  </si>
  <si>
    <t>63410-72Q60</t>
  </si>
  <si>
    <t>63810-72Q10</t>
  </si>
  <si>
    <t>63810-72Q20</t>
  </si>
  <si>
    <t>Panel Comp Wheel House Inner - R</t>
  </si>
  <si>
    <t>Panel Comp Wheel House Inner - L</t>
  </si>
  <si>
    <t>63410-72Q10</t>
  </si>
  <si>
    <t>61160-72Q00</t>
  </si>
  <si>
    <t>PANEL COMP, MAIN FLOOR, R</t>
  </si>
  <si>
    <t>PANEL COMP, MAIN FLOOR, L</t>
  </si>
  <si>
    <t>61160-72Q10</t>
  </si>
  <si>
    <t>61160-72Q20</t>
  </si>
  <si>
    <t>61190-72Q00</t>
  </si>
  <si>
    <t>61190-72Q10</t>
  </si>
  <si>
    <t>61190-72Q20</t>
  </si>
  <si>
    <t>62700-56Q00</t>
  </si>
  <si>
    <t>CROSSMEMBER COMP,RR FLOOR CTR</t>
  </si>
  <si>
    <t>28-11-024</t>
  </si>
  <si>
    <t>RE-QUOTATION SUBMITTEED</t>
  </si>
  <si>
    <t xml:space="preserve">RE-QUOTATION SUBMITTED </t>
  </si>
  <si>
    <t>YCA RC</t>
  </si>
  <si>
    <t>62700-81RA0</t>
  </si>
  <si>
    <t>61161-72Q10</t>
  </si>
  <si>
    <t>61161-72Q20</t>
  </si>
  <si>
    <t>`</t>
  </si>
  <si>
    <t>Business Value</t>
  </si>
  <si>
    <t>Tracking Variant Volume</t>
  </si>
  <si>
    <t>64120-56Q00</t>
  </si>
  <si>
    <t>64520-56Q00</t>
  </si>
  <si>
    <t>EXTENSION,COMP SIDE BODY OTR,R</t>
  </si>
  <si>
    <t>EXTENSION,COMP SIDE BODY OTR,L</t>
  </si>
  <si>
    <t>RFQ-2024-52288-P001</t>
  </si>
  <si>
    <t>72390-72Q00</t>
  </si>
  <si>
    <t>75610-75U00</t>
  </si>
  <si>
    <t>HOLDER COMP, CNG CYLINDER</t>
  </si>
  <si>
    <t>Anurag Srivasttava</t>
  </si>
  <si>
    <t>YHC MC25</t>
  </si>
  <si>
    <t>75610-56Q00</t>
  </si>
  <si>
    <t>BAND COMP, CNG CYLINDER</t>
  </si>
  <si>
    <t xml:space="preserve">Customer </t>
  </si>
  <si>
    <t>Part Description</t>
  </si>
  <si>
    <t>18570-58Q00</t>
  </si>
  <si>
    <t>Pritamber Sharma</t>
  </si>
  <si>
    <t>61530-58Q00</t>
  </si>
  <si>
    <t>Panel Comp Rear Floor RR</t>
  </si>
  <si>
    <t>Strength Comp Side Sill  - R</t>
  </si>
  <si>
    <t>Strength Comp Side Sill  - L</t>
  </si>
  <si>
    <t>Bracket,Canister</t>
  </si>
  <si>
    <t>Suspension Frame</t>
  </si>
  <si>
    <t>Nityanand Singh</t>
  </si>
  <si>
    <t>45810-69R00</t>
  </si>
  <si>
    <t>45810-68P01/45810-72U00</t>
  </si>
  <si>
    <t>SOMIC ZF</t>
  </si>
  <si>
    <t>Rakesh/Balram</t>
  </si>
  <si>
    <t>63151-69RA0</t>
  </si>
  <si>
    <t>61117-69RA0</t>
  </si>
  <si>
    <t>Reinf main floor inside, R</t>
  </si>
  <si>
    <t>Updated - 21.04.2025</t>
  </si>
  <si>
    <r>
      <t xml:space="preserve">Reinf Front pillar upper, R </t>
    </r>
    <r>
      <rPr>
        <sz val="16"/>
        <color rgb="FFFF0000"/>
        <rFont val="Calibri"/>
        <family val="2"/>
        <scheme val="minor"/>
      </rPr>
      <t>(Hot Stamped)</t>
    </r>
  </si>
  <si>
    <t>MSIL-M/G</t>
  </si>
  <si>
    <t>Somic-ZF (KHKD)</t>
  </si>
  <si>
    <t>Arm comp. Front Frame Suspension-R/L</t>
  </si>
  <si>
    <t xml:space="preserve">Arm </t>
  </si>
  <si>
    <t>Actual Target Date for Quote Submission By MSIL/Tier-1</t>
  </si>
  <si>
    <t>45201/202-72Q00</t>
  </si>
  <si>
    <t>Updated - 26.05.2025</t>
  </si>
  <si>
    <t>61511-56Q00</t>
  </si>
  <si>
    <t>Pannel,Rear Floor FR</t>
  </si>
  <si>
    <t>Gaurav Pal</t>
  </si>
  <si>
    <t>18570-79Q00</t>
  </si>
  <si>
    <t>Nitish Sing</t>
  </si>
  <si>
    <t>18570-79Q80</t>
  </si>
  <si>
    <t>63480-79Q00</t>
  </si>
  <si>
    <t>63880-79Q00</t>
  </si>
  <si>
    <t>63880-79QC0</t>
  </si>
  <si>
    <t>Panel comp. wheel house outer, R</t>
  </si>
  <si>
    <t>Panel comp. wheel house outer, L</t>
  </si>
  <si>
    <t>Y17 MC 27</t>
  </si>
  <si>
    <t>YTB MC 26</t>
  </si>
  <si>
    <t>85111-68PA0-000</t>
  </si>
  <si>
    <t xml:space="preserve">RISER,FR CUSH ,R               </t>
  </si>
  <si>
    <t>85112-68PA0-000</t>
  </si>
  <si>
    <t xml:space="preserve">RISER,FR CUSH L           </t>
  </si>
  <si>
    <t>85111-74P60-000</t>
  </si>
  <si>
    <t>BRACKET,FR CUSH,R</t>
  </si>
  <si>
    <t>85112-74P60-000</t>
  </si>
  <si>
    <t>BRACKET,FR CUSH L</t>
  </si>
  <si>
    <t>85311-71Q50-000</t>
  </si>
  <si>
    <t>BRACKET,FR BACK FRAME,R</t>
  </si>
  <si>
    <t>85312-71Q50-000</t>
  </si>
  <si>
    <t>BRACKET,FR BACK FRAME,L</t>
  </si>
  <si>
    <t>Jitender Kumar</t>
  </si>
  <si>
    <t>KML-KHKD</t>
  </si>
  <si>
    <t>24/07/2025</t>
  </si>
  <si>
    <t>30/7/2025</t>
  </si>
  <si>
    <t>YBB</t>
  </si>
  <si>
    <t>58270-82Q00</t>
  </si>
  <si>
    <t>Member Comp.,Front Bumper</t>
  </si>
  <si>
    <t>61130-72Q00</t>
  </si>
  <si>
    <t>MSIL-KHKD</t>
  </si>
  <si>
    <t>61180-72Q00</t>
  </si>
  <si>
    <t>Crossmember comp., FLR UPR CTR. L</t>
  </si>
  <si>
    <t>Crossmember comp., FLR UPR CTR. R</t>
  </si>
  <si>
    <t>63551-82Q00</t>
  </si>
  <si>
    <t>63551-82Q10</t>
  </si>
  <si>
    <t>63151-82Q10</t>
  </si>
  <si>
    <t>63151-82Q00</t>
  </si>
  <si>
    <t>REINF, FR PILLAR UPPER, L</t>
  </si>
  <si>
    <t>REINF, FR PILLAR UPPER, R</t>
  </si>
  <si>
    <t>63140-82Q00</t>
  </si>
  <si>
    <t>63140-82Q10</t>
  </si>
  <si>
    <t>63540-82Q00</t>
  </si>
  <si>
    <t>63540-82Q10</t>
  </si>
  <si>
    <t>63540-82Q20</t>
  </si>
  <si>
    <t xml:space="preserve">Quotation Submitted </t>
  </si>
  <si>
    <t>61512-82Q00</t>
  </si>
  <si>
    <t>61512-82QC0</t>
  </si>
  <si>
    <t>PANEL, REAR FLOOR</t>
  </si>
  <si>
    <t>65560-82QC0</t>
  </si>
  <si>
    <t>ABSORBER COMP, RR BUMPER</t>
  </si>
  <si>
    <t>63220-82Q00</t>
  </si>
  <si>
    <t>63220-82Q10</t>
  </si>
  <si>
    <t>63620-82Q10</t>
  </si>
  <si>
    <t>63620-82Q00</t>
  </si>
  <si>
    <t>61310-82Q00</t>
  </si>
  <si>
    <t>61310-82Q10</t>
  </si>
  <si>
    <t>61320-82Q10</t>
  </si>
  <si>
    <t>63230-82Q00</t>
  </si>
  <si>
    <t>63230-82Q10</t>
  </si>
  <si>
    <t>63630-82Q10</t>
  </si>
  <si>
    <t>63630-82Q00</t>
  </si>
  <si>
    <t>REINF COMP, CTR PILLAR, R</t>
  </si>
  <si>
    <t>REINF COMP, CTR PILLAR, L</t>
  </si>
  <si>
    <t>63110-82Q00</t>
  </si>
  <si>
    <t>63110-82Q10</t>
  </si>
  <si>
    <t>63110-82Q20</t>
  </si>
  <si>
    <t>63110-82Q50</t>
  </si>
  <si>
    <t>63510-82Q50</t>
  </si>
  <si>
    <t>63510-82Q00</t>
  </si>
  <si>
    <t>63510-82Q10</t>
  </si>
  <si>
    <t>63510-82Q20</t>
  </si>
  <si>
    <t>PANEL COMP, SIDE BODY INNER, R</t>
  </si>
  <si>
    <t>PANEL COMP, SIDE BODY INNER, L</t>
  </si>
  <si>
    <t>65500-82Q00</t>
  </si>
  <si>
    <t>65500-82QC0</t>
  </si>
  <si>
    <t>PANEL COMP, BACK</t>
  </si>
  <si>
    <t>62690-82Q00</t>
  </si>
  <si>
    <t>62690-82QC0</t>
  </si>
  <si>
    <t>CROSSMEMBER COMP, RR FLOOR RR</t>
  </si>
  <si>
    <t>59410-82Q00</t>
  </si>
  <si>
    <t>59460-82Q00</t>
  </si>
  <si>
    <t>MEMBER COMP, COWL SIDE, R</t>
  </si>
  <si>
    <t>MEMBER COMP, COWL SIDE, L</t>
  </si>
  <si>
    <t>61511-82Q00</t>
  </si>
  <si>
    <t>PANEL, RR FLOOR FR</t>
  </si>
  <si>
    <t>62660-82Q00</t>
  </si>
  <si>
    <t>62660-82QC0</t>
  </si>
  <si>
    <t>CROSSMEMBER COMP, RR FLOOR 4TH</t>
  </si>
  <si>
    <t>59240-82Q00</t>
  </si>
  <si>
    <t>59290-82Q00</t>
  </si>
  <si>
    <t>PANEL COMP, DASH SIDE FRONT, R</t>
  </si>
  <si>
    <t>PANEL COMP, DASH SIDE FRONT, L</t>
  </si>
  <si>
    <t>65120-82Q00</t>
  </si>
  <si>
    <t>65120-82Q10</t>
  </si>
  <si>
    <t>65120-82Q20</t>
  </si>
  <si>
    <t>65120-82Q30</t>
  </si>
  <si>
    <t>MEMBER COMP, ROOF FRONT INNER</t>
  </si>
  <si>
    <t>Revised Submission Date</t>
  </si>
  <si>
    <t>Hot Stamping</t>
  </si>
  <si>
    <t>Volume taken as per previous RFQ</t>
  </si>
  <si>
    <t>Volume data is not available due to some technical error</t>
  </si>
  <si>
    <t>https://teams.microsoft.com/meet/4545426163995?p=ZGUzzhRb5mzawooEAE</t>
  </si>
  <si>
    <t>59100-82Q00</t>
  </si>
  <si>
    <t>59100-82Q10</t>
  </si>
  <si>
    <t>59100-82Q20</t>
  </si>
  <si>
    <t>59100-82Q30</t>
  </si>
  <si>
    <t>59100-82Q40</t>
  </si>
  <si>
    <t>59100-82Q50</t>
  </si>
  <si>
    <t>59100-82Q60</t>
  </si>
  <si>
    <t>PANEL COMP, DASH</t>
  </si>
  <si>
    <t>61320-82Q00</t>
  </si>
  <si>
    <t>MEMBER COMP, FRONT BUMPER</t>
  </si>
  <si>
    <t>61235-72Q00</t>
  </si>
  <si>
    <t>RENIF, MAIN FLOOR INSIDE, R</t>
  </si>
  <si>
    <t>61285-72Q00</t>
  </si>
  <si>
    <t>59221-72Q00</t>
  </si>
  <si>
    <t>CROSSMEMBER, DASH UPPER CTR</t>
  </si>
  <si>
    <t>58230-82Q00</t>
  </si>
  <si>
    <t>61520-82Q00</t>
  </si>
  <si>
    <t>61520-82Q10</t>
  </si>
  <si>
    <t>61520-82Q20</t>
  </si>
  <si>
    <t>61520-82QC0</t>
  </si>
  <si>
    <t>61520-82QD0</t>
  </si>
  <si>
    <t>61570-82Q00</t>
  </si>
  <si>
    <t>61570-82Q10</t>
  </si>
  <si>
    <t>61570-82QC0</t>
  </si>
  <si>
    <t>MEMBER COMP, HOOD LOCK</t>
  </si>
  <si>
    <t>PANEL COMP, RR FLOOR SIDE, R</t>
  </si>
  <si>
    <t>PANEL COMP, RR FLOOR SIDE, L</t>
  </si>
  <si>
    <t>58310-82Q00</t>
  </si>
  <si>
    <t>58310-82Q10</t>
  </si>
  <si>
    <t>58410-82Q00</t>
  </si>
  <si>
    <t xml:space="preserve"> PANEL COMP,FENDER APRON,R</t>
  </si>
  <si>
    <t xml:space="preserve"> PANEL COMP,FENDER APRON,L</t>
  </si>
  <si>
    <t>62611M55R00</t>
  </si>
  <si>
    <t>CROSSMEMBER, REAR FLOOR FRONT</t>
  </si>
  <si>
    <t>JATINDER KUMAR</t>
  </si>
  <si>
    <t>62611M52R00</t>
  </si>
  <si>
    <t>REINF, MAIN FLOOR, R</t>
  </si>
  <si>
    <t>61232M80S00</t>
  </si>
  <si>
    <t>CROSSMEMBER, FLOOR PAN UPR RR</t>
  </si>
  <si>
    <t>61241M55R00</t>
  </si>
  <si>
    <t>MEMBER, FLOOR SIDE REAR, R</t>
  </si>
  <si>
    <t>61261M55R00</t>
  </si>
  <si>
    <t>MEMBER, FLOOR SIDE REAR, L</t>
  </si>
  <si>
    <t>61170M75T10</t>
  </si>
  <si>
    <t>CROSSMEMBER COMP, FLR PAN UPR, L</t>
  </si>
  <si>
    <t>61120M75T00</t>
  </si>
  <si>
    <t>CROSSMEMBER COMP, FLR PAN UPR, R</t>
  </si>
  <si>
    <t>61170M75T00</t>
  </si>
  <si>
    <t>59232M75T00</t>
  </si>
  <si>
    <t>PANEL, DASH SIDE FRONT, R</t>
  </si>
  <si>
    <t>59282M75T00</t>
  </si>
  <si>
    <t>PANEL, DASH SIDE FRONT, L</t>
  </si>
  <si>
    <t>REINF, MAIN FLOOR, L</t>
  </si>
</sst>
</file>

<file path=xl/styles.xml><?xml version="1.0" encoding="utf-8"?>
<styleSheet xmlns="http://schemas.openxmlformats.org/spreadsheetml/2006/main" xmlns:mc="http://schemas.openxmlformats.org/markup-compatibility/2006" xmlns:x14ac="http://schemas.microsoft.com/office/spreadsheetml/2009/9/ac" mc:Ignorable="x14ac">
  <numFmts count="91">
    <numFmt numFmtId="41" formatCode="_ * #,##0_ ;_ * \-#,##0_ ;_ * &quot;-&quot;_ ;_ @_ "/>
    <numFmt numFmtId="44" formatCode="_ &quot;₹&quot;\ * #,##0.00_ ;_ &quot;₹&quot;\ * \-#,##0.00_ ;_ &quot;₹&quot;\ * &quot;-&quot;??_ ;_ @_ "/>
    <numFmt numFmtId="43" formatCode="_ * #,##0.00_ ;_ * \-#,##0.00_ ;_ * &quot;-&quot;??_ ;_ @_ "/>
    <numFmt numFmtId="164" formatCode="&quot;$&quot;#,##0.00_);[Red]\(&quot;$&quot;#,##0.00\)"/>
    <numFmt numFmtId="165" formatCode="_(&quot;$&quot;* #,##0_);_(&quot;$&quot;* \(#,##0\);_(&quot;$&quot;* &quot;-&quot;_);_(@_)"/>
    <numFmt numFmtId="166" formatCode="_(* #,##0_);_(* \(#,##0\);_(* &quot;-&quot;_);_(@_)"/>
    <numFmt numFmtId="167" formatCode="_(&quot;$&quot;* #,##0.00_);_(&quot;$&quot;* \(#,##0.00\);_(&quot;$&quot;* &quot;-&quot;??_);_(@_)"/>
    <numFmt numFmtId="168" formatCode="_(* #,##0.00_);_(* \(#,##0.00\);_(* &quot;-&quot;??_);_(@_)"/>
    <numFmt numFmtId="169" formatCode="_ &quot;\&quot;* #,##0_ ;_ &quot;\&quot;* \-#,##0_ ;_ &quot;\&quot;* &quot;-&quot;_ ;_ @_ "/>
    <numFmt numFmtId="170" formatCode="_ &quot;\&quot;* #,##0.00_ ;_ &quot;\&quot;* \-#,##0.00_ ;_ &quot;\&quot;* &quot;-&quot;??_ ;_ @_ "/>
    <numFmt numFmtId="171" formatCode="yyyy"/>
    <numFmt numFmtId="172" formatCode="#,##0;\-#,##0;&quot;-&quot;"/>
    <numFmt numFmtId="173" formatCode="General_)"/>
    <numFmt numFmtId="174" formatCode="#,##0.00;[Red]\(#,##0.00\)"/>
    <numFmt numFmtId="175" formatCode="0.000"/>
    <numFmt numFmtId="176" formatCode="#,##0.000;[Red]\(#,##0.000\)"/>
    <numFmt numFmtId="177" formatCode="#,##0.0_);\(#,##0.0\)"/>
    <numFmt numFmtId="178" formatCode="#,##0.0000;[Red]\(#,##0.0000\)"/>
    <numFmt numFmtId="179" formatCode="#,##0.000_);\(#,##0.000\)"/>
    <numFmt numFmtId="180" formatCode="mmmm\-yy"/>
    <numFmt numFmtId="181" formatCode="\(0.00%"/>
    <numFmt numFmtId="182" formatCode="#,##0.0000_);\(#,##0.0000\)"/>
    <numFmt numFmtId="183" formatCode="#,##0\ &quot;F&quot;;\-#,##0\ &quot;F&quot;"/>
    <numFmt numFmtId="184" formatCode="#,##0\ "/>
    <numFmt numFmtId="185" formatCode="0.0000%"/>
    <numFmt numFmtId="186" formatCode="_(* 0,_);_(* \(0,\);_(* &quot;&quot;??_);_(@_)"/>
    <numFmt numFmtId="187" formatCode="########.00"/>
    <numFmt numFmtId="188" formatCode="\U\S\$#,##0.00;\(\U\S\$#,##0.00\)"/>
    <numFmt numFmtId="189" formatCode="_-* #,##0\ &quot;F&quot;_-;\-* #,##0\ &quot;F&quot;_-;_-* &quot;-&quot;\ &quot;F&quot;_-;_-@_-"/>
    <numFmt numFmtId="190" formatCode="_([$€-2]* #,##0.00_);_([$€-2]* \(#,##0.00\);_([$€-2]* &quot;-&quot;??_)"/>
    <numFmt numFmtId="191" formatCode="_-[$€]\ * #,##0.00_-;\-[$€]\ * #,##0.00_-;_-[$€]\ * &quot;-&quot;??_-;_-@_-"/>
    <numFmt numFmtId="192" formatCode="#,##0\ &quot;F&quot;;[Red]\-#,##0\ &quot;F&quot;"/>
    <numFmt numFmtId="193" formatCode="#,##0.00\ &quot;F&quot;;[Red]\-#,##0.00\ &quot;F&quot;"/>
    <numFmt numFmtId="194" formatCode="0.00_)"/>
    <numFmt numFmtId="195" formatCode="_-* #,##0.00\ &quot;F&quot;_-;\-* #,##0.00\ &quot;F&quot;_-;_-* &quot;-&quot;??\ &quot;F&quot;_-;_-@_-"/>
    <numFmt numFmtId="196" formatCode="#,##0.000"/>
    <numFmt numFmtId="197" formatCode="0.0,"/>
    <numFmt numFmtId="198" formatCode="\+0.00%\+"/>
    <numFmt numFmtId="199" formatCode="_-* #,##0\ _F_-;\-* #,##0\ _F_-;_-* &quot;-&quot;\ _F_-;_-@_-"/>
    <numFmt numFmtId="200" formatCode="0.00%\)"/>
    <numFmt numFmtId="201" formatCode="_-* #,##0_-;\-* #,##0_-;_-* \-_-;_-@_-"/>
    <numFmt numFmtId="202" formatCode="_-* #,##0.00_-;\-* #,##0.00_-;_-* \-??_-;_-@_-"/>
    <numFmt numFmtId="203" formatCode="_ [$₹-4009]\ * #,##0.00_ ;_ [$₹-4009]\ * \-#,##0.00_ ;_ [$₹-4009]\ * &quot;-&quot;??_ ;_ @_ "/>
    <numFmt numFmtId="204" formatCode="[$₹-4009]\ #,##0.00"/>
    <numFmt numFmtId="205" formatCode="0.0%"/>
    <numFmt numFmtId="206" formatCode="0.0"/>
    <numFmt numFmtId="207" formatCode="#,##0&quot; F&quot;;\-#,##0&quot; F&quot;"/>
    <numFmt numFmtId="208" formatCode="_(* #,##0.00_);_(* \(#,##0.00\);_(* \-??_);_(@_)"/>
    <numFmt numFmtId="209" formatCode="_-* #,##0&quot; F&quot;_-;\-* #,##0&quot; F&quot;_-;_-* &quot;- F&quot;_-;_-@_-"/>
    <numFmt numFmtId="210" formatCode="_-* #,##0.00&quot; €&quot;_-;\-* #,##0.00&quot; €&quot;_-;_-* \-??&quot; €&quot;_-;_-@_-"/>
    <numFmt numFmtId="211" formatCode="#,##0.00&quot; F&quot;;[Red]\-#,##0.00&quot; F&quot;"/>
    <numFmt numFmtId="212" formatCode="_-* #,##0.00&quot; F&quot;_-;\-* #,##0.00&quot; F&quot;_-;_-* \-??&quot; F&quot;_-;_-@_-"/>
    <numFmt numFmtId="213" formatCode="_-* #,##0\ _F_-;\-* #,##0\ _F_-;_-* &quot;- &quot;_F_-;_-@_-"/>
    <numFmt numFmtId="214" formatCode="&quot;See Note &quot;\ #"/>
    <numFmt numFmtId="215" formatCode="&quot;$&quot;* #,##0_);[Red]&quot;$&quot;* \(#,##0\)"/>
    <numFmt numFmtId="216" formatCode="0.0_)%;\(0.0\)%"/>
    <numFmt numFmtId="217" formatCode="00&quot;/&quot;00"/>
    <numFmt numFmtId="218" formatCode="0_)%;\(0\)%"/>
    <numFmt numFmtId="219" formatCode="_(* #,##0_)_%;_(* \(#,##0\)_%;_(* &quot;-&quot;_);_(@_)"/>
    <numFmt numFmtId="220" formatCode="_ * #,##0_)_｣_ ;_ * \(#,##0\)_｣_ ;_ * &quot;-&quot;_)_｣_ ;_ @_ "/>
    <numFmt numFmtId="221" formatCode="###,"/>
    <numFmt numFmtId="222" formatCode="#,##0;&quot;▲&quot;#,##0"/>
    <numFmt numFmtId="223" formatCode="0.000000"/>
    <numFmt numFmtId="224" formatCode="d\.mmm\.yy"/>
    <numFmt numFmtId="225" formatCode="000000"/>
    <numFmt numFmtId="226" formatCode="0.0_);[Red]\(0.0\)"/>
    <numFmt numFmtId="227" formatCode="0.0000000"/>
    <numFmt numFmtId="228" formatCode="0.0_)_%;\(0.0\)_%"/>
    <numFmt numFmtId="229" formatCode="_(&quot;$&quot;* #,##0_);_(&quot;$&quot;* \(#,##0\);_(&quot;$&quot;* &quot;-  &quot;_);_(@_)"/>
    <numFmt numFmtId="230" formatCode="#,##0.000_);[Red]\(#,##0.000\)"/>
    <numFmt numFmtId="231" formatCode="_(&quot;$&quot;* #,##0.000000_);_(&quot;$&quot;* \(#,##0.000000\);_(&quot;$&quot;* &quot;-&quot;??_);_(@_)"/>
    <numFmt numFmtId="232" formatCode="_(&quot;$&quot;* #,##0.00000_);_(&quot;$&quot;* \(#,##0.00000\);_(&quot;$&quot;* &quot;-&quot;??_);_(@_)"/>
    <numFmt numFmtId="233" formatCode="_(&quot;$&quot;* ###0_);_(&quot;$&quot;* \(###0\);_(&quot;$&quot;* &quot;-&quot;??_);_(@_)"/>
    <numFmt numFmtId="234" formatCode="&quot;$&quot;#,##0;[Red]\-&quot;$&quot;#,##0"/>
    <numFmt numFmtId="235" formatCode="_-* #,##0\ _D_M_-;\-* #,##0\ _D_M_-;_-* &quot;-&quot;\ _D_M_-;_-@_-"/>
    <numFmt numFmtId="236" formatCode="_-* #,##0.00\ _D_M_-;\-* #,##0.00\ _D_M_-;_-* &quot;-&quot;??\ _D_M_-;_-@_-"/>
    <numFmt numFmtId="237" formatCode=";;*__)"/>
    <numFmt numFmtId="238" formatCode="_-* #,##0\ &quot;DM&quot;_-;\-* #,##0\ &quot;DM&quot;_-;_-* &quot;-&quot;\ &quot;DM&quot;_-;_-@_-"/>
    <numFmt numFmtId="239" formatCode="_-* #,##0.00\ &quot;DM&quot;_-;\-* #,##0.00\ &quot;DM&quot;_-;_-* &quot;-&quot;??\ &quot;DM&quot;_-;_-@_-"/>
    <numFmt numFmtId="240" formatCode="_(&quot;¥&quot;* #,##0.00_);_(&quot;¥&quot;* \(#,##0.00\);_(&quot;¥&quot;* &quot;-&quot;??_);_(@_)"/>
    <numFmt numFmtId="241" formatCode="_(&quot;¥&quot;* #,##0_);_(&quot;¥&quot;* \(#,##0\);_(&quot;¥&quot;* &quot;-&quot;_);_(@_)"/>
    <numFmt numFmtId="242" formatCode="\'yy/m/d"/>
    <numFmt numFmtId="243" formatCode="0_ "/>
    <numFmt numFmtId="244" formatCode="\+#,##0;&quot;▲ &quot;#,##0"/>
    <numFmt numFmtId="245" formatCode="_(* #,##0_);_(* \(#,##0\);_(* &quot;-&quot;??_);_(@_)"/>
    <numFmt numFmtId="246" formatCode="_ * #,##0_ ;_ * \-#,##0_ ;_ * &quot;-&quot;??_ ;_ @_ "/>
    <numFmt numFmtId="247" formatCode="[$-F800]dddd\,\ mmmm\ dd\,\ yyyy"/>
    <numFmt numFmtId="248" formatCode="\U\S&quot;$&quot;#,##0.00;\(\U\S&quot;$&quot;#,##0.00\)"/>
    <numFmt numFmtId="249" formatCode="mmmm/yy"/>
    <numFmt numFmtId="250" formatCode="_(* #,##0.000_);_(* \(#,##0.000\);_(* &quot;-&quot;??_);_(@_)"/>
    <numFmt numFmtId="251" formatCode="_ &quot;₹&quot;\ * #,##0_ ;_ &quot;₹&quot;\ * \-#,##0_ ;_ &quot;₹&quot;\ * &quot;-&quot;??_ ;_ @_ "/>
  </numFmts>
  <fonts count="263">
    <font>
      <sz val="11"/>
      <color theme="1"/>
      <name val="Calibri"/>
      <family val="2"/>
      <scheme val="minor"/>
    </font>
    <font>
      <sz val="11"/>
      <color theme="1"/>
      <name val="Calibri"/>
      <family val="2"/>
      <scheme val="minor"/>
    </font>
    <font>
      <sz val="11"/>
      <name val="ＭＳ Ｐゴシック"/>
      <family val="3"/>
      <charset val="128"/>
    </font>
    <font>
      <sz val="10"/>
      <name val="Arial"/>
      <family val="2"/>
    </font>
    <font>
      <sz val="10"/>
      <name val="Helv"/>
      <family val="2"/>
    </font>
    <font>
      <sz val="10"/>
      <color indexed="8"/>
      <name val="Arial"/>
      <family val="2"/>
    </font>
    <font>
      <sz val="10"/>
      <name val="Helv"/>
      <charset val="204"/>
    </font>
    <font>
      <sz val="11"/>
      <color indexed="8"/>
      <name val="Calibri"/>
      <family val="2"/>
    </font>
    <font>
      <sz val="11"/>
      <color indexed="8"/>
      <name val="ＭＳ Ｐゴシック"/>
      <family val="3"/>
      <charset val="128"/>
    </font>
    <font>
      <sz val="11"/>
      <color indexed="8"/>
      <name val="맑은 고딕"/>
      <family val="2"/>
      <charset val="129"/>
    </font>
    <font>
      <sz val="11"/>
      <color indexed="9"/>
      <name val="Calibri"/>
      <family val="2"/>
    </font>
    <font>
      <sz val="11"/>
      <color indexed="9"/>
      <name val="ＭＳ Ｐゴシック"/>
      <family val="3"/>
      <charset val="128"/>
    </font>
    <font>
      <sz val="11"/>
      <color indexed="9"/>
      <name val="맑은 고딕"/>
      <family val="2"/>
      <charset val="129"/>
    </font>
    <font>
      <sz val="12"/>
      <name val="¹ÙÅÁÃ¼"/>
      <family val="1"/>
      <charset val="129"/>
    </font>
    <font>
      <sz val="11"/>
      <color indexed="20"/>
      <name val="Calibri"/>
      <family val="2"/>
    </font>
    <font>
      <sz val="12"/>
      <name val="µ¸¿òÃ¼p"/>
      <family val="3"/>
      <charset val="129"/>
    </font>
    <font>
      <sz val="9"/>
      <name val="Times New Roman"/>
      <family val="1"/>
    </font>
    <font>
      <sz val="10"/>
      <name val="Courier"/>
      <family val="3"/>
    </font>
    <font>
      <b/>
      <sz val="11"/>
      <color indexed="52"/>
      <name val="Calibri"/>
      <family val="2"/>
    </font>
    <font>
      <b/>
      <sz val="11"/>
      <color indexed="9"/>
      <name val="Calibri"/>
      <family val="2"/>
    </font>
    <font>
      <sz val="10"/>
      <name val="ＭＳ Ｐゴシック"/>
      <family val="3"/>
      <charset val="128"/>
    </font>
    <font>
      <sz val="11"/>
      <color theme="1"/>
      <name val="Calibri"/>
      <family val="2"/>
    </font>
    <font>
      <sz val="12"/>
      <name val="Arial"/>
      <family val="2"/>
    </font>
    <font>
      <sz val="10"/>
      <name val="MS Sans Serif"/>
      <family val="2"/>
    </font>
    <font>
      <b/>
      <sz val="11"/>
      <color indexed="8"/>
      <name val="Calibri"/>
      <family val="2"/>
    </font>
    <font>
      <sz val="11"/>
      <name val="Comic Sans MS"/>
      <family val="4"/>
    </font>
    <font>
      <i/>
      <sz val="11"/>
      <color indexed="23"/>
      <name val="Calibri"/>
      <family val="2"/>
    </font>
    <font>
      <sz val="11"/>
      <color indexed="17"/>
      <name val="Calibri"/>
      <family val="2"/>
    </font>
    <font>
      <sz val="8"/>
      <name val="Arial"/>
      <family val="2"/>
    </font>
    <font>
      <b/>
      <sz val="12"/>
      <name val="Arial"/>
      <family val="2"/>
    </font>
    <font>
      <b/>
      <sz val="15"/>
      <color indexed="56"/>
      <name val="Calibri"/>
      <family val="2"/>
    </font>
    <font>
      <b/>
      <sz val="13"/>
      <color indexed="56"/>
      <name val="Calibri"/>
      <family val="2"/>
    </font>
    <font>
      <b/>
      <sz val="11"/>
      <color indexed="56"/>
      <name val="Calibri"/>
      <family val="2"/>
    </font>
    <font>
      <u/>
      <sz val="11"/>
      <color theme="10"/>
      <name val="Calibri"/>
      <family val="2"/>
    </font>
    <font>
      <sz val="11"/>
      <color indexed="62"/>
      <name val="Calibri"/>
      <family val="2"/>
    </font>
    <font>
      <sz val="11"/>
      <color indexed="52"/>
      <name val="Calibri"/>
      <family val="2"/>
    </font>
    <font>
      <sz val="11"/>
      <color indexed="60"/>
      <name val="Calibri"/>
      <family val="2"/>
    </font>
    <font>
      <sz val="7"/>
      <name val="Small Fonts"/>
      <family val="2"/>
    </font>
    <font>
      <b/>
      <i/>
      <sz val="16"/>
      <name val="Helv"/>
    </font>
    <font>
      <sz val="11"/>
      <color rgb="FF000000"/>
      <name val="Calibri"/>
      <family val="2"/>
      <charset val="204"/>
    </font>
    <font>
      <sz val="10"/>
      <color rgb="FF000000"/>
      <name val="Arial"/>
      <family val="2"/>
    </font>
    <font>
      <sz val="11"/>
      <name val="돋움"/>
      <family val="3"/>
      <charset val="129"/>
    </font>
    <font>
      <sz val="11"/>
      <color indexed="8"/>
      <name val="新細明體"/>
      <family val="1"/>
      <charset val="136"/>
    </font>
    <font>
      <sz val="10"/>
      <color rgb="FF000000"/>
      <name val="Times New Roman"/>
      <family val="1"/>
    </font>
    <font>
      <sz val="11"/>
      <color theme="1"/>
      <name val="Calibri"/>
      <family val="3"/>
      <charset val="128"/>
      <scheme val="minor"/>
    </font>
    <font>
      <sz val="14"/>
      <name val="–¾’©"/>
      <family val="3"/>
      <charset val="129"/>
    </font>
    <font>
      <b/>
      <sz val="11"/>
      <color indexed="63"/>
      <name val="Calibri"/>
      <family val="2"/>
    </font>
    <font>
      <sz val="12"/>
      <color indexed="8"/>
      <name val="Times New Roman"/>
      <family val="1"/>
    </font>
    <font>
      <b/>
      <sz val="10"/>
      <name val="MS Sans Serif"/>
      <family val="2"/>
    </font>
    <font>
      <b/>
      <sz val="18"/>
      <color indexed="62"/>
      <name val="Cambria"/>
      <family val="2"/>
    </font>
    <font>
      <b/>
      <sz val="18"/>
      <color indexed="56"/>
      <name val="Cambria"/>
      <family val="2"/>
    </font>
    <font>
      <sz val="8"/>
      <color indexed="10"/>
      <name val="Arial Narrow"/>
      <family val="2"/>
    </font>
    <font>
      <sz val="11"/>
      <color indexed="10"/>
      <name val="Calibri"/>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10"/>
      <name val="맑은 고딕"/>
      <family val="2"/>
      <charset val="129"/>
    </font>
    <font>
      <b/>
      <sz val="11"/>
      <color indexed="52"/>
      <name val="맑은 고딕"/>
      <family val="2"/>
      <charset val="129"/>
    </font>
    <font>
      <sz val="11"/>
      <color indexed="20"/>
      <name val="맑은 고딕"/>
      <family val="2"/>
      <charset val="129"/>
    </font>
    <font>
      <sz val="11"/>
      <color indexed="60"/>
      <name val="맑은 고딕"/>
      <family val="2"/>
      <charset val="129"/>
    </font>
    <font>
      <sz val="12"/>
      <name val="뼻뮝"/>
      <family val="1"/>
      <charset val="129"/>
    </font>
    <font>
      <i/>
      <sz val="11"/>
      <color indexed="23"/>
      <name val="맑은 고딕"/>
      <family val="2"/>
      <charset val="129"/>
    </font>
    <font>
      <b/>
      <sz val="11"/>
      <color indexed="9"/>
      <name val="맑은 고딕"/>
      <family val="2"/>
      <charset val="129"/>
    </font>
    <font>
      <sz val="11"/>
      <color indexed="52"/>
      <name val="맑은 고딕"/>
      <family val="2"/>
      <charset val="129"/>
    </font>
    <font>
      <b/>
      <sz val="11"/>
      <color indexed="8"/>
      <name val="맑은 고딕"/>
      <family val="2"/>
      <charset val="129"/>
    </font>
    <font>
      <sz val="11"/>
      <color indexed="62"/>
      <name val="맑은 고딕"/>
      <family val="2"/>
      <charset val="129"/>
    </font>
    <font>
      <b/>
      <sz val="18"/>
      <color indexed="56"/>
      <name val="맑은 고딕"/>
      <family val="2"/>
      <charset val="129"/>
    </font>
    <font>
      <b/>
      <sz val="15"/>
      <color indexed="56"/>
      <name val="맑은 고딕"/>
      <family val="2"/>
      <charset val="129"/>
    </font>
    <font>
      <b/>
      <sz val="13"/>
      <color indexed="56"/>
      <name val="맑은 고딕"/>
      <family val="2"/>
      <charset val="129"/>
    </font>
    <font>
      <b/>
      <sz val="11"/>
      <color indexed="56"/>
      <name val="맑은 고딕"/>
      <family val="2"/>
      <charset val="129"/>
    </font>
    <font>
      <sz val="11"/>
      <color indexed="17"/>
      <name val="맑은 고딕"/>
      <family val="2"/>
      <charset val="129"/>
    </font>
    <font>
      <b/>
      <sz val="11"/>
      <color indexed="63"/>
      <name val="맑은 고딕"/>
      <family val="2"/>
      <charset val="129"/>
    </font>
    <font>
      <sz val="11"/>
      <color indexed="62"/>
      <name val="ＭＳ Ｐゴシック"/>
      <family val="3"/>
      <charset val="128"/>
    </font>
    <font>
      <b/>
      <sz val="11"/>
      <color indexed="63"/>
      <name val="ＭＳ Ｐゴシック"/>
      <family val="3"/>
      <charset val="128"/>
    </font>
    <font>
      <sz val="12"/>
      <color indexed="20"/>
      <name val="新細明體"/>
      <family val="1"/>
      <charset val="136"/>
    </font>
    <font>
      <sz val="12"/>
      <color indexed="17"/>
      <name val="新細明體"/>
      <family val="1"/>
      <charset val="136"/>
    </font>
    <font>
      <sz val="11"/>
      <color indexed="20"/>
      <name val="ＭＳ Ｐゴシック"/>
      <family val="3"/>
      <charset val="128"/>
    </font>
    <font>
      <sz val="11"/>
      <color indexed="17"/>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52"/>
      <name val="ＭＳ Ｐゴシック"/>
      <family val="3"/>
      <charset val="128"/>
    </font>
    <font>
      <i/>
      <sz val="11"/>
      <color indexed="23"/>
      <name val="ＭＳ Ｐゴシック"/>
      <family val="3"/>
      <charset val="128"/>
    </font>
    <font>
      <sz val="11"/>
      <color indexed="10"/>
      <name val="ＭＳ Ｐゴシック"/>
      <family val="3"/>
      <charset val="128"/>
    </font>
    <font>
      <u/>
      <sz val="10.8"/>
      <color indexed="12"/>
      <name val="Calibri"/>
      <family val="2"/>
    </font>
    <font>
      <b/>
      <sz val="11"/>
      <color indexed="8"/>
      <name val="ＭＳ Ｐゴシック"/>
      <family val="3"/>
      <charset val="128"/>
    </font>
    <font>
      <b/>
      <sz val="10"/>
      <color theme="1"/>
      <name val="Calibri"/>
      <family val="2"/>
      <scheme val="minor"/>
    </font>
    <font>
      <sz val="10"/>
      <color theme="1"/>
      <name val="Calibri"/>
      <family val="2"/>
      <scheme val="minor"/>
    </font>
    <font>
      <sz val="11"/>
      <color rgb="FF000000"/>
      <name val="Calibri"/>
      <family val="2"/>
      <scheme val="minor"/>
    </font>
    <font>
      <b/>
      <sz val="11"/>
      <color theme="1"/>
      <name val="Calibri"/>
      <family val="2"/>
      <scheme val="minor"/>
    </font>
    <font>
      <b/>
      <sz val="10"/>
      <color theme="1"/>
      <name val="Arial"/>
      <family val="2"/>
    </font>
    <font>
      <b/>
      <sz val="9"/>
      <name val="Arial"/>
      <family val="2"/>
    </font>
    <font>
      <b/>
      <sz val="10"/>
      <name val="Arial"/>
      <family val="2"/>
    </font>
    <font>
      <sz val="10"/>
      <color theme="1"/>
      <name val="Arial"/>
      <family val="2"/>
    </font>
    <font>
      <sz val="11"/>
      <name val="Calibri"/>
      <family val="2"/>
      <scheme val="minor"/>
    </font>
    <font>
      <sz val="11"/>
      <color rgb="FF000000"/>
      <name val="Calibri"/>
      <family val="2"/>
    </font>
    <font>
      <b/>
      <sz val="11"/>
      <color rgb="FF000000"/>
      <name val="Calibri"/>
      <family val="2"/>
    </font>
    <font>
      <sz val="9"/>
      <color theme="1"/>
      <name val="Calibri"/>
      <family val="2"/>
      <scheme val="minor"/>
    </font>
    <font>
      <sz val="10"/>
      <color theme="1"/>
      <name val="Times New Roman"/>
      <family val="1"/>
    </font>
    <font>
      <b/>
      <sz val="16"/>
      <color rgb="FF000000"/>
      <name val="Calibri"/>
      <family val="2"/>
    </font>
    <font>
      <b/>
      <sz val="14"/>
      <color rgb="FF000000"/>
      <name val="Calibri"/>
      <family val="2"/>
    </font>
    <font>
      <b/>
      <sz val="12"/>
      <color theme="1"/>
      <name val="Cambria"/>
      <family val="1"/>
    </font>
    <font>
      <b/>
      <sz val="11"/>
      <color theme="1"/>
      <name val="Cambria"/>
      <family val="1"/>
    </font>
    <font>
      <b/>
      <sz val="12"/>
      <color theme="1"/>
      <name val="Arial"/>
      <family val="2"/>
    </font>
    <font>
      <b/>
      <sz val="16"/>
      <color theme="1"/>
      <name val="Calibri"/>
      <family val="2"/>
    </font>
    <font>
      <b/>
      <sz val="12"/>
      <color theme="1"/>
      <name val="Calibri"/>
      <family val="2"/>
    </font>
    <font>
      <b/>
      <sz val="12"/>
      <color rgb="FF000000"/>
      <name val="Calibri"/>
      <family val="2"/>
    </font>
    <font>
      <sz val="10"/>
      <color theme="1"/>
      <name val="Calibri"/>
      <family val="2"/>
    </font>
    <font>
      <sz val="12"/>
      <color rgb="FF000000"/>
      <name val="Calibri"/>
      <family val="2"/>
    </font>
    <font>
      <sz val="12"/>
      <color theme="1"/>
      <name val="Arial"/>
      <family val="2"/>
    </font>
    <font>
      <sz val="12"/>
      <color theme="1"/>
      <name val="Calibri"/>
      <family val="2"/>
    </font>
    <font>
      <b/>
      <sz val="11"/>
      <color theme="1"/>
      <name val="Arial"/>
      <family val="2"/>
    </font>
    <font>
      <sz val="14"/>
      <color theme="1"/>
      <name val="Calibri"/>
      <family val="2"/>
    </font>
    <font>
      <sz val="14"/>
      <color theme="1"/>
      <name val="Arial"/>
      <family val="2"/>
    </font>
    <font>
      <sz val="11"/>
      <color rgb="FF1F497D"/>
      <name val="Calibri"/>
      <family val="2"/>
      <scheme val="minor"/>
    </font>
    <font>
      <sz val="48"/>
      <color theme="1"/>
      <name val="Calibri"/>
      <family val="2"/>
      <scheme val="minor"/>
    </font>
    <font>
      <sz val="10"/>
      <color indexed="10"/>
      <name val="Arial"/>
      <family val="2"/>
    </font>
    <font>
      <b/>
      <sz val="11"/>
      <name val="Calibri"/>
      <family val="2"/>
      <scheme val="minor"/>
    </font>
    <font>
      <vertAlign val="superscript"/>
      <sz val="11"/>
      <color rgb="FF000000"/>
      <name val="Calibri"/>
      <family val="2"/>
    </font>
    <font>
      <sz val="10"/>
      <name val="Arial"/>
      <family val="2"/>
    </font>
    <font>
      <sz val="10"/>
      <name val="Courier New"/>
      <family val="3"/>
    </font>
    <font>
      <sz val="8"/>
      <name val="Helv"/>
    </font>
    <font>
      <sz val="10"/>
      <name val="Times New Roman"/>
      <family val="1"/>
    </font>
    <font>
      <sz val="8.5"/>
      <name val="LinePrinter"/>
      <family val="2"/>
    </font>
    <font>
      <sz val="8"/>
      <name val="Tms Rmn"/>
      <family val="1"/>
    </font>
    <font>
      <sz val="9"/>
      <name val="Osaka"/>
      <family val="3"/>
      <charset val="128"/>
    </font>
    <font>
      <sz val="12"/>
      <name val="Helv"/>
      <family val="2"/>
    </font>
    <font>
      <sz val="8"/>
      <name val="Times New Roman"/>
      <family val="1"/>
    </font>
    <font>
      <sz val="8"/>
      <color indexed="20"/>
      <name val="Tahoma"/>
      <family val="2"/>
    </font>
    <font>
      <b/>
      <sz val="10"/>
      <name val="Helv"/>
      <family val="2"/>
    </font>
    <font>
      <i/>
      <sz val="8"/>
      <color indexed="10"/>
      <name val="Tahoma"/>
      <family val="2"/>
    </font>
    <font>
      <sz val="8"/>
      <color indexed="19"/>
      <name val="Tahoma"/>
      <family val="2"/>
    </font>
    <font>
      <i/>
      <sz val="8"/>
      <color indexed="11"/>
      <name val="Tahoma"/>
      <family val="2"/>
    </font>
    <font>
      <i/>
      <sz val="8"/>
      <color indexed="12"/>
      <name val="Tahoma"/>
      <family val="2"/>
    </font>
    <font>
      <b/>
      <sz val="12"/>
      <name val="Helv"/>
      <family val="2"/>
    </font>
    <font>
      <sz val="8"/>
      <color indexed="8"/>
      <name val="Tahoma"/>
      <family val="2"/>
    </font>
    <font>
      <sz val="9"/>
      <name val="ＭＳ Ｐゴシック"/>
      <family val="3"/>
      <charset val="128"/>
    </font>
    <font>
      <b/>
      <sz val="11"/>
      <name val="Helv"/>
      <family val="2"/>
    </font>
    <font>
      <i/>
      <sz val="8"/>
      <color indexed="23"/>
      <name val="Tahoma"/>
      <family val="2"/>
    </font>
    <font>
      <sz val="8"/>
      <name val="Tahoma"/>
      <family val="2"/>
    </font>
    <font>
      <sz val="8"/>
      <color indexed="18"/>
      <name val="Tahoma"/>
      <family val="2"/>
    </font>
    <font>
      <i/>
      <sz val="8"/>
      <color indexed="8"/>
      <name val="Tahoma"/>
      <family val="2"/>
    </font>
    <font>
      <sz val="12"/>
      <name val="中ゴシック体"/>
      <family val="3"/>
      <charset val="128"/>
    </font>
    <font>
      <sz val="14"/>
      <name val="中ゴシック体"/>
      <family val="3"/>
      <charset val="128"/>
    </font>
    <font>
      <sz val="18"/>
      <name val="中ゴシック体"/>
      <family val="3"/>
      <charset val="128"/>
    </font>
    <font>
      <b/>
      <sz val="10"/>
      <name val="ＭＳ Ｐゴシック"/>
      <family val="3"/>
      <charset val="128"/>
    </font>
    <font>
      <b/>
      <u/>
      <sz val="10"/>
      <name val="ＭＳ Ｐゴシック"/>
      <family val="3"/>
      <charset val="128"/>
    </font>
    <font>
      <sz val="10"/>
      <name val="細明朝体"/>
      <family val="3"/>
      <charset val="128"/>
    </font>
    <font>
      <sz val="12"/>
      <name val="Osaka"/>
      <family val="3"/>
      <charset val="128"/>
    </font>
    <font>
      <sz val="12"/>
      <name val="細明朝体"/>
      <family val="3"/>
      <charset val="128"/>
    </font>
    <font>
      <sz val="14"/>
      <name val="細明朝体"/>
      <family val="3"/>
      <charset val="128"/>
    </font>
    <font>
      <sz val="11"/>
      <name val="ﾇlﾇr 愰"/>
      <family val="3"/>
      <charset val="128"/>
    </font>
    <font>
      <u/>
      <sz val="10"/>
      <color indexed="12"/>
      <name val="Arial"/>
      <family val="2"/>
    </font>
    <font>
      <u/>
      <sz val="10"/>
      <color theme="10"/>
      <name val="Arial"/>
      <family val="2"/>
    </font>
    <font>
      <sz val="8"/>
      <name val="Calibri"/>
      <family val="2"/>
      <scheme val="minor"/>
    </font>
    <font>
      <sz val="10"/>
      <name val="Arial"/>
      <family val="2"/>
    </font>
    <font>
      <sz val="12"/>
      <color theme="1"/>
      <name val="Calibri"/>
      <family val="2"/>
      <scheme val="minor"/>
    </font>
    <font>
      <sz val="10"/>
      <name val="Arial"/>
      <family val="2"/>
    </font>
    <font>
      <sz val="12"/>
      <color rgb="FF000000"/>
      <name val="Calibri"/>
      <family val="2"/>
      <scheme val="minor"/>
    </font>
    <font>
      <sz val="12"/>
      <name val="Calibri"/>
      <family val="2"/>
      <scheme val="minor"/>
    </font>
    <font>
      <strike/>
      <sz val="12"/>
      <color theme="1"/>
      <name val="Calibri"/>
      <family val="2"/>
      <scheme val="minor"/>
    </font>
    <font>
      <sz val="12"/>
      <color rgb="FFFF0000"/>
      <name val="Calibri"/>
      <family val="2"/>
      <scheme val="minor"/>
    </font>
    <font>
      <b/>
      <sz val="12"/>
      <color theme="1"/>
      <name val="Calibri"/>
      <family val="2"/>
      <scheme val="minor"/>
    </font>
    <font>
      <sz val="11"/>
      <color rgb="FF000000"/>
      <name val="Times New Roman"/>
      <family val="1"/>
    </font>
    <font>
      <sz val="11"/>
      <color theme="1"/>
      <name val="Times New Roman"/>
      <family val="1"/>
    </font>
    <font>
      <sz val="10"/>
      <name val="Arial"/>
      <family val="2"/>
    </font>
    <font>
      <sz val="9"/>
      <name val="Arial"/>
      <family val="2"/>
    </font>
    <font>
      <sz val="11"/>
      <name val="ＭＳ Ｐゴシック"/>
      <charset val="128"/>
    </font>
    <font>
      <b/>
      <sz val="11"/>
      <color indexed="9"/>
      <name val="ＭＳ Ｐゴシック"/>
      <charset val="128"/>
    </font>
    <font>
      <sz val="9"/>
      <name val="Osaka"/>
      <charset val="128"/>
    </font>
    <font>
      <sz val="11"/>
      <color indexed="17"/>
      <name val="ＭＳ Ｐゴシック"/>
      <charset val="128"/>
    </font>
    <font>
      <sz val="11"/>
      <name val="돋움"/>
      <charset val="129"/>
    </font>
    <font>
      <b/>
      <sz val="18"/>
      <color indexed="62"/>
      <name val="Cambria"/>
      <family val="1"/>
    </font>
    <font>
      <sz val="10"/>
      <name val="細明朝体"/>
      <charset val="128"/>
    </font>
    <font>
      <sz val="11"/>
      <color indexed="8"/>
      <name val="ＭＳ Ｐゴシック"/>
      <charset val="128"/>
    </font>
    <font>
      <b/>
      <sz val="10"/>
      <name val="MS Sans Serif"/>
      <charset val="134"/>
    </font>
    <font>
      <sz val="10"/>
      <name val="ＭＳ Ｐゴシック"/>
      <charset val="128"/>
    </font>
    <font>
      <sz val="11"/>
      <color indexed="62"/>
      <name val="ＭＳ Ｐゴシック"/>
      <charset val="128"/>
    </font>
    <font>
      <sz val="10"/>
      <name val="MS Sans Serif"/>
      <charset val="134"/>
    </font>
    <font>
      <sz val="8.5"/>
      <name val="LinePrinter"/>
      <charset val="134"/>
    </font>
    <font>
      <b/>
      <sz val="13"/>
      <color indexed="56"/>
      <name val="ＭＳ Ｐゴシック"/>
      <charset val="128"/>
    </font>
    <font>
      <i/>
      <sz val="11"/>
      <color indexed="23"/>
      <name val="ＭＳ Ｐゴシック"/>
      <charset val="128"/>
    </font>
    <font>
      <b/>
      <sz val="18"/>
      <color indexed="56"/>
      <name val="Cambria"/>
      <family val="1"/>
    </font>
    <font>
      <sz val="11"/>
      <color indexed="60"/>
      <name val="ＭＳ Ｐゴシック"/>
      <charset val="128"/>
    </font>
    <font>
      <sz val="12"/>
      <name val="Osaka"/>
      <charset val="128"/>
    </font>
    <font>
      <sz val="11"/>
      <color indexed="9"/>
      <name val="ＭＳ Ｐゴシック"/>
      <charset val="128"/>
    </font>
    <font>
      <sz val="12"/>
      <name val="中ゴシック体"/>
      <charset val="128"/>
    </font>
    <font>
      <sz val="7"/>
      <name val="Small Fonts"/>
      <charset val="134"/>
    </font>
    <font>
      <b/>
      <sz val="11"/>
      <color indexed="63"/>
      <name val="ＭＳ Ｐゴシック"/>
      <charset val="128"/>
    </font>
    <font>
      <b/>
      <sz val="12"/>
      <name val="Helv"/>
      <charset val="134"/>
    </font>
    <font>
      <b/>
      <sz val="11"/>
      <color indexed="56"/>
      <name val="ＭＳ Ｐゴシック"/>
      <charset val="128"/>
    </font>
    <font>
      <b/>
      <sz val="10"/>
      <name val="ＭＳ Ｐゴシック"/>
      <charset val="128"/>
    </font>
    <font>
      <sz val="14"/>
      <name val="中ゴシック体"/>
      <charset val="128"/>
    </font>
    <font>
      <b/>
      <sz val="10"/>
      <name val="Helv"/>
      <charset val="134"/>
    </font>
    <font>
      <b/>
      <sz val="11"/>
      <color indexed="8"/>
      <name val="ＭＳ Ｐゴシック"/>
      <charset val="128"/>
    </font>
    <font>
      <sz val="8"/>
      <name val="Helv"/>
      <charset val="134"/>
    </font>
    <font>
      <sz val="12"/>
      <name val="Helv"/>
      <charset val="134"/>
    </font>
    <font>
      <sz val="14"/>
      <name val="細明朝体"/>
      <charset val="128"/>
    </font>
    <font>
      <sz val="9"/>
      <name val="ＭＳ Ｐゴシック"/>
      <charset val="128"/>
    </font>
    <font>
      <b/>
      <sz val="11"/>
      <name val="Helv"/>
      <charset val="134"/>
    </font>
    <font>
      <sz val="11"/>
      <color indexed="20"/>
      <name val="ＭＳ Ｐゴシック"/>
      <charset val="128"/>
    </font>
    <font>
      <b/>
      <sz val="11"/>
      <color indexed="52"/>
      <name val="ＭＳ Ｐゴシック"/>
      <charset val="128"/>
    </font>
    <font>
      <sz val="12"/>
      <name val="細明朝体"/>
      <charset val="128"/>
    </font>
    <font>
      <b/>
      <sz val="15"/>
      <color indexed="56"/>
      <name val="ＭＳ Ｐゴシック"/>
      <charset val="128"/>
    </font>
    <font>
      <sz val="18"/>
      <name val="中ゴシック体"/>
      <charset val="128"/>
    </font>
    <font>
      <b/>
      <u/>
      <sz val="10"/>
      <name val="ＭＳ Ｐゴシック"/>
      <charset val="128"/>
    </font>
    <font>
      <sz val="11"/>
      <color indexed="10"/>
      <name val="ＭＳ Ｐゴシック"/>
      <charset val="128"/>
    </font>
    <font>
      <b/>
      <sz val="18"/>
      <color indexed="56"/>
      <name val="ＭＳ Ｐゴシック"/>
      <charset val="128"/>
    </font>
    <font>
      <sz val="11"/>
      <color indexed="52"/>
      <name val="ＭＳ Ｐゴシック"/>
      <charset val="128"/>
    </font>
    <font>
      <sz val="10"/>
      <name val="Courier"/>
      <charset val="134"/>
    </font>
    <font>
      <b/>
      <i/>
      <sz val="16"/>
      <name val="Helv"/>
      <charset val="134"/>
    </font>
    <font>
      <sz val="11"/>
      <color theme="1"/>
      <name val="Calibri"/>
      <family val="2"/>
      <charset val="128"/>
      <scheme val="minor"/>
    </font>
    <font>
      <sz val="11"/>
      <color theme="1"/>
      <name val="Calibri"/>
      <family val="2"/>
      <scheme val="minor"/>
    </font>
    <font>
      <sz val="10"/>
      <name val="Arial"/>
      <family val="2"/>
    </font>
    <font>
      <sz val="10"/>
      <name val="Arial"/>
      <family val="2"/>
    </font>
    <font>
      <sz val="10"/>
      <name val="Arial"/>
      <family val="2"/>
    </font>
    <font>
      <sz val="11"/>
      <color theme="1"/>
      <name val="Calibri"/>
      <family val="2"/>
      <scheme val="minor"/>
    </font>
    <font>
      <b/>
      <sz val="10"/>
      <name val="Arial"/>
      <family val="2"/>
    </font>
    <font>
      <b/>
      <sz val="11"/>
      <color indexed="8"/>
      <name val="Calibri"/>
      <family val="2"/>
    </font>
    <font>
      <sz val="11"/>
      <name val="Comic Sans MS"/>
      <family val="4"/>
    </font>
    <font>
      <b/>
      <sz val="12"/>
      <name val="Arial"/>
      <family val="2"/>
    </font>
    <font>
      <sz val="11"/>
      <color indexed="8"/>
      <name val="Calibri"/>
      <family val="2"/>
    </font>
    <font>
      <sz val="11"/>
      <color indexed="9"/>
      <name val="Calibri"/>
      <family val="2"/>
    </font>
    <font>
      <sz val="10"/>
      <name val="Courier New"/>
      <family val="3"/>
    </font>
    <font>
      <sz val="11"/>
      <color indexed="62"/>
      <name val="Calibri"/>
      <family val="2"/>
    </font>
    <font>
      <sz val="10"/>
      <name val="Times New Roman"/>
      <family val="1"/>
    </font>
    <font>
      <sz val="8"/>
      <name val="Times New Roman"/>
      <family val="1"/>
    </font>
    <font>
      <sz val="10"/>
      <color rgb="FF000000"/>
      <name val="Times New Roman"/>
      <family val="1"/>
    </font>
    <font>
      <b/>
      <sz val="11"/>
      <color indexed="52"/>
      <name val="Calibri"/>
      <family val="2"/>
    </font>
    <font>
      <b/>
      <sz val="18"/>
      <color indexed="62"/>
      <name val="Cambria"/>
      <family val="1"/>
    </font>
    <font>
      <b/>
      <sz val="11"/>
      <color indexed="63"/>
      <name val="Calibri"/>
      <family val="2"/>
    </font>
    <font>
      <sz val="8"/>
      <name val="Arial"/>
      <family val="2"/>
    </font>
    <font>
      <b/>
      <sz val="11"/>
      <color indexed="9"/>
      <name val="Calibri"/>
      <family val="2"/>
    </font>
    <font>
      <b/>
      <sz val="18"/>
      <color indexed="56"/>
      <name val="Cambria"/>
      <family val="1"/>
    </font>
    <font>
      <b/>
      <sz val="11"/>
      <color indexed="56"/>
      <name val="Calibri"/>
      <family val="2"/>
    </font>
    <font>
      <sz val="11"/>
      <color indexed="60"/>
      <name val="Calibri"/>
      <family val="2"/>
    </font>
    <font>
      <sz val="11"/>
      <color indexed="17"/>
      <name val="Calibri"/>
      <family val="2"/>
    </font>
    <font>
      <sz val="11"/>
      <color indexed="20"/>
      <name val="Calibri"/>
      <family val="2"/>
    </font>
    <font>
      <b/>
      <sz val="13"/>
      <color indexed="56"/>
      <name val="Calibri"/>
      <family val="2"/>
    </font>
    <font>
      <u/>
      <sz val="10"/>
      <color indexed="12"/>
      <name val="Arial"/>
      <family val="2"/>
    </font>
    <font>
      <sz val="10"/>
      <color indexed="8"/>
      <name val="Arial"/>
      <family val="2"/>
    </font>
    <font>
      <i/>
      <sz val="11"/>
      <color indexed="23"/>
      <name val="Calibri"/>
      <family val="2"/>
    </font>
    <font>
      <b/>
      <sz val="15"/>
      <color indexed="56"/>
      <name val="Calibri"/>
      <family val="2"/>
    </font>
    <font>
      <sz val="11"/>
      <color indexed="52"/>
      <name val="Calibri"/>
      <family val="2"/>
    </font>
    <font>
      <sz val="11"/>
      <color indexed="10"/>
      <name val="Calibri"/>
      <family val="2"/>
    </font>
    <font>
      <sz val="12"/>
      <color indexed="8"/>
      <name val="Times New Roman"/>
      <family val="1"/>
    </font>
    <font>
      <sz val="8"/>
      <color indexed="10"/>
      <name val="Arial Narrow"/>
      <family val="2"/>
    </font>
    <font>
      <sz val="11"/>
      <color rgb="FF006100"/>
      <name val="Calibri"/>
      <family val="2"/>
      <scheme val="minor"/>
    </font>
    <font>
      <b/>
      <sz val="16"/>
      <color theme="1"/>
      <name val="Calibri"/>
      <family val="2"/>
      <scheme val="minor"/>
    </font>
    <font>
      <b/>
      <sz val="18"/>
      <color theme="1"/>
      <name val="Calibri"/>
      <family val="2"/>
      <scheme val="minor"/>
    </font>
    <font>
      <sz val="18"/>
      <color theme="1"/>
      <name val="Calibri"/>
      <family val="2"/>
      <scheme val="minor"/>
    </font>
    <font>
      <sz val="18"/>
      <name val="Calibri"/>
      <family val="2"/>
      <scheme val="minor"/>
    </font>
    <font>
      <b/>
      <sz val="12"/>
      <name val="Calibri"/>
      <family val="2"/>
      <scheme val="minor"/>
    </font>
    <font>
      <sz val="16"/>
      <color theme="1"/>
      <name val="Calibri"/>
      <family val="2"/>
      <scheme val="minor"/>
    </font>
    <font>
      <sz val="16"/>
      <name val="Calibri"/>
      <family val="2"/>
      <scheme val="minor"/>
    </font>
    <font>
      <b/>
      <sz val="16"/>
      <name val="Calibri"/>
      <family val="2"/>
      <scheme val="minor"/>
    </font>
    <font>
      <sz val="16"/>
      <name val="Arial"/>
      <family val="2"/>
    </font>
    <font>
      <b/>
      <sz val="22"/>
      <color theme="1"/>
      <name val="Calibri"/>
      <family val="2"/>
      <scheme val="minor"/>
    </font>
    <font>
      <b/>
      <sz val="20"/>
      <color theme="1"/>
      <name val="Calibri"/>
      <family val="2"/>
      <scheme val="minor"/>
    </font>
    <font>
      <b/>
      <sz val="18"/>
      <name val="Calibri"/>
      <family val="2"/>
      <scheme val="minor"/>
    </font>
    <font>
      <sz val="16"/>
      <color rgb="FFFF0000"/>
      <name val="Calibri"/>
      <family val="2"/>
      <scheme val="minor"/>
    </font>
    <font>
      <u/>
      <sz val="11"/>
      <color theme="10"/>
      <name val="Calibri"/>
      <family val="2"/>
      <scheme val="minor"/>
    </font>
  </fonts>
  <fills count="107">
    <fill>
      <patternFill patternType="none"/>
    </fill>
    <fill>
      <patternFill patternType="gray125"/>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31"/>
        <bgColor indexed="31"/>
      </patternFill>
    </fill>
    <fill>
      <patternFill patternType="solid">
        <fgColor indexed="44"/>
        <bgColor indexed="44"/>
      </patternFill>
    </fill>
    <fill>
      <patternFill patternType="solid">
        <fgColor indexed="62"/>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42"/>
        <bgColor indexed="42"/>
      </patternFill>
    </fill>
    <fill>
      <patternFill patternType="solid">
        <fgColor indexed="57"/>
      </patternFill>
    </fill>
    <fill>
      <patternFill patternType="solid">
        <fgColor indexed="27"/>
        <bgColor indexed="27"/>
      </patternFill>
    </fill>
    <fill>
      <patternFill patternType="solid">
        <fgColor indexed="47"/>
        <bgColor indexed="4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64"/>
      </patternFill>
    </fill>
    <fill>
      <patternFill patternType="mediumGray">
        <fgColor indexed="22"/>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rgb="FF92D050"/>
        <bgColor indexed="64"/>
      </patternFill>
    </fill>
    <fill>
      <patternFill patternType="solid">
        <fgColor rgb="FFDDD9C4"/>
        <bgColor indexed="64"/>
      </patternFill>
    </fill>
    <fill>
      <patternFill patternType="solid">
        <fgColor rgb="FFFFFFFF"/>
        <bgColor indexed="64"/>
      </patternFill>
    </fill>
    <fill>
      <patternFill patternType="solid">
        <fgColor rgb="FF8DB4E2"/>
        <bgColor indexed="64"/>
      </patternFill>
    </fill>
    <fill>
      <patternFill patternType="solid">
        <fgColor rgb="FFFF0000"/>
        <bgColor indexed="64"/>
      </patternFill>
    </fill>
    <fill>
      <patternFill patternType="solid">
        <fgColor rgb="FFE26B0A"/>
        <bgColor indexed="64"/>
      </patternFill>
    </fill>
    <fill>
      <patternFill patternType="solid">
        <fgColor rgb="FFFFC000"/>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9" tint="-0.499984740745262"/>
        <bgColor indexed="64"/>
      </patternFill>
    </fill>
    <fill>
      <patternFill patternType="solid">
        <fgColor theme="9" tint="0.39997558519241921"/>
        <bgColor indexed="64"/>
      </patternFill>
    </fill>
    <fill>
      <patternFill patternType="solid">
        <fgColor indexed="4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indexed="31"/>
        <bgColor indexed="41"/>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2"/>
      </patternFill>
    </fill>
    <fill>
      <patternFill patternType="solid">
        <fgColor indexed="47"/>
        <bgColor indexed="41"/>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55"/>
        <bgColor indexed="23"/>
      </patternFill>
    </fill>
    <fill>
      <patternFill patternType="solid">
        <fgColor indexed="26"/>
        <bgColor indexed="9"/>
      </patternFill>
    </fill>
    <fill>
      <patternFill patternType="solid">
        <fgColor indexed="43"/>
        <bgColor indexed="26"/>
      </patternFill>
    </fill>
    <fill>
      <patternFill patternType="solid">
        <fgColor indexed="41"/>
        <bgColor indexed="31"/>
      </patternFill>
    </fill>
    <fill>
      <patternFill patternType="solid">
        <fgColor indexed="22"/>
        <bgColor indexed="25"/>
      </patternFill>
    </fill>
    <fill>
      <patternFill patternType="solid">
        <fgColor indexed="55"/>
        <bgColor indexed="64"/>
      </patternFill>
    </fill>
    <fill>
      <patternFill patternType="solid">
        <fgColor indexed="47"/>
        <bgColor indexed="64"/>
      </patternFill>
    </fill>
    <fill>
      <patternFill patternType="solid">
        <fgColor indexed="42"/>
        <bgColor indexed="64"/>
      </patternFill>
    </fill>
    <fill>
      <patternFill patternType="solid">
        <fgColor indexed="31"/>
        <bgColor indexed="64"/>
      </patternFill>
    </fill>
    <fill>
      <patternFill patternType="solid">
        <fgColor indexed="44"/>
        <bgColor indexed="64"/>
      </patternFill>
    </fill>
    <fill>
      <patternFill patternType="solid">
        <fgColor indexed="45"/>
        <bgColor indexed="64"/>
      </patternFill>
    </fill>
    <fill>
      <patternFill patternType="solid">
        <fgColor indexed="43"/>
        <bgColor indexed="64"/>
      </patternFill>
    </fill>
    <fill>
      <patternFill patternType="solid">
        <fgColor indexed="46"/>
        <bgColor indexed="64"/>
      </patternFill>
    </fill>
    <fill>
      <patternFill patternType="solid">
        <fgColor indexed="29"/>
        <bgColor indexed="64"/>
      </patternFill>
    </fill>
    <fill>
      <patternFill patternType="solid">
        <fgColor indexed="27"/>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10"/>
        <bgColor indexed="64"/>
      </patternFill>
    </fill>
    <fill>
      <patternFill patternType="solid">
        <fgColor indexed="53"/>
        <bgColor indexed="64"/>
      </patternFill>
    </fill>
    <fill>
      <patternFill patternType="solid">
        <fgColor indexed="62"/>
        <bgColor indexed="64"/>
      </patternFill>
    </fill>
    <fill>
      <patternFill patternType="solid">
        <fgColor indexed="57"/>
        <bgColor indexed="64"/>
      </patternFill>
    </fill>
    <fill>
      <patternFill patternType="solid">
        <fgColor theme="9" tint="0.79998168889431442"/>
        <bgColor indexed="64"/>
      </patternFill>
    </fill>
    <fill>
      <patternFill patternType="solid">
        <fgColor rgb="FFC6EFCE"/>
        <bgColor indexed="64"/>
      </patternFill>
    </fill>
  </fills>
  <borders count="995">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auto="1"/>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right/>
      <top style="thin">
        <color indexed="62"/>
      </top>
      <bottom style="double">
        <color indexed="62"/>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double">
        <color indexed="64"/>
      </bottom>
      <diagonal/>
    </border>
    <border>
      <left/>
      <right/>
      <top/>
      <bottom style="double">
        <color indexed="64"/>
      </bottom>
      <diagonal/>
    </border>
    <border>
      <left style="thin">
        <color indexed="64"/>
      </left>
      <right/>
      <top style="double">
        <color indexed="64"/>
      </top>
      <bottom/>
      <diagonal/>
    </border>
    <border>
      <left style="thin">
        <color indexed="64"/>
      </left>
      <right/>
      <top/>
      <bottom style="double">
        <color rgb="FF000000"/>
      </bottom>
      <diagonal/>
    </border>
    <border>
      <left style="thin">
        <color indexed="64"/>
      </left>
      <right/>
      <top style="double">
        <color rgb="FF000000"/>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dashed">
        <color indexed="64"/>
      </left>
      <right style="dashed">
        <color indexed="64"/>
      </right>
      <top/>
      <bottom style="dashed">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right style="medium">
        <color rgb="FF000000"/>
      </right>
      <top/>
      <bottom style="medium">
        <color rgb="FF000000"/>
      </bottom>
      <diagonal/>
    </border>
    <border>
      <left/>
      <right/>
      <top/>
      <bottom style="medium">
        <color rgb="FF000000"/>
      </bottom>
      <diagonal/>
    </border>
    <border>
      <left/>
      <right style="medium">
        <color indexed="64"/>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diagonal/>
    </border>
    <border>
      <left/>
      <right style="medium">
        <color rgb="FF000000"/>
      </right>
      <top style="medium">
        <color rgb="FF000000"/>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indexed="64"/>
      </right>
      <top style="medium">
        <color rgb="FF000000"/>
      </top>
      <bottom style="medium">
        <color rgb="FF000000"/>
      </bottom>
      <diagonal/>
    </border>
    <border>
      <left style="medium">
        <color rgb="FF000000"/>
      </left>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medium">
        <color indexed="64"/>
      </left>
      <right/>
      <top/>
      <bottom style="medium">
        <color indexed="64"/>
      </bottom>
      <diagonal/>
    </border>
    <border>
      <left style="medium">
        <color rgb="FF000000"/>
      </left>
      <right/>
      <top/>
      <bottom/>
      <diagonal/>
    </border>
    <border>
      <left style="medium">
        <color rgb="FF000000"/>
      </left>
      <right/>
      <top style="medium">
        <color rgb="FF000000"/>
      </top>
      <bottom/>
      <diagonal/>
    </border>
    <border>
      <left style="medium">
        <color rgb="FF000000"/>
      </left>
      <right/>
      <top style="medium">
        <color indexed="64"/>
      </top>
      <bottom style="medium">
        <color rgb="FF000000"/>
      </bottom>
      <diagonal/>
    </border>
    <border>
      <left/>
      <right/>
      <top style="medium">
        <color indexed="64"/>
      </top>
      <bottom style="medium">
        <color rgb="FF000000"/>
      </bottom>
      <diagonal/>
    </border>
    <border>
      <left style="medium">
        <color rgb="FF000000"/>
      </left>
      <right/>
      <top style="medium">
        <color rgb="FF000000"/>
      </top>
      <bottom style="medium">
        <color rgb="FF000000"/>
      </bottom>
      <diagonal/>
    </border>
    <border>
      <left/>
      <right/>
      <top style="medium">
        <color rgb="FF000000"/>
      </top>
      <bottom/>
      <diagonal/>
    </border>
    <border>
      <left style="medium">
        <color rgb="FF000000"/>
      </left>
      <right style="medium">
        <color rgb="FF000000"/>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bottom style="thin">
        <color indexed="64"/>
      </bottom>
      <diagonal/>
    </border>
    <border>
      <left style="thin">
        <color indexed="64"/>
      </left>
      <right/>
      <top style="medium">
        <color indexed="64"/>
      </top>
      <bottom/>
      <diagonal/>
    </border>
    <border>
      <left style="thin">
        <color indexed="64"/>
      </left>
      <right/>
      <top style="medium">
        <color indexed="64"/>
      </top>
      <bottom style="medium">
        <color indexed="64"/>
      </bottom>
      <diagonal/>
    </border>
    <border>
      <left style="medium">
        <color indexed="64"/>
      </left>
      <right/>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auto="1"/>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right/>
      <top style="medium">
        <color indexed="8"/>
      </top>
      <bottom style="medium">
        <color indexed="8"/>
      </bottom>
      <diagonal/>
    </border>
    <border>
      <left/>
      <right/>
      <top style="thin">
        <color indexed="8"/>
      </top>
      <bottom style="thin">
        <color indexed="8"/>
      </bottom>
      <diagonal/>
    </border>
    <border>
      <left/>
      <right/>
      <top/>
      <bottom style="medium">
        <color indexed="8"/>
      </bottom>
      <diagonal/>
    </border>
    <border>
      <left style="hair">
        <color indexed="23"/>
      </left>
      <right style="hair">
        <color indexed="23"/>
      </right>
      <top style="hair">
        <color indexed="23"/>
      </top>
      <bottom style="hair">
        <color indexed="23"/>
      </bottom>
      <diagonal/>
    </border>
    <border>
      <left style="medium">
        <color indexed="64"/>
      </left>
      <right style="medium">
        <color indexed="64"/>
      </right>
      <top style="thin">
        <color indexed="64"/>
      </top>
      <bottom style="thin">
        <color indexed="64"/>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8"/>
      </top>
      <bottom style="thin">
        <color indexed="8"/>
      </bottom>
      <diagonal/>
    </border>
    <border>
      <left style="thin">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indexed="8"/>
      </top>
      <bottom style="thin">
        <color indexed="8"/>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auto="1"/>
      </left>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medium">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auto="1"/>
      </left>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8"/>
      </top>
      <bottom style="thin">
        <color indexed="8"/>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8"/>
      </top>
      <bottom style="thin">
        <color indexed="8"/>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style="thin">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style="thin">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right style="thin">
        <color auto="1"/>
      </right>
      <top style="thin">
        <color auto="1"/>
      </top>
      <bottom style="thin">
        <color auto="1"/>
      </bottom>
      <diagonal/>
    </border>
    <border>
      <left style="thin">
        <color auto="1"/>
      </left>
      <right style="medium">
        <color indexed="64"/>
      </right>
      <top style="thin">
        <color auto="1"/>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auto="1"/>
      </top>
      <bottom style="medium">
        <color indexed="64"/>
      </bottom>
      <diagonal/>
    </border>
    <border>
      <left/>
      <right/>
      <top style="thin">
        <color indexed="64"/>
      </top>
      <bottom style="thin">
        <color indexed="64"/>
      </bottom>
      <diagonal/>
    </border>
    <border>
      <left style="thin">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medium">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medium">
        <color auto="1"/>
      </left>
      <right style="medium">
        <color auto="1"/>
      </right>
      <top style="thin">
        <color auto="1"/>
      </top>
      <bottom style="thin">
        <color auto="1"/>
      </bottom>
      <diagonal/>
    </border>
    <border>
      <left/>
      <right/>
      <top style="thin">
        <color indexed="8"/>
      </top>
      <bottom style="thin">
        <color indexed="8"/>
      </bottom>
      <diagonal/>
    </border>
    <border>
      <left/>
      <right/>
      <top style="double">
        <color auto="1"/>
      </top>
      <bottom style="double">
        <color auto="1"/>
      </bottom>
      <diagonal/>
    </border>
    <border>
      <left/>
      <right/>
      <top style="thin">
        <color indexed="62"/>
      </top>
      <bottom style="double">
        <color indexed="62"/>
      </bottom>
      <diagonal/>
    </border>
    <border>
      <left style="thin">
        <color auto="1"/>
      </left>
      <right/>
      <top style="thin">
        <color auto="1"/>
      </top>
      <bottom style="thin">
        <color auto="1"/>
      </bottom>
      <diagonal/>
    </border>
    <border>
      <left style="medium">
        <color indexed="64"/>
      </left>
      <right style="medium">
        <color indexed="64"/>
      </right>
      <top style="thin">
        <color auto="1"/>
      </top>
      <bottom style="thin">
        <color auto="1"/>
      </bottom>
      <diagonal/>
    </border>
    <border>
      <left/>
      <right/>
      <top style="thin">
        <color auto="1"/>
      </top>
      <bottom style="thin">
        <color auto="1"/>
      </bottom>
      <diagonal/>
    </border>
    <border>
      <left/>
      <right/>
      <top style="medium">
        <color indexed="8"/>
      </top>
      <bottom style="medium">
        <color indexed="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8"/>
      </top>
      <bottom style="thin">
        <color indexed="8"/>
      </bottom>
      <diagonal/>
    </border>
    <border>
      <left/>
      <right/>
      <top style="thin">
        <color indexed="62"/>
      </top>
      <bottom style="double">
        <color indexed="62"/>
      </bottom>
      <diagonal/>
    </border>
    <border>
      <left/>
      <right/>
      <top style="medium">
        <color indexed="8"/>
      </top>
      <bottom style="medium">
        <color indexed="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8"/>
      </top>
      <bottom style="thin">
        <color indexed="8"/>
      </bottom>
      <diagonal/>
    </border>
    <border>
      <left/>
      <right/>
      <top style="thin">
        <color indexed="62"/>
      </top>
      <bottom style="double">
        <color indexed="62"/>
      </bottom>
      <diagonal/>
    </border>
    <border>
      <left style="thin">
        <color auto="1"/>
      </left>
      <right/>
      <top style="thin">
        <color auto="1"/>
      </top>
      <bottom style="thin">
        <color auto="1"/>
      </bottom>
      <diagonal/>
    </border>
    <border>
      <left style="medium">
        <color indexed="64"/>
      </left>
      <right style="medium">
        <color indexed="64"/>
      </right>
      <top style="thin">
        <color auto="1"/>
      </top>
      <bottom style="thin">
        <color auto="1"/>
      </bottom>
      <diagonal/>
    </border>
    <border>
      <left/>
      <right/>
      <top style="thin">
        <color auto="1"/>
      </top>
      <bottom style="thin">
        <color auto="1"/>
      </bottom>
      <diagonal/>
    </border>
    <border>
      <left/>
      <right/>
      <top style="medium">
        <color indexed="8"/>
      </top>
      <bottom style="medium">
        <color indexed="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8"/>
      </top>
      <bottom style="thin">
        <color indexed="8"/>
      </bottom>
      <diagonal/>
    </border>
    <border>
      <left/>
      <right/>
      <top style="thin">
        <color indexed="62"/>
      </top>
      <bottom style="double">
        <color indexed="62"/>
      </bottom>
      <diagonal/>
    </border>
    <border>
      <left style="thin">
        <color auto="1"/>
      </left>
      <right/>
      <top style="thin">
        <color auto="1"/>
      </top>
      <bottom style="thin">
        <color auto="1"/>
      </bottom>
      <diagonal/>
    </border>
    <border>
      <left style="medium">
        <color indexed="64"/>
      </left>
      <right style="medium">
        <color indexed="64"/>
      </right>
      <top style="thin">
        <color auto="1"/>
      </top>
      <bottom style="thin">
        <color auto="1"/>
      </bottom>
      <diagonal/>
    </border>
    <border>
      <left/>
      <right/>
      <top style="thin">
        <color auto="1"/>
      </top>
      <bottom style="thin">
        <color auto="1"/>
      </bottom>
      <diagonal/>
    </border>
    <border>
      <left/>
      <right/>
      <top style="medium">
        <color indexed="8"/>
      </top>
      <bottom style="medium">
        <color indexed="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8"/>
      </top>
      <bottom style="thin">
        <color indexed="8"/>
      </bottom>
      <diagonal/>
    </border>
    <border>
      <left/>
      <right/>
      <top style="thin">
        <color indexed="62"/>
      </top>
      <bottom style="double">
        <color indexed="62"/>
      </bottom>
      <diagonal/>
    </border>
    <border>
      <left style="thin">
        <color auto="1"/>
      </left>
      <right/>
      <top style="thin">
        <color auto="1"/>
      </top>
      <bottom style="thin">
        <color auto="1"/>
      </bottom>
      <diagonal/>
    </border>
    <border>
      <left style="medium">
        <color indexed="64"/>
      </left>
      <right style="medium">
        <color indexed="64"/>
      </right>
      <top style="thin">
        <color auto="1"/>
      </top>
      <bottom style="thin">
        <color auto="1"/>
      </bottom>
      <diagonal/>
    </border>
    <border>
      <left/>
      <right/>
      <top style="thin">
        <color auto="1"/>
      </top>
      <bottom style="thin">
        <color auto="1"/>
      </bottom>
      <diagonal/>
    </border>
    <border>
      <left/>
      <right/>
      <top style="medium">
        <color indexed="8"/>
      </top>
      <bottom style="medium">
        <color indexed="8"/>
      </bottom>
      <diagonal/>
    </border>
    <border>
      <left/>
      <right/>
      <top style="medium">
        <color auto="1"/>
      </top>
      <bottom style="medium">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8"/>
      </top>
      <bottom style="thin">
        <color indexed="8"/>
      </bottom>
      <diagonal/>
    </border>
    <border>
      <left/>
      <right/>
      <top style="thin">
        <color indexed="62"/>
      </top>
      <bottom style="double">
        <color indexed="62"/>
      </bottom>
      <diagonal/>
    </border>
    <border>
      <left style="medium">
        <color indexed="64"/>
      </left>
      <right style="medium">
        <color indexed="64"/>
      </right>
      <top style="thin">
        <color auto="1"/>
      </top>
      <bottom style="thin">
        <color auto="1"/>
      </bottom>
      <diagonal/>
    </border>
    <border>
      <left/>
      <right/>
      <top style="medium">
        <color indexed="8"/>
      </top>
      <bottom style="medium">
        <color indexed="8"/>
      </bottom>
      <diagonal/>
    </border>
    <border>
      <left/>
      <right/>
      <top style="medium">
        <color auto="1"/>
      </top>
      <bottom style="medium">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8"/>
      </top>
      <bottom style="thin">
        <color indexed="8"/>
      </bottom>
      <diagonal/>
    </border>
    <border>
      <left/>
      <right/>
      <top style="thin">
        <color indexed="62"/>
      </top>
      <bottom style="double">
        <color indexed="62"/>
      </bottom>
      <diagonal/>
    </border>
    <border>
      <left style="thin">
        <color auto="1"/>
      </left>
      <right/>
      <top style="thin">
        <color auto="1"/>
      </top>
      <bottom style="thin">
        <color auto="1"/>
      </bottom>
      <diagonal/>
    </border>
    <border>
      <left style="medium">
        <color indexed="64"/>
      </left>
      <right style="medium">
        <color indexed="64"/>
      </right>
      <top style="thin">
        <color auto="1"/>
      </top>
      <bottom style="thin">
        <color auto="1"/>
      </bottom>
      <diagonal/>
    </border>
    <border>
      <left/>
      <right/>
      <top style="thin">
        <color auto="1"/>
      </top>
      <bottom style="thin">
        <color auto="1"/>
      </bottom>
      <diagonal/>
    </border>
    <border>
      <left/>
      <right/>
      <top style="medium">
        <color indexed="8"/>
      </top>
      <bottom style="medium">
        <color indexed="8"/>
      </bottom>
      <diagonal/>
    </border>
    <border>
      <left/>
      <right/>
      <top style="medium">
        <color auto="1"/>
      </top>
      <bottom style="medium">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8"/>
      </top>
      <bottom style="thin">
        <color indexed="8"/>
      </bottom>
      <diagonal/>
    </border>
    <border>
      <left/>
      <right/>
      <top style="thin">
        <color indexed="62"/>
      </top>
      <bottom style="double">
        <color indexed="62"/>
      </bottom>
      <diagonal/>
    </border>
    <border>
      <left/>
      <right/>
      <top style="medium">
        <color indexed="8"/>
      </top>
      <bottom style="medium">
        <color indexed="8"/>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style="medium">
        <color indexed="64"/>
      </left>
      <right style="medium">
        <color indexed="64"/>
      </right>
      <top style="thin">
        <color auto="1"/>
      </top>
      <bottom style="thin">
        <color auto="1"/>
      </bottom>
      <diagonal/>
    </border>
    <border>
      <left/>
      <right/>
      <top style="thin">
        <color auto="1"/>
      </top>
      <bottom style="thin">
        <color auto="1"/>
      </bottom>
      <diagonal/>
    </border>
    <border>
      <left/>
      <right/>
      <top style="medium">
        <color indexed="8"/>
      </top>
      <bottom style="medium">
        <color indexed="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8"/>
      </top>
      <bottom style="thin">
        <color indexed="8"/>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right/>
      <top style="medium">
        <color indexed="8"/>
      </top>
      <bottom style="medium">
        <color indexed="8"/>
      </bottom>
      <diagonal/>
    </border>
    <border>
      <left/>
      <right/>
      <top style="medium">
        <color auto="1"/>
      </top>
      <bottom style="medium">
        <color auto="1"/>
      </bottom>
      <diagonal/>
    </border>
    <border>
      <left style="medium">
        <color auto="1"/>
      </left>
      <right style="thin">
        <color auto="1"/>
      </right>
      <top style="thin">
        <color auto="1"/>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medium">
        <color auto="1"/>
      </left>
      <right style="medium">
        <color auto="1"/>
      </right>
      <top style="thin">
        <color auto="1"/>
      </top>
      <bottom style="thin">
        <color auto="1"/>
      </bottom>
      <diagonal/>
    </border>
    <border>
      <left/>
      <right/>
      <top style="thin">
        <color indexed="8"/>
      </top>
      <bottom style="thin">
        <color indexed="8"/>
      </bottom>
      <diagonal/>
    </border>
    <border>
      <left/>
      <right/>
      <top style="thin">
        <color indexed="62"/>
      </top>
      <bottom style="double">
        <color indexed="62"/>
      </bottom>
      <diagonal/>
    </border>
    <border>
      <left style="thin">
        <color auto="1"/>
      </left>
      <right style="medium">
        <color auto="1"/>
      </right>
      <top style="thin">
        <color auto="1"/>
      </top>
      <bottom/>
      <diagonal/>
    </border>
    <border>
      <left style="thin">
        <color auto="1"/>
      </left>
      <right style="thin">
        <color auto="1"/>
      </right>
      <top style="medium">
        <color auto="1"/>
      </top>
      <bottom/>
      <diagonal/>
    </border>
    <border>
      <left/>
      <right/>
      <top style="medium">
        <color indexed="8"/>
      </top>
      <bottom style="medium">
        <color indexed="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8"/>
      </top>
      <bottom style="thin">
        <color indexed="8"/>
      </bottom>
      <diagonal/>
    </border>
    <border>
      <left/>
      <right/>
      <top style="thin">
        <color indexed="62"/>
      </top>
      <bottom style="double">
        <color indexed="62"/>
      </bottom>
      <diagonal/>
    </border>
    <border>
      <left style="thin">
        <color auto="1"/>
      </left>
      <right/>
      <top style="thin">
        <color auto="1"/>
      </top>
      <bottom style="thin">
        <color auto="1"/>
      </bottom>
      <diagonal/>
    </border>
    <border>
      <left style="medium">
        <color indexed="64"/>
      </left>
      <right style="medium">
        <color indexed="64"/>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8"/>
      </top>
      <bottom style="thin">
        <color indexed="8"/>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style="medium">
        <color indexed="64"/>
      </right>
      <top style="thin">
        <color auto="1"/>
      </top>
      <bottom style="thin">
        <color auto="1"/>
      </bottom>
      <diagonal/>
    </border>
    <border>
      <left/>
      <right/>
      <top style="thin">
        <color auto="1"/>
      </top>
      <bottom style="thin">
        <color auto="1"/>
      </bottom>
      <diagonal/>
    </border>
    <border>
      <left/>
      <right/>
      <top style="medium">
        <color indexed="8"/>
      </top>
      <bottom style="medium">
        <color indexed="8"/>
      </bottom>
      <diagonal/>
    </border>
    <border>
      <left/>
      <right/>
      <top style="thin">
        <color indexed="8"/>
      </top>
      <bottom style="thin">
        <color indexed="8"/>
      </bottom>
      <diagonal/>
    </border>
    <border>
      <left/>
      <right/>
      <top style="thin">
        <color indexed="62"/>
      </top>
      <bottom style="double">
        <color indexed="62"/>
      </bottom>
      <diagonal/>
    </border>
    <border>
      <left/>
      <right/>
      <top style="medium">
        <color indexed="8"/>
      </top>
      <bottom style="medium">
        <color indexed="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8"/>
      </top>
      <bottom style="thin">
        <color indexed="8"/>
      </bottom>
      <diagonal/>
    </border>
    <border>
      <left/>
      <right/>
      <top style="thin">
        <color indexed="62"/>
      </top>
      <bottom style="double">
        <color indexed="6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indexed="64"/>
      </left>
      <right style="medium">
        <color indexed="64"/>
      </right>
      <top style="thin">
        <color auto="1"/>
      </top>
      <bottom style="thin">
        <color auto="1"/>
      </bottom>
      <diagonal/>
    </border>
    <border>
      <left/>
      <right/>
      <top style="thin">
        <color auto="1"/>
      </top>
      <bottom style="thin">
        <color auto="1"/>
      </bottom>
      <diagonal/>
    </border>
    <border>
      <left/>
      <right/>
      <top style="medium">
        <color indexed="8"/>
      </top>
      <bottom style="medium">
        <color indexed="8"/>
      </bottom>
      <diagonal/>
    </border>
    <border>
      <left/>
      <right/>
      <top style="medium">
        <color auto="1"/>
      </top>
      <bottom style="medium">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8"/>
      </top>
      <bottom style="thin">
        <color indexed="8"/>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medium">
        <color auto="1"/>
      </left>
      <right style="medium">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medium">
        <color indexed="8"/>
      </top>
      <bottom style="medium">
        <color indexed="8"/>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indexed="64"/>
      </top>
      <bottom style="medium">
        <color indexed="64"/>
      </bottom>
      <diagonal/>
    </border>
    <border>
      <left/>
      <right/>
      <top style="medium">
        <color indexed="8"/>
      </top>
      <bottom style="medium">
        <color indexed="8"/>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medium">
        <color auto="1"/>
      </top>
      <bottom style="medium">
        <color auto="1"/>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8"/>
      </top>
      <bottom style="thin">
        <color indexed="8"/>
      </bottom>
      <diagonal/>
    </border>
    <border>
      <left/>
      <right/>
      <top style="thin">
        <color indexed="62"/>
      </top>
      <bottom style="double">
        <color indexed="62"/>
      </bottom>
      <diagonal/>
    </border>
    <border>
      <left/>
      <right/>
      <top style="medium">
        <color indexed="8"/>
      </top>
      <bottom style="medium">
        <color indexed="8"/>
      </bottom>
      <diagonal/>
    </border>
    <border>
      <left style="thin">
        <color indexed="23"/>
      </left>
      <right style="thin">
        <color indexed="23"/>
      </right>
      <top style="thin">
        <color indexed="23"/>
      </top>
      <bottom style="thin">
        <color indexed="23"/>
      </bottom>
      <diagonal/>
    </border>
    <border>
      <left/>
      <right/>
      <top style="medium">
        <color indexed="8"/>
      </top>
      <bottom style="medium">
        <color indexed="8"/>
      </bottom>
      <diagonal/>
    </border>
    <border>
      <left style="thin">
        <color indexed="23"/>
      </left>
      <right style="thin">
        <color indexed="23"/>
      </right>
      <top style="thin">
        <color indexed="23"/>
      </top>
      <bottom style="thin">
        <color indexed="23"/>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8"/>
      </top>
      <bottom style="thin">
        <color indexed="8"/>
      </bottom>
      <diagonal/>
    </border>
    <border>
      <left/>
      <right/>
      <top style="thin">
        <color indexed="62"/>
      </top>
      <bottom style="double">
        <color indexed="62"/>
      </bottom>
      <diagonal/>
    </border>
    <border>
      <left style="thin">
        <color auto="1"/>
      </left>
      <right/>
      <top style="thin">
        <color auto="1"/>
      </top>
      <bottom style="thin">
        <color auto="1"/>
      </bottom>
      <diagonal/>
    </border>
    <border>
      <left style="medium">
        <color indexed="64"/>
      </left>
      <right style="medium">
        <color indexed="64"/>
      </right>
      <top style="thin">
        <color auto="1"/>
      </top>
      <bottom style="thin">
        <color auto="1"/>
      </bottom>
      <diagonal/>
    </border>
    <border>
      <left/>
      <right/>
      <top style="thin">
        <color auto="1"/>
      </top>
      <bottom style="thin">
        <color auto="1"/>
      </bottom>
      <diagonal/>
    </border>
    <border>
      <left/>
      <right/>
      <top style="medium">
        <color indexed="8"/>
      </top>
      <bottom style="medium">
        <color indexed="8"/>
      </bottom>
      <diagonal/>
    </border>
    <border>
      <left style="thin">
        <color auto="1"/>
      </left>
      <right/>
      <top style="thin">
        <color auto="1"/>
      </top>
      <bottom style="thin">
        <color auto="1"/>
      </bottom>
      <diagonal/>
    </border>
    <border>
      <left style="medium">
        <color indexed="64"/>
      </left>
      <right style="medium">
        <color indexed="64"/>
      </right>
      <top style="thin">
        <color auto="1"/>
      </top>
      <bottom style="thin">
        <color auto="1"/>
      </bottom>
      <diagonal/>
    </border>
    <border>
      <left/>
      <right/>
      <top style="thin">
        <color auto="1"/>
      </top>
      <bottom style="thin">
        <color auto="1"/>
      </bottom>
      <diagonal/>
    </border>
    <border>
      <left/>
      <right/>
      <top style="medium">
        <color indexed="8"/>
      </top>
      <bottom style="medium">
        <color indexed="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8"/>
      </top>
      <bottom style="thin">
        <color indexed="8"/>
      </bottom>
      <diagonal/>
    </border>
    <border>
      <left/>
      <right/>
      <top style="thin">
        <color indexed="62"/>
      </top>
      <bottom style="double">
        <color indexed="62"/>
      </bottom>
      <diagonal/>
    </border>
    <border>
      <left style="thin">
        <color auto="1"/>
      </left>
      <right/>
      <top style="thin">
        <color auto="1"/>
      </top>
      <bottom style="thin">
        <color indexed="64"/>
      </bottom>
      <diagonal/>
    </border>
    <border>
      <left/>
      <right/>
      <top style="thin">
        <color auto="1"/>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medium">
        <color auto="1"/>
      </left>
      <right style="medium">
        <color auto="1"/>
      </right>
      <top style="thin">
        <color auto="1"/>
      </top>
      <bottom style="thin">
        <color auto="1"/>
      </bottom>
      <diagonal/>
    </border>
    <border>
      <left/>
      <right/>
      <top style="thin">
        <color indexed="8"/>
      </top>
      <bottom style="thin">
        <color indexed="8"/>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style="medium">
        <color indexed="64"/>
      </right>
      <top style="thin">
        <color auto="1"/>
      </top>
      <bottom style="thin">
        <color auto="1"/>
      </bottom>
      <diagonal/>
    </border>
    <border>
      <left/>
      <right/>
      <top style="thin">
        <color auto="1"/>
      </top>
      <bottom style="thin">
        <color auto="1"/>
      </bottom>
      <diagonal/>
    </border>
    <border>
      <left/>
      <right/>
      <top style="medium">
        <color indexed="8"/>
      </top>
      <bottom style="medium">
        <color indexed="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medium">
        <color auto="1"/>
      </right>
      <top style="thin">
        <color auto="1"/>
      </top>
      <bottom style="thin">
        <color auto="1"/>
      </bottom>
      <diagonal/>
    </border>
    <border>
      <left/>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medium">
        <color auto="1"/>
      </left>
      <right style="medium">
        <color auto="1"/>
      </right>
      <top style="thin">
        <color auto="1"/>
      </top>
      <bottom style="thin">
        <color auto="1"/>
      </bottom>
      <diagonal/>
    </border>
    <border>
      <left/>
      <right/>
      <top style="thin">
        <color indexed="8"/>
      </top>
      <bottom style="thin">
        <color indexed="8"/>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medium">
        <color auto="1"/>
      </left>
      <right style="medium">
        <color auto="1"/>
      </right>
      <top style="thin">
        <color auto="1"/>
      </top>
      <bottom style="thin">
        <color auto="1"/>
      </bottom>
      <diagonal/>
    </border>
    <border>
      <left/>
      <right/>
      <top style="thin">
        <color indexed="8"/>
      </top>
      <bottom style="thin">
        <color indexed="8"/>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auto="1"/>
      </top>
      <bottom style="thin">
        <color auto="1"/>
      </bottom>
      <diagonal/>
    </border>
    <border>
      <left/>
      <right/>
      <top style="medium">
        <color indexed="8"/>
      </top>
      <bottom style="medium">
        <color indexed="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medium">
        <color auto="1"/>
      </left>
      <right style="medium">
        <color auto="1"/>
      </right>
      <top style="thin">
        <color auto="1"/>
      </top>
      <bottom style="thin">
        <color auto="1"/>
      </bottom>
      <diagonal/>
    </border>
    <border>
      <left/>
      <right/>
      <top style="thin">
        <color indexed="8"/>
      </top>
      <bottom style="thin">
        <color indexed="8"/>
      </bottom>
      <diagonal/>
    </border>
    <border>
      <left/>
      <right/>
      <top style="thin">
        <color indexed="62"/>
      </top>
      <bottom style="double">
        <color indexed="62"/>
      </bottom>
      <diagonal/>
    </border>
    <border>
      <left/>
      <right/>
      <top style="medium">
        <color indexed="8"/>
      </top>
      <bottom style="medium">
        <color indexed="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medium">
        <color auto="1"/>
      </left>
      <right style="medium">
        <color auto="1"/>
      </right>
      <top style="thin">
        <color auto="1"/>
      </top>
      <bottom style="thin">
        <color auto="1"/>
      </bottom>
      <diagonal/>
    </border>
    <border>
      <left/>
      <right/>
      <top style="thin">
        <color indexed="8"/>
      </top>
      <bottom style="thin">
        <color indexed="8"/>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medium">
        <color indexed="64"/>
      </left>
      <right style="medium">
        <color indexed="64"/>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8"/>
      </top>
      <bottom style="thin">
        <color indexed="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8"/>
      </top>
      <bottom style="thin">
        <color indexed="8"/>
      </bottom>
      <diagonal/>
    </border>
    <border>
      <left/>
      <right/>
      <top style="thin">
        <color indexed="62"/>
      </top>
      <bottom style="double">
        <color indexed="62"/>
      </bottom>
      <diagonal/>
    </border>
    <border>
      <left style="thin">
        <color auto="1"/>
      </left>
      <right/>
      <top style="thin">
        <color auto="1"/>
      </top>
      <bottom style="thin">
        <color auto="1"/>
      </bottom>
      <diagonal/>
    </border>
    <border>
      <left style="medium">
        <color indexed="64"/>
      </left>
      <right style="medium">
        <color indexed="64"/>
      </right>
      <top style="thin">
        <color auto="1"/>
      </top>
      <bottom style="thin">
        <color auto="1"/>
      </bottom>
      <diagonal/>
    </border>
    <border>
      <left/>
      <right/>
      <top style="thin">
        <color auto="1"/>
      </top>
      <bottom style="thin">
        <color auto="1"/>
      </bottom>
      <diagonal/>
    </border>
    <border>
      <left/>
      <right/>
      <top style="medium">
        <color indexed="8"/>
      </top>
      <bottom style="medium">
        <color indexed="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8"/>
      </top>
      <bottom style="thin">
        <color indexed="8"/>
      </bottom>
      <diagonal/>
    </border>
    <border>
      <left/>
      <right/>
      <top style="thin">
        <color indexed="62"/>
      </top>
      <bottom style="double">
        <color indexed="62"/>
      </bottom>
      <diagonal/>
    </border>
    <border>
      <left style="thin">
        <color auto="1"/>
      </left>
      <right/>
      <top style="thin">
        <color auto="1"/>
      </top>
      <bottom style="thin">
        <color auto="1"/>
      </bottom>
      <diagonal/>
    </border>
    <border>
      <left style="medium">
        <color indexed="64"/>
      </left>
      <right style="medium">
        <color indexed="64"/>
      </right>
      <top style="thin">
        <color auto="1"/>
      </top>
      <bottom style="thin">
        <color auto="1"/>
      </bottom>
      <diagonal/>
    </border>
    <border>
      <left/>
      <right/>
      <top style="thin">
        <color auto="1"/>
      </top>
      <bottom style="thin">
        <color auto="1"/>
      </bottom>
      <diagonal/>
    </border>
    <border>
      <left/>
      <right/>
      <top style="medium">
        <color indexed="8"/>
      </top>
      <bottom style="medium">
        <color indexed="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8"/>
      </top>
      <bottom style="thin">
        <color indexed="8"/>
      </bottom>
      <diagonal/>
    </border>
    <border>
      <left/>
      <right/>
      <top style="thin">
        <color indexed="62"/>
      </top>
      <bottom style="double">
        <color indexed="62"/>
      </bottom>
      <diagonal/>
    </border>
    <border>
      <left style="thin">
        <color auto="1"/>
      </left>
      <right/>
      <top style="thin">
        <color auto="1"/>
      </top>
      <bottom style="thin">
        <color indexed="64"/>
      </bottom>
      <diagonal/>
    </border>
    <border>
      <left/>
      <right/>
      <top style="thin">
        <color auto="1"/>
      </top>
      <bottom style="thin">
        <color indexed="64"/>
      </bottom>
      <diagonal/>
    </border>
    <border>
      <left/>
      <right/>
      <top style="medium">
        <color indexed="8"/>
      </top>
      <bottom style="medium">
        <color indexed="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medium">
        <color auto="1"/>
      </left>
      <right style="medium">
        <color auto="1"/>
      </right>
      <top style="thin">
        <color auto="1"/>
      </top>
      <bottom style="thin">
        <color auto="1"/>
      </bottom>
      <diagonal/>
    </border>
    <border>
      <left/>
      <right/>
      <top style="thin">
        <color indexed="8"/>
      </top>
      <bottom style="thin">
        <color indexed="8"/>
      </bottom>
      <diagonal/>
    </border>
    <border>
      <left/>
      <right/>
      <top style="thin">
        <color indexed="62"/>
      </top>
      <bottom style="double">
        <color indexed="62"/>
      </bottom>
      <diagonal/>
    </border>
    <border>
      <left style="thin">
        <color auto="1"/>
      </left>
      <right/>
      <top style="thin">
        <color auto="1"/>
      </top>
      <bottom style="thin">
        <color indexed="64"/>
      </bottom>
      <diagonal/>
    </border>
    <border>
      <left/>
      <right/>
      <top style="thin">
        <color auto="1"/>
      </top>
      <bottom style="thin">
        <color indexed="64"/>
      </bottom>
      <diagonal/>
    </border>
    <border>
      <left/>
      <right/>
      <top style="medium">
        <color indexed="8"/>
      </top>
      <bottom style="medium">
        <color indexed="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medium">
        <color auto="1"/>
      </left>
      <right style="medium">
        <color auto="1"/>
      </right>
      <top style="thin">
        <color auto="1"/>
      </top>
      <bottom style="thin">
        <color auto="1"/>
      </bottom>
      <diagonal/>
    </border>
    <border>
      <left/>
      <right/>
      <top style="thin">
        <color indexed="8"/>
      </top>
      <bottom style="thin">
        <color indexed="8"/>
      </bottom>
      <diagonal/>
    </border>
    <border>
      <left/>
      <right/>
      <top style="thin">
        <color indexed="62"/>
      </top>
      <bottom style="double">
        <color indexed="62"/>
      </bottom>
      <diagonal/>
    </border>
    <border>
      <left style="thin">
        <color auto="1"/>
      </left>
      <right/>
      <top style="thin">
        <color auto="1"/>
      </top>
      <bottom style="thin">
        <color indexed="64"/>
      </bottom>
      <diagonal/>
    </border>
    <border>
      <left/>
      <right/>
      <top style="thin">
        <color auto="1"/>
      </top>
      <bottom style="thin">
        <color indexed="64"/>
      </bottom>
      <diagonal/>
    </border>
    <border>
      <left/>
      <right/>
      <top style="medium">
        <color indexed="8"/>
      </top>
      <bottom style="medium">
        <color indexed="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medium">
        <color auto="1"/>
      </left>
      <right style="medium">
        <color auto="1"/>
      </right>
      <top style="thin">
        <color auto="1"/>
      </top>
      <bottom style="thin">
        <color auto="1"/>
      </bottom>
      <diagonal/>
    </border>
    <border>
      <left/>
      <right/>
      <top style="thin">
        <color indexed="8"/>
      </top>
      <bottom style="thin">
        <color indexed="8"/>
      </bottom>
      <diagonal/>
    </border>
    <border>
      <left/>
      <right/>
      <top style="thin">
        <color indexed="62"/>
      </top>
      <bottom style="double">
        <color indexed="62"/>
      </bottom>
      <diagonal/>
    </border>
    <border>
      <left/>
      <right/>
      <top style="medium">
        <color indexed="8"/>
      </top>
      <bottom style="medium">
        <color indexed="8"/>
      </bottom>
      <diagonal/>
    </border>
    <border>
      <left style="thin">
        <color auto="1"/>
      </left>
      <right/>
      <top style="thin">
        <color auto="1"/>
      </top>
      <bottom style="thin">
        <color auto="1"/>
      </bottom>
      <diagonal/>
    </border>
    <border>
      <left style="medium">
        <color indexed="64"/>
      </left>
      <right style="medium">
        <color indexed="64"/>
      </right>
      <top style="thin">
        <color auto="1"/>
      </top>
      <bottom style="thin">
        <color auto="1"/>
      </bottom>
      <diagonal/>
    </border>
    <border>
      <left/>
      <right/>
      <top style="thin">
        <color auto="1"/>
      </top>
      <bottom style="thin">
        <color auto="1"/>
      </bottom>
      <diagonal/>
    </border>
    <border>
      <left/>
      <right/>
      <top style="medium">
        <color indexed="8"/>
      </top>
      <bottom style="medium">
        <color indexed="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medium">
        <color indexed="8"/>
      </top>
      <bottom style="medium">
        <color indexed="8"/>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medium">
        <color indexed="64"/>
      </right>
      <top style="thin">
        <color indexed="64"/>
      </top>
      <bottom style="thin">
        <color indexed="64"/>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top style="thin">
        <color indexed="8"/>
      </top>
      <bottom style="thin">
        <color indexed="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8"/>
      </top>
      <bottom style="thin">
        <color indexed="8"/>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medium">
        <color auto="1"/>
      </right>
      <top style="thin">
        <color auto="1"/>
      </top>
      <bottom style="thin">
        <color auto="1"/>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top style="medium">
        <color indexed="8"/>
      </top>
      <bottom style="medium">
        <color indexed="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medium">
        <color auto="1"/>
      </left>
      <right style="medium">
        <color auto="1"/>
      </right>
      <top style="thin">
        <color auto="1"/>
      </top>
      <bottom style="thin">
        <color auto="1"/>
      </bottom>
      <diagonal/>
    </border>
    <border>
      <left/>
      <right/>
      <top style="thin">
        <color indexed="8"/>
      </top>
      <bottom style="thin">
        <color indexed="8"/>
      </bottom>
      <diagonal/>
    </border>
    <border>
      <left/>
      <right/>
      <top style="thin">
        <color indexed="62"/>
      </top>
      <bottom style="double">
        <color indexed="62"/>
      </bottom>
      <diagonal/>
    </border>
    <border>
      <left/>
      <right/>
      <top style="thin">
        <color auto="1"/>
      </top>
      <bottom style="thin">
        <color auto="1"/>
      </bottom>
      <diagonal/>
    </border>
    <border>
      <left/>
      <right/>
      <top style="medium">
        <color indexed="8"/>
      </top>
      <bottom style="medium">
        <color indexed="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medium">
        <color auto="1"/>
      </left>
      <right style="medium">
        <color auto="1"/>
      </right>
      <top style="thin">
        <color auto="1"/>
      </top>
      <bottom style="thin">
        <color auto="1"/>
      </bottom>
      <diagonal/>
    </border>
    <border>
      <left/>
      <right/>
      <top style="thin">
        <color indexed="8"/>
      </top>
      <bottom style="thin">
        <color indexed="8"/>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medium">
        <color indexed="8"/>
      </top>
      <bottom style="medium">
        <color indexed="8"/>
      </bottom>
      <diagonal/>
    </border>
    <border>
      <left/>
      <right/>
      <top style="thin">
        <color indexed="64"/>
      </top>
      <bottom style="thin">
        <color indexed="64"/>
      </bottom>
      <diagonal/>
    </border>
    <border>
      <left/>
      <right/>
      <top style="medium">
        <color indexed="8"/>
      </top>
      <bottom style="medium">
        <color indexed="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medium">
        <color auto="1"/>
      </left>
      <right style="medium">
        <color auto="1"/>
      </right>
      <top style="thin">
        <color auto="1"/>
      </top>
      <bottom style="thin">
        <color auto="1"/>
      </bottom>
      <diagonal/>
    </border>
    <border>
      <left/>
      <right/>
      <top style="thin">
        <color indexed="8"/>
      </top>
      <bottom style="thin">
        <color indexed="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style="medium">
        <color indexed="8"/>
      </top>
      <bottom style="medium">
        <color indexed="8"/>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style="thin">
        <color auto="1"/>
      </top>
      <bottom style="thin">
        <color auto="1"/>
      </bottom>
      <diagonal/>
    </border>
    <border>
      <left style="thin">
        <color auto="1"/>
      </left>
      <right/>
      <top style="thin">
        <color auto="1"/>
      </top>
      <bottom style="thin">
        <color auto="1"/>
      </bottom>
      <diagonal/>
    </border>
    <border>
      <left/>
      <right/>
      <top style="medium">
        <color indexed="8"/>
      </top>
      <bottom style="medium">
        <color indexed="8"/>
      </bottom>
      <diagonal/>
    </border>
    <border>
      <left/>
      <right/>
      <top style="medium">
        <color indexed="8"/>
      </top>
      <bottom style="medium">
        <color indexed="8"/>
      </bottom>
      <diagonal/>
    </border>
    <border>
      <left/>
      <right/>
      <top style="medium">
        <color indexed="8"/>
      </top>
      <bottom style="medium">
        <color indexed="8"/>
      </bottom>
      <diagonal/>
    </border>
    <border>
      <left style="medium">
        <color indexed="64"/>
      </left>
      <right style="medium">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right/>
      <top style="thin">
        <color indexed="64"/>
      </top>
      <bottom style="thin">
        <color indexed="64"/>
      </bottom>
      <diagonal/>
    </border>
    <border>
      <left style="thin">
        <color auto="1"/>
      </left>
      <right/>
      <top style="thin">
        <color auto="1"/>
      </top>
      <bottom style="thin">
        <color auto="1"/>
      </bottom>
      <diagonal/>
    </border>
    <border>
      <left/>
      <right/>
      <top style="medium">
        <color indexed="8"/>
      </top>
      <bottom style="medium">
        <color indexed="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medium">
        <color auto="1"/>
      </left>
      <right style="medium">
        <color auto="1"/>
      </right>
      <top style="thin">
        <color auto="1"/>
      </top>
      <bottom style="thin">
        <color auto="1"/>
      </bottom>
      <diagonal/>
    </border>
    <border>
      <left/>
      <right/>
      <top style="thin">
        <color indexed="8"/>
      </top>
      <bottom style="thin">
        <color indexed="8"/>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medium">
        <color indexed="8"/>
      </top>
      <bottom style="medium">
        <color indexed="8"/>
      </bottom>
      <diagonal/>
    </border>
    <border>
      <left/>
      <right/>
      <top style="thin">
        <color indexed="62"/>
      </top>
      <bottom style="double">
        <color indexed="62"/>
      </bottom>
      <diagonal/>
    </border>
    <border>
      <left/>
      <right/>
      <top style="medium">
        <color indexed="8"/>
      </top>
      <bottom style="medium">
        <color indexed="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medium">
        <color auto="1"/>
      </left>
      <right style="medium">
        <color auto="1"/>
      </right>
      <top style="thin">
        <color auto="1"/>
      </top>
      <bottom style="thin">
        <color auto="1"/>
      </bottom>
      <diagonal/>
    </border>
    <border>
      <left/>
      <right/>
      <top style="thin">
        <color indexed="8"/>
      </top>
      <bottom style="thin">
        <color indexed="8"/>
      </bottom>
      <diagonal/>
    </border>
    <border>
      <left/>
      <right/>
      <top style="thin">
        <color indexed="62"/>
      </top>
      <bottom style="double">
        <color indexed="62"/>
      </bottom>
      <diagonal/>
    </border>
    <border>
      <left/>
      <right/>
      <top style="medium">
        <color indexed="8"/>
      </top>
      <bottom style="medium">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medium">
        <color indexed="8"/>
      </top>
      <bottom style="medium">
        <color indexed="8"/>
      </bottom>
      <diagonal/>
    </border>
    <border>
      <left/>
      <right/>
      <top style="medium">
        <color indexed="8"/>
      </top>
      <bottom style="medium">
        <color indexed="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medium">
        <color auto="1"/>
      </left>
      <right style="medium">
        <color auto="1"/>
      </right>
      <top style="thin">
        <color auto="1"/>
      </top>
      <bottom style="thin">
        <color auto="1"/>
      </bottom>
      <diagonal/>
    </border>
    <border>
      <left/>
      <right/>
      <top style="thin">
        <color indexed="8"/>
      </top>
      <bottom style="thin">
        <color indexed="8"/>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medium">
        <color indexed="8"/>
      </top>
      <bottom style="medium">
        <color indexed="8"/>
      </bottom>
      <diagonal/>
    </border>
    <border>
      <left/>
      <right/>
      <top style="medium">
        <color indexed="8"/>
      </top>
      <bottom style="medium">
        <color indexed="8"/>
      </bottom>
      <diagonal/>
    </border>
    <border>
      <left style="thin">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medium">
        <color auto="1"/>
      </left>
      <right style="medium">
        <color auto="1"/>
      </right>
      <top style="thin">
        <color auto="1"/>
      </top>
      <bottom style="thin">
        <color auto="1"/>
      </bottom>
      <diagonal/>
    </border>
    <border>
      <left/>
      <right/>
      <top style="thin">
        <color indexed="8"/>
      </top>
      <bottom style="thin">
        <color indexed="8"/>
      </bottom>
      <diagonal/>
    </border>
    <border>
      <left/>
      <right/>
      <top style="thin">
        <color indexed="62"/>
      </top>
      <bottom style="double">
        <color indexed="62"/>
      </bottom>
      <diagonal/>
    </border>
    <border>
      <left style="medium">
        <color indexed="64"/>
      </left>
      <right style="medium">
        <color indexed="64"/>
      </right>
      <top style="thin">
        <color indexed="64"/>
      </top>
      <bottom style="thin">
        <color indexed="64"/>
      </bottom>
      <diagonal/>
    </border>
    <border>
      <left/>
      <right/>
      <top style="medium">
        <color indexed="8"/>
      </top>
      <bottom style="medium">
        <color indexed="8"/>
      </bottom>
      <diagonal/>
    </border>
    <border>
      <left/>
      <right/>
      <top style="thin">
        <color indexed="8"/>
      </top>
      <bottom style="thin">
        <color indexed="8"/>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auto="1"/>
      </top>
      <bottom style="thin">
        <color auto="1"/>
      </bottom>
      <diagonal/>
    </border>
    <border>
      <left/>
      <right/>
      <top style="medium">
        <color indexed="8"/>
      </top>
      <bottom style="medium">
        <color indexed="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medium">
        <color auto="1"/>
      </left>
      <right style="medium">
        <color auto="1"/>
      </right>
      <top style="thin">
        <color auto="1"/>
      </top>
      <bottom style="thin">
        <color auto="1"/>
      </bottom>
      <diagonal/>
    </border>
    <border>
      <left/>
      <right/>
      <top style="thin">
        <color indexed="8"/>
      </top>
      <bottom style="thin">
        <color indexed="8"/>
      </bottom>
      <diagonal/>
    </border>
    <border>
      <left/>
      <right/>
      <top style="thin">
        <color indexed="62"/>
      </top>
      <bottom style="double">
        <color indexed="62"/>
      </bottom>
      <diagonal/>
    </border>
    <border>
      <left/>
      <right/>
      <top style="medium">
        <color indexed="8"/>
      </top>
      <bottom style="medium">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top style="medium">
        <color indexed="8"/>
      </top>
      <bottom style="medium">
        <color indexed="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8"/>
      </top>
      <bottom style="thin">
        <color indexed="8"/>
      </bottom>
      <diagonal/>
    </border>
    <border>
      <left/>
      <right/>
      <top style="thin">
        <color indexed="62"/>
      </top>
      <bottom style="double">
        <color indexed="62"/>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top style="medium">
        <color indexed="8"/>
      </top>
      <bottom style="medium">
        <color indexed="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medium">
        <color auto="1"/>
      </left>
      <right style="medium">
        <color auto="1"/>
      </right>
      <top style="thin">
        <color auto="1"/>
      </top>
      <bottom style="thin">
        <color auto="1"/>
      </bottom>
      <diagonal/>
    </border>
    <border>
      <left/>
      <right/>
      <top style="thin">
        <color indexed="8"/>
      </top>
      <bottom style="thin">
        <color indexed="8"/>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auto="1"/>
      </top>
      <bottom style="thin">
        <color auto="1"/>
      </bottom>
      <diagonal/>
    </border>
    <border>
      <left/>
      <right/>
      <top style="medium">
        <color indexed="8"/>
      </top>
      <bottom style="medium">
        <color indexed="8"/>
      </bottom>
      <diagonal/>
    </border>
    <border>
      <left/>
      <right/>
      <top style="medium">
        <color indexed="8"/>
      </top>
      <bottom style="medium">
        <color indexed="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medium">
        <color auto="1"/>
      </left>
      <right style="medium">
        <color auto="1"/>
      </right>
      <top style="thin">
        <color auto="1"/>
      </top>
      <bottom style="thin">
        <color auto="1"/>
      </bottom>
      <diagonal/>
    </border>
    <border>
      <left/>
      <right/>
      <top style="thin">
        <color indexed="8"/>
      </top>
      <bottom style="thin">
        <color indexed="8"/>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style="medium">
        <color indexed="8"/>
      </top>
      <bottom style="medium">
        <color indexed="8"/>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medium">
        <color auto="1"/>
      </left>
      <right style="medium">
        <color auto="1"/>
      </right>
      <top style="thin">
        <color auto="1"/>
      </top>
      <bottom style="thin">
        <color auto="1"/>
      </bottom>
      <diagonal/>
    </border>
    <border>
      <left/>
      <right/>
      <top style="thin">
        <color indexed="8"/>
      </top>
      <bottom style="thin">
        <color indexed="8"/>
      </bottom>
      <diagonal/>
    </border>
    <border>
      <left/>
      <right/>
      <top style="thin">
        <color indexed="62"/>
      </top>
      <bottom style="double">
        <color indexed="62"/>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thin">
        <color auto="1"/>
      </right>
      <top style="thin">
        <color auto="1"/>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auto="1"/>
      </right>
      <top style="medium">
        <color auto="1"/>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auto="1"/>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style="thin">
        <color indexed="64"/>
      </bottom>
      <diagonal/>
    </border>
    <border>
      <left/>
      <right style="medium">
        <color indexed="64"/>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s>
  <cellStyleXfs count="7846">
    <xf numFmtId="0" fontId="0" fillId="0" borderId="0"/>
    <xf numFmtId="0" fontId="1" fillId="0" borderId="0"/>
    <xf numFmtId="0" fontId="2" fillId="0" borderId="0"/>
    <xf numFmtId="0" fontId="3" fillId="0" borderId="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4" fillId="0" borderId="0"/>
    <xf numFmtId="0" fontId="3" fillId="0" borderId="0"/>
    <xf numFmtId="0" fontId="3" fillId="0" borderId="0"/>
    <xf numFmtId="0" fontId="3" fillId="0" borderId="0"/>
    <xf numFmtId="0" fontId="3" fillId="0" borderId="0"/>
    <xf numFmtId="0" fontId="3" fillId="0" borderId="0"/>
    <xf numFmtId="0" fontId="5" fillId="0" borderId="0">
      <alignment vertical="top"/>
    </xf>
    <xf numFmtId="0" fontId="5" fillId="0" borderId="0">
      <alignment vertical="top"/>
    </xf>
    <xf numFmtId="0" fontId="5" fillId="0" borderId="0">
      <alignment vertical="top"/>
    </xf>
    <xf numFmtId="0" fontId="5" fillId="0" borderId="0">
      <alignment vertical="top"/>
    </xf>
    <xf numFmtId="0" fontId="3" fillId="0" borderId="0"/>
    <xf numFmtId="0" fontId="3" fillId="0" borderId="0"/>
    <xf numFmtId="0" fontId="3" fillId="0" borderId="0"/>
    <xf numFmtId="0" fontId="3" fillId="0" borderId="0"/>
    <xf numFmtId="0" fontId="3" fillId="0" borderId="0"/>
    <xf numFmtId="0" fontId="3" fillId="0" borderId="0" applyNumberFormat="0" applyFill="0" applyBorder="0" applyAlignment="0" applyProtection="0"/>
    <xf numFmtId="0" fontId="3" fillId="0" borderId="0" applyNumberFormat="0" applyFill="0" applyBorder="0" applyAlignment="0" applyProtection="0"/>
    <xf numFmtId="0" fontId="4" fillId="0" borderId="0"/>
    <xf numFmtId="0" fontId="4" fillId="0" borderId="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6" fillId="0" borderId="0"/>
    <xf numFmtId="0" fontId="5" fillId="0" borderId="0">
      <alignment vertical="top"/>
    </xf>
    <xf numFmtId="0" fontId="3" fillId="0" borderId="0"/>
    <xf numFmtId="0" fontId="5" fillId="0" borderId="0">
      <alignment vertical="top"/>
    </xf>
    <xf numFmtId="0" fontId="6" fillId="0" borderId="0"/>
    <xf numFmtId="0" fontId="7" fillId="3"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8" fillId="3" borderId="0" applyNumberFormat="0" applyBorder="0" applyAlignment="0" applyProtection="0">
      <alignment vertical="center"/>
    </xf>
    <xf numFmtId="0" fontId="8" fillId="4" borderId="0" applyNumberFormat="0" applyBorder="0" applyAlignment="0" applyProtection="0">
      <alignment vertical="center"/>
    </xf>
    <xf numFmtId="0" fontId="8" fillId="5" borderId="0" applyNumberFormat="0" applyBorder="0" applyAlignment="0" applyProtection="0">
      <alignment vertical="center"/>
    </xf>
    <xf numFmtId="0" fontId="8" fillId="6" borderId="0" applyNumberFormat="0" applyBorder="0" applyAlignment="0" applyProtection="0">
      <alignment vertical="center"/>
    </xf>
    <xf numFmtId="0" fontId="8" fillId="7" borderId="0" applyNumberFormat="0" applyBorder="0" applyAlignment="0" applyProtection="0">
      <alignment vertical="center"/>
    </xf>
    <xf numFmtId="0" fontId="8" fillId="8" borderId="0" applyNumberFormat="0" applyBorder="0" applyAlignment="0" applyProtection="0">
      <alignment vertical="center"/>
    </xf>
    <xf numFmtId="0" fontId="9" fillId="3" borderId="0" applyNumberFormat="0" applyBorder="0" applyAlignment="0" applyProtection="0">
      <alignment vertical="center"/>
    </xf>
    <xf numFmtId="0" fontId="9" fillId="4" borderId="0" applyNumberFormat="0" applyBorder="0" applyAlignment="0" applyProtection="0">
      <alignment vertical="center"/>
    </xf>
    <xf numFmtId="0" fontId="9" fillId="5" borderId="0" applyNumberFormat="0" applyBorder="0" applyAlignment="0" applyProtection="0">
      <alignment vertical="center"/>
    </xf>
    <xf numFmtId="0" fontId="9" fillId="6" borderId="0" applyNumberFormat="0" applyBorder="0" applyAlignment="0" applyProtection="0">
      <alignment vertical="center"/>
    </xf>
    <xf numFmtId="0" fontId="9" fillId="7" borderId="0" applyNumberFormat="0" applyBorder="0" applyAlignment="0" applyProtection="0">
      <alignment vertical="center"/>
    </xf>
    <xf numFmtId="0" fontId="9" fillId="8" borderId="0" applyNumberFormat="0" applyBorder="0" applyAlignment="0" applyProtection="0">
      <alignment vertical="center"/>
    </xf>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8" fillId="9" borderId="0" applyNumberFormat="0" applyBorder="0" applyAlignment="0" applyProtection="0">
      <alignment vertical="center"/>
    </xf>
    <xf numFmtId="0" fontId="8" fillId="10" borderId="0" applyNumberFormat="0" applyBorder="0" applyAlignment="0" applyProtection="0">
      <alignment vertical="center"/>
    </xf>
    <xf numFmtId="0" fontId="8" fillId="11" borderId="0" applyNumberFormat="0" applyBorder="0" applyAlignment="0" applyProtection="0">
      <alignment vertical="center"/>
    </xf>
    <xf numFmtId="0" fontId="8" fillId="6" borderId="0" applyNumberFormat="0" applyBorder="0" applyAlignment="0" applyProtection="0">
      <alignment vertical="center"/>
    </xf>
    <xf numFmtId="0" fontId="8" fillId="9" borderId="0" applyNumberFormat="0" applyBorder="0" applyAlignment="0" applyProtection="0">
      <alignment vertical="center"/>
    </xf>
    <xf numFmtId="0" fontId="8" fillId="12" borderId="0" applyNumberFormat="0" applyBorder="0" applyAlignment="0" applyProtection="0">
      <alignment vertical="center"/>
    </xf>
    <xf numFmtId="0" fontId="9" fillId="9" borderId="0" applyNumberFormat="0" applyBorder="0" applyAlignment="0" applyProtection="0">
      <alignment vertical="center"/>
    </xf>
    <xf numFmtId="0" fontId="9" fillId="10" borderId="0" applyNumberFormat="0" applyBorder="0" applyAlignment="0" applyProtection="0">
      <alignment vertical="center"/>
    </xf>
    <xf numFmtId="0" fontId="9" fillId="11" borderId="0" applyNumberFormat="0" applyBorder="0" applyAlignment="0" applyProtection="0">
      <alignment vertical="center"/>
    </xf>
    <xf numFmtId="0" fontId="9" fillId="6" borderId="0" applyNumberFormat="0" applyBorder="0" applyAlignment="0" applyProtection="0">
      <alignment vertical="center"/>
    </xf>
    <xf numFmtId="0" fontId="9" fillId="9" borderId="0" applyNumberFormat="0" applyBorder="0" applyAlignment="0" applyProtection="0">
      <alignment vertical="center"/>
    </xf>
    <xf numFmtId="0" fontId="9" fillId="12" borderId="0" applyNumberFormat="0" applyBorder="0" applyAlignment="0" applyProtection="0">
      <alignment vertical="center"/>
    </xf>
    <xf numFmtId="0" fontId="10" fillId="13" borderId="0" applyNumberFormat="0" applyBorder="0" applyAlignment="0" applyProtection="0"/>
    <xf numFmtId="0" fontId="10" fillId="13"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1" fillId="13"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2" fillId="13" borderId="0" applyNumberFormat="0" applyBorder="0" applyAlignment="0" applyProtection="0">
      <alignment vertical="center"/>
    </xf>
    <xf numFmtId="0" fontId="12" fillId="10" borderId="0" applyNumberFormat="0" applyBorder="0" applyAlignment="0" applyProtection="0">
      <alignment vertical="center"/>
    </xf>
    <xf numFmtId="0" fontId="12" fillId="11" borderId="0" applyNumberFormat="0" applyBorder="0" applyAlignment="0" applyProtection="0">
      <alignment vertical="center"/>
    </xf>
    <xf numFmtId="0" fontId="12" fillId="14" borderId="0" applyNumberFormat="0" applyBorder="0" applyAlignment="0" applyProtection="0">
      <alignment vertical="center"/>
    </xf>
    <xf numFmtId="0" fontId="12" fillId="15" borderId="0" applyNumberFormat="0" applyBorder="0" applyAlignment="0" applyProtection="0">
      <alignment vertical="center"/>
    </xf>
    <xf numFmtId="0" fontId="12" fillId="16" borderId="0" applyNumberFormat="0" applyBorder="0" applyAlignment="0" applyProtection="0">
      <alignment vertical="center"/>
    </xf>
    <xf numFmtId="0" fontId="7" fillId="17" borderId="0" applyNumberFormat="0" applyBorder="0" applyAlignment="0" applyProtection="0"/>
    <xf numFmtId="0" fontId="7"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3" borderId="0" applyNumberFormat="0" applyBorder="0" applyAlignment="0" applyProtection="0"/>
    <xf numFmtId="0" fontId="7" fillId="20" borderId="0" applyNumberFormat="0" applyBorder="0" applyAlignment="0" applyProtection="0"/>
    <xf numFmtId="0" fontId="7" fillId="24" borderId="0" applyNumberFormat="0" applyBorder="0" applyAlignment="0" applyProtection="0"/>
    <xf numFmtId="0" fontId="10" fillId="21"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7" fillId="17" borderId="0" applyNumberFormat="0" applyBorder="0" applyAlignment="0" applyProtection="0"/>
    <xf numFmtId="0" fontId="7" fillId="21" borderId="0" applyNumberFormat="0" applyBorder="0" applyAlignment="0" applyProtection="0"/>
    <xf numFmtId="0" fontId="10" fillId="21"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7" fillId="26" borderId="0" applyNumberFormat="0" applyBorder="0" applyAlignment="0" applyProtection="0"/>
    <xf numFmtId="0" fontId="7" fillId="17" borderId="0" applyNumberFormat="0" applyBorder="0" applyAlignment="0" applyProtection="0"/>
    <xf numFmtId="0" fontId="10" fillId="18"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7" fillId="20" borderId="0" applyNumberFormat="0" applyBorder="0" applyAlignment="0" applyProtection="0"/>
    <xf numFmtId="0" fontId="7" fillId="27"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169" fontId="13" fillId="0" borderId="0" applyFont="0" applyFill="0" applyBorder="0" applyAlignment="0" applyProtection="0"/>
    <xf numFmtId="170" fontId="13" fillId="0" borderId="0" applyFont="0" applyFill="0" applyBorder="0" applyAlignment="0" applyProtection="0"/>
    <xf numFmtId="41" fontId="13" fillId="0" borderId="0" applyFont="0" applyFill="0" applyBorder="0" applyAlignment="0" applyProtection="0"/>
    <xf numFmtId="43" fontId="13" fillId="0" borderId="0" applyFont="0" applyFill="0" applyBorder="0" applyAlignment="0" applyProtection="0"/>
    <xf numFmtId="0" fontId="14" fillId="4" borderId="0" applyNumberFormat="0" applyBorder="0" applyAlignment="0" applyProtection="0"/>
    <xf numFmtId="0" fontId="14" fillId="4" borderId="0" applyNumberFormat="0" applyBorder="0" applyAlignment="0" applyProtection="0"/>
    <xf numFmtId="0" fontId="15" fillId="0" borderId="0"/>
    <xf numFmtId="171" fontId="3" fillId="0" borderId="0" applyFill="0" applyBorder="0" applyAlignment="0"/>
    <xf numFmtId="172" fontId="5" fillId="0" borderId="0" applyFill="0" applyBorder="0" applyAlignment="0"/>
    <xf numFmtId="43" fontId="3" fillId="0" borderId="0" applyFill="0" applyBorder="0" applyAlignment="0"/>
    <xf numFmtId="43" fontId="3" fillId="0" borderId="0" applyFill="0" applyBorder="0" applyAlignment="0"/>
    <xf numFmtId="43" fontId="3" fillId="0" borderId="0" applyFill="0" applyBorder="0" applyAlignment="0"/>
    <xf numFmtId="173" fontId="16" fillId="0" borderId="0" applyFill="0" applyBorder="0" applyAlignment="0"/>
    <xf numFmtId="174" fontId="3" fillId="0" borderId="0" applyFill="0" applyBorder="0" applyAlignment="0"/>
    <xf numFmtId="174" fontId="3" fillId="0" borderId="0" applyFill="0" applyBorder="0" applyAlignment="0"/>
    <xf numFmtId="174" fontId="3" fillId="0" borderId="0" applyFill="0" applyBorder="0" applyAlignment="0"/>
    <xf numFmtId="174" fontId="3" fillId="0" borderId="0" applyFill="0" applyBorder="0" applyAlignment="0"/>
    <xf numFmtId="175" fontId="16" fillId="0" borderId="0" applyFill="0" applyBorder="0" applyAlignment="0"/>
    <xf numFmtId="176" fontId="3" fillId="0" borderId="0" applyFill="0" applyBorder="0" applyAlignment="0"/>
    <xf numFmtId="176" fontId="3" fillId="0" borderId="0" applyFill="0" applyBorder="0" applyAlignment="0"/>
    <xf numFmtId="176" fontId="3" fillId="0" borderId="0" applyFill="0" applyBorder="0" applyAlignment="0"/>
    <xf numFmtId="176" fontId="3" fillId="0" borderId="0" applyFill="0" applyBorder="0" applyAlignment="0"/>
    <xf numFmtId="177" fontId="17" fillId="0" borderId="0" applyFill="0" applyBorder="0" applyAlignment="0"/>
    <xf numFmtId="178" fontId="3" fillId="0" borderId="0" applyFill="0" applyBorder="0" applyAlignment="0"/>
    <xf numFmtId="178" fontId="3" fillId="0" borderId="0" applyFill="0" applyBorder="0" applyAlignment="0"/>
    <xf numFmtId="178" fontId="3" fillId="0" borderId="0" applyFill="0" applyBorder="0" applyAlignment="0"/>
    <xf numFmtId="178" fontId="3" fillId="0" borderId="0" applyFill="0" applyBorder="0" applyAlignment="0"/>
    <xf numFmtId="179" fontId="17" fillId="0" borderId="0" applyFill="0" applyBorder="0" applyAlignment="0"/>
    <xf numFmtId="180" fontId="3" fillId="0" borderId="0" applyFill="0" applyBorder="0" applyAlignment="0"/>
    <xf numFmtId="180" fontId="3" fillId="0" borderId="0" applyFill="0" applyBorder="0" applyAlignment="0"/>
    <xf numFmtId="180" fontId="3" fillId="0" borderId="0" applyFill="0" applyBorder="0" applyAlignment="0"/>
    <xf numFmtId="180" fontId="3" fillId="0" borderId="0" applyFill="0" applyBorder="0" applyAlignment="0"/>
    <xf numFmtId="171" fontId="3" fillId="0" borderId="0" applyFill="0" applyBorder="0" applyAlignment="0"/>
    <xf numFmtId="43" fontId="3" fillId="0" borderId="0" applyFill="0" applyBorder="0" applyAlignment="0"/>
    <xf numFmtId="43" fontId="3" fillId="0" borderId="0" applyFill="0" applyBorder="0" applyAlignment="0"/>
    <xf numFmtId="43" fontId="3" fillId="0" borderId="0" applyFill="0" applyBorder="0" applyAlignment="0"/>
    <xf numFmtId="43" fontId="3" fillId="0" borderId="0" applyFill="0" applyBorder="0" applyAlignment="0"/>
    <xf numFmtId="181" fontId="3" fillId="0" borderId="0" applyFill="0" applyBorder="0" applyAlignment="0"/>
    <xf numFmtId="182" fontId="3" fillId="0" borderId="0" applyFill="0" applyBorder="0" applyAlignment="0"/>
    <xf numFmtId="182" fontId="3" fillId="0" borderId="0" applyFill="0" applyBorder="0" applyAlignment="0"/>
    <xf numFmtId="182" fontId="3" fillId="0" borderId="0" applyFill="0" applyBorder="0" applyAlignment="0"/>
    <xf numFmtId="182" fontId="3" fillId="0" borderId="0" applyFill="0" applyBorder="0" applyAlignment="0"/>
    <xf numFmtId="173" fontId="16" fillId="0" borderId="0" applyFill="0" applyBorder="0" applyAlignment="0"/>
    <xf numFmtId="183" fontId="17" fillId="0" borderId="0" applyFill="0" applyBorder="0" applyAlignment="0"/>
    <xf numFmtId="183" fontId="17" fillId="0" borderId="0" applyFill="0" applyBorder="0" applyAlignment="0"/>
    <xf numFmtId="183" fontId="17" fillId="0" borderId="0" applyFill="0" applyBorder="0" applyAlignment="0"/>
    <xf numFmtId="0" fontId="18" fillId="29" borderId="2" applyNumberFormat="0" applyAlignment="0" applyProtection="0"/>
    <xf numFmtId="0" fontId="18" fillId="29" borderId="2" applyNumberFormat="0" applyAlignment="0" applyProtection="0"/>
    <xf numFmtId="0" fontId="18" fillId="29" borderId="2" applyNumberFormat="0" applyAlignment="0" applyProtection="0"/>
    <xf numFmtId="0" fontId="19" fillId="30" borderId="3" applyNumberFormat="0" applyAlignment="0" applyProtection="0"/>
    <xf numFmtId="0" fontId="19" fillId="30" borderId="3" applyNumberFormat="0" applyAlignment="0" applyProtection="0"/>
    <xf numFmtId="184" fontId="3" fillId="0" borderId="0"/>
    <xf numFmtId="185" fontId="3" fillId="0" borderId="0"/>
    <xf numFmtId="185" fontId="3" fillId="0" borderId="0"/>
    <xf numFmtId="185" fontId="3" fillId="0" borderId="0"/>
    <xf numFmtId="185" fontId="3" fillId="0" borderId="0"/>
    <xf numFmtId="184" fontId="3" fillId="0" borderId="0"/>
    <xf numFmtId="185" fontId="3" fillId="0" borderId="0"/>
    <xf numFmtId="185" fontId="3" fillId="0" borderId="0"/>
    <xf numFmtId="185" fontId="3" fillId="0" borderId="0"/>
    <xf numFmtId="185" fontId="3" fillId="0" borderId="0"/>
    <xf numFmtId="184" fontId="3" fillId="0" borderId="0"/>
    <xf numFmtId="185" fontId="3" fillId="0" borderId="0"/>
    <xf numFmtId="185" fontId="3" fillId="0" borderId="0"/>
    <xf numFmtId="185" fontId="3" fillId="0" borderId="0"/>
    <xf numFmtId="185" fontId="3" fillId="0" borderId="0"/>
    <xf numFmtId="184" fontId="3" fillId="0" borderId="0"/>
    <xf numFmtId="185" fontId="3" fillId="0" borderId="0"/>
    <xf numFmtId="185" fontId="3" fillId="0" borderId="0"/>
    <xf numFmtId="185" fontId="3" fillId="0" borderId="0"/>
    <xf numFmtId="185" fontId="3" fillId="0" borderId="0"/>
    <xf numFmtId="184" fontId="3" fillId="0" borderId="0"/>
    <xf numFmtId="185" fontId="3" fillId="0" borderId="0"/>
    <xf numFmtId="185" fontId="3" fillId="0" borderId="0"/>
    <xf numFmtId="185" fontId="3" fillId="0" borderId="0"/>
    <xf numFmtId="185" fontId="3" fillId="0" borderId="0"/>
    <xf numFmtId="184" fontId="3" fillId="0" borderId="0"/>
    <xf numFmtId="185" fontId="3" fillId="0" borderId="0"/>
    <xf numFmtId="185" fontId="3" fillId="0" borderId="0"/>
    <xf numFmtId="185" fontId="3" fillId="0" borderId="0"/>
    <xf numFmtId="185" fontId="3" fillId="0" borderId="0"/>
    <xf numFmtId="184" fontId="3" fillId="0" borderId="0"/>
    <xf numFmtId="185" fontId="3" fillId="0" borderId="0"/>
    <xf numFmtId="185" fontId="3" fillId="0" borderId="0"/>
    <xf numFmtId="185" fontId="3" fillId="0" borderId="0"/>
    <xf numFmtId="185" fontId="3" fillId="0" borderId="0"/>
    <xf numFmtId="184" fontId="3" fillId="0" borderId="0"/>
    <xf numFmtId="185" fontId="3" fillId="0" borderId="0"/>
    <xf numFmtId="185" fontId="3" fillId="0" borderId="0"/>
    <xf numFmtId="185" fontId="3" fillId="0" borderId="0"/>
    <xf numFmtId="185" fontId="3" fillId="0" borderId="0"/>
    <xf numFmtId="38" fontId="20" fillId="0" borderId="0" applyFont="0" applyFill="0" applyBorder="0" applyAlignment="0" applyProtection="0">
      <alignment vertical="center"/>
    </xf>
    <xf numFmtId="38" fontId="20" fillId="0" borderId="0" applyFont="0" applyFill="0" applyBorder="0" applyAlignment="0" applyProtection="0">
      <alignment vertical="center"/>
    </xf>
    <xf numFmtId="166" fontId="3" fillId="0" borderId="0" applyFont="0" applyFill="0" applyBorder="0" applyAlignment="0" applyProtection="0"/>
    <xf numFmtId="38" fontId="2" fillId="0" borderId="0" applyFont="0" applyFill="0" applyBorder="0" applyAlignment="0" applyProtection="0">
      <alignment vertical="center"/>
    </xf>
    <xf numFmtId="171" fontId="3" fillId="0" borderId="0" applyFont="0" applyFill="0" applyBorder="0" applyAlignment="0" applyProtection="0"/>
    <xf numFmtId="186" fontId="3" fillId="0" borderId="0" applyFont="0" applyFill="0" applyBorder="0" applyAlignment="0" applyProtection="0"/>
    <xf numFmtId="186" fontId="3" fillId="0" borderId="0" applyFont="0" applyFill="0" applyBorder="0" applyAlignment="0" applyProtection="0"/>
    <xf numFmtId="186" fontId="3"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3"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21"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22" fillId="0" borderId="0" applyFont="0" applyFill="0" applyBorder="0" applyAlignment="0" applyProtection="0"/>
    <xf numFmtId="40" fontId="2" fillId="0" borderId="0" applyFont="0" applyFill="0" applyBorder="0" applyAlignment="0" applyProtection="0">
      <alignment vertical="center"/>
    </xf>
    <xf numFmtId="168" fontId="3" fillId="0" borderId="0" applyFill="0" applyBorder="0" applyAlignment="0" applyProtection="0"/>
    <xf numFmtId="40" fontId="2" fillId="0" borderId="0" applyFont="0" applyFill="0" applyBorder="0" applyAlignment="0" applyProtection="0">
      <alignment vertical="center"/>
    </xf>
    <xf numFmtId="40" fontId="2" fillId="0" borderId="0" applyFont="0" applyFill="0" applyBorder="0" applyAlignment="0" applyProtection="0">
      <alignment vertical="center"/>
    </xf>
    <xf numFmtId="168" fontId="22" fillId="0" borderId="0" applyFont="0" applyFill="0" applyBorder="0" applyAlignment="0" applyProtection="0"/>
    <xf numFmtId="40" fontId="2" fillId="0" borderId="0" applyFont="0" applyFill="0" applyBorder="0" applyAlignment="0" applyProtection="0">
      <alignment vertical="center"/>
    </xf>
    <xf numFmtId="168" fontId="22" fillId="0" borderId="0" applyFont="0" applyFill="0" applyBorder="0" applyAlignment="0" applyProtection="0"/>
    <xf numFmtId="168" fontId="3" fillId="0" borderId="0" applyFont="0" applyFill="0" applyBorder="0" applyAlignment="0" applyProtection="0"/>
    <xf numFmtId="168" fontId="1" fillId="0" borderId="0" applyFont="0" applyFill="0" applyBorder="0" applyAlignment="0" applyProtection="0"/>
    <xf numFmtId="173" fontId="16" fillId="0" borderId="0" applyFont="0" applyFill="0" applyBorder="0" applyAlignment="0" applyProtection="0"/>
    <xf numFmtId="183" fontId="17" fillId="0" borderId="0" applyFont="0" applyFill="0" applyBorder="0" applyAlignment="0" applyProtection="0"/>
    <xf numFmtId="183" fontId="17" fillId="0" borderId="0" applyFont="0" applyFill="0" applyBorder="0" applyAlignment="0" applyProtection="0"/>
    <xf numFmtId="183" fontId="17" fillId="0" borderId="0" applyFont="0" applyFill="0" applyBorder="0" applyAlignment="0" applyProtection="0"/>
    <xf numFmtId="187" fontId="3" fillId="31" borderId="0" applyFont="0" applyBorder="0"/>
    <xf numFmtId="187" fontId="3" fillId="31" borderId="0" applyFont="0" applyBorder="0"/>
    <xf numFmtId="187" fontId="3" fillId="31" borderId="0" applyFont="0" applyBorder="0"/>
    <xf numFmtId="187" fontId="3" fillId="31" borderId="0" applyFont="0" applyBorder="0"/>
    <xf numFmtId="15" fontId="23" fillId="0" borderId="0"/>
    <xf numFmtId="15" fontId="23" fillId="0" borderId="0"/>
    <xf numFmtId="15" fontId="23" fillId="0" borderId="0"/>
    <xf numFmtId="15" fontId="23" fillId="0" borderId="0"/>
    <xf numFmtId="14" fontId="5" fillId="0" borderId="0" applyFill="0" applyBorder="0" applyAlignment="0"/>
    <xf numFmtId="15" fontId="23" fillId="0" borderId="0"/>
    <xf numFmtId="188" fontId="3" fillId="0" borderId="4">
      <alignment vertical="center"/>
    </xf>
    <xf numFmtId="0" fontId="24" fillId="32" borderId="0" applyNumberFormat="0" applyBorder="0" applyAlignment="0" applyProtection="0"/>
    <xf numFmtId="0" fontId="24" fillId="33" borderId="0" applyNumberFormat="0" applyBorder="0" applyAlignment="0" applyProtection="0"/>
    <xf numFmtId="0" fontId="24" fillId="34" borderId="0" applyNumberFormat="0" applyBorder="0" applyAlignment="0" applyProtection="0"/>
    <xf numFmtId="171" fontId="3" fillId="0" borderId="0" applyFill="0" applyBorder="0" applyAlignment="0"/>
    <xf numFmtId="186" fontId="3" fillId="0" borderId="0" applyFill="0" applyBorder="0" applyAlignment="0"/>
    <xf numFmtId="186" fontId="3" fillId="0" borderId="0" applyFill="0" applyBorder="0" applyAlignment="0"/>
    <xf numFmtId="186" fontId="3" fillId="0" borderId="0" applyFill="0" applyBorder="0" applyAlignment="0"/>
    <xf numFmtId="186" fontId="3" fillId="0" borderId="0" applyFill="0" applyBorder="0" applyAlignment="0"/>
    <xf numFmtId="173" fontId="16" fillId="0" borderId="0" applyFill="0" applyBorder="0" applyAlignment="0"/>
    <xf numFmtId="183" fontId="17" fillId="0" borderId="0" applyFill="0" applyBorder="0" applyAlignment="0"/>
    <xf numFmtId="183" fontId="17" fillId="0" borderId="0" applyFill="0" applyBorder="0" applyAlignment="0"/>
    <xf numFmtId="183" fontId="17" fillId="0" borderId="0" applyFill="0" applyBorder="0" applyAlignment="0"/>
    <xf numFmtId="171" fontId="3" fillId="0" borderId="0" applyFill="0" applyBorder="0" applyAlignment="0"/>
    <xf numFmtId="186" fontId="3" fillId="0" borderId="0" applyFill="0" applyBorder="0" applyAlignment="0"/>
    <xf numFmtId="186" fontId="3" fillId="0" borderId="0" applyFill="0" applyBorder="0" applyAlignment="0"/>
    <xf numFmtId="186" fontId="3" fillId="0" borderId="0" applyFill="0" applyBorder="0" applyAlignment="0"/>
    <xf numFmtId="186" fontId="3" fillId="0" borderId="0" applyFill="0" applyBorder="0" applyAlignment="0"/>
    <xf numFmtId="181" fontId="3" fillId="0" borderId="0" applyFill="0" applyBorder="0" applyAlignment="0"/>
    <xf numFmtId="189" fontId="17" fillId="0" borderId="0" applyFill="0" applyBorder="0" applyAlignment="0"/>
    <xf numFmtId="189" fontId="17" fillId="0" borderId="0" applyFill="0" applyBorder="0" applyAlignment="0"/>
    <xf numFmtId="189" fontId="17" fillId="0" borderId="0" applyFill="0" applyBorder="0" applyAlignment="0"/>
    <xf numFmtId="173" fontId="16" fillId="0" borderId="0" applyFill="0" applyBorder="0" applyAlignment="0"/>
    <xf numFmtId="183" fontId="17" fillId="0" borderId="0" applyFill="0" applyBorder="0" applyAlignment="0"/>
    <xf numFmtId="183" fontId="17" fillId="0" borderId="0" applyFill="0" applyBorder="0" applyAlignment="0"/>
    <xf numFmtId="183" fontId="17" fillId="0" borderId="0" applyFill="0" applyBorder="0" applyAlignment="0"/>
    <xf numFmtId="190" fontId="25" fillId="0" borderId="0" applyFont="0" applyFill="0" applyBorder="0" applyAlignment="0" applyProtection="0"/>
    <xf numFmtId="191" fontId="3" fillId="0" borderId="0" applyFont="0" applyFill="0" applyBorder="0" applyAlignment="0" applyProtection="0"/>
    <xf numFmtId="191" fontId="3" fillId="0" borderId="0" applyFont="0" applyFill="0" applyBorder="0" applyAlignment="0" applyProtection="0"/>
    <xf numFmtId="191" fontId="3" fillId="0" borderId="0" applyFon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7" fillId="5" borderId="0" applyNumberFormat="0" applyBorder="0" applyAlignment="0" applyProtection="0"/>
    <xf numFmtId="0" fontId="27" fillId="5" borderId="0" applyNumberFormat="0" applyBorder="0" applyAlignment="0" applyProtection="0"/>
    <xf numFmtId="38" fontId="28" fillId="31" borderId="0" applyNumberFormat="0" applyBorder="0" applyAlignment="0" applyProtection="0"/>
    <xf numFmtId="38" fontId="28" fillId="31" borderId="0" applyNumberFormat="0" applyBorder="0" applyAlignment="0" applyProtection="0"/>
    <xf numFmtId="0" fontId="29" fillId="0" borderId="5" applyNumberFormat="0" applyAlignment="0" applyProtection="0">
      <alignment horizontal="left" vertical="center"/>
    </xf>
    <xf numFmtId="0" fontId="29" fillId="0" borderId="6">
      <alignment horizontal="left" vertical="center"/>
    </xf>
    <xf numFmtId="0" fontId="29" fillId="0" borderId="6">
      <alignment horizontal="left" vertical="center"/>
    </xf>
    <xf numFmtId="0" fontId="29" fillId="0" borderId="6">
      <alignment horizontal="left" vertical="center"/>
    </xf>
    <xf numFmtId="0" fontId="30" fillId="0" borderId="7" applyNumberFormat="0" applyFill="0" applyAlignment="0" applyProtection="0"/>
    <xf numFmtId="0" fontId="30" fillId="0" borderId="7" applyNumberFormat="0" applyFill="0" applyAlignment="0" applyProtection="0"/>
    <xf numFmtId="0" fontId="31" fillId="0" borderId="8" applyNumberFormat="0" applyFill="0" applyAlignment="0" applyProtection="0"/>
    <xf numFmtId="0" fontId="31" fillId="0" borderId="8" applyNumberFormat="0" applyFill="0" applyAlignment="0" applyProtection="0"/>
    <xf numFmtId="0" fontId="32" fillId="0" borderId="9" applyNumberFormat="0" applyFill="0" applyAlignment="0" applyProtection="0"/>
    <xf numFmtId="0" fontId="32" fillId="0" borderId="9" applyNumberFormat="0" applyFill="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10" fontId="28" fillId="35" borderId="1" applyNumberFormat="0" applyBorder="0" applyAlignment="0" applyProtection="0"/>
    <xf numFmtId="10" fontId="28" fillId="35" borderId="1" applyNumberFormat="0" applyBorder="0" applyAlignment="0" applyProtection="0"/>
    <xf numFmtId="0" fontId="34" fillId="8" borderId="2" applyNumberFormat="0" applyAlignment="0" applyProtection="0"/>
    <xf numFmtId="0" fontId="34" fillId="8" borderId="2" applyNumberFormat="0" applyAlignment="0" applyProtection="0"/>
    <xf numFmtId="0" fontId="34" fillId="8" borderId="2" applyNumberFormat="0" applyAlignment="0" applyProtection="0"/>
    <xf numFmtId="0" fontId="34" fillId="8" borderId="2" applyNumberFormat="0" applyAlignment="0" applyProtection="0"/>
    <xf numFmtId="0" fontId="34" fillId="8" borderId="2" applyNumberFormat="0" applyAlignment="0" applyProtection="0"/>
    <xf numFmtId="0" fontId="34" fillId="8" borderId="2" applyNumberFormat="0" applyAlignment="0" applyProtection="0"/>
    <xf numFmtId="0" fontId="34" fillId="8" borderId="2" applyNumberFormat="0" applyAlignment="0" applyProtection="0"/>
    <xf numFmtId="0" fontId="34" fillId="8" borderId="2" applyNumberFormat="0" applyAlignment="0" applyProtection="0"/>
    <xf numFmtId="0" fontId="34" fillId="8" borderId="2" applyNumberFormat="0" applyAlignment="0" applyProtection="0"/>
    <xf numFmtId="0" fontId="34" fillId="8" borderId="2" applyNumberFormat="0" applyAlignment="0" applyProtection="0"/>
    <xf numFmtId="0" fontId="34" fillId="8" borderId="2" applyNumberFormat="0" applyAlignment="0" applyProtection="0"/>
    <xf numFmtId="0" fontId="34" fillId="8" borderId="2" applyNumberFormat="0" applyAlignment="0" applyProtection="0"/>
    <xf numFmtId="171" fontId="3" fillId="0" borderId="0" applyFill="0" applyBorder="0" applyAlignment="0"/>
    <xf numFmtId="186" fontId="3" fillId="0" borderId="0" applyFill="0" applyBorder="0" applyAlignment="0"/>
    <xf numFmtId="186" fontId="3" fillId="0" borderId="0" applyFill="0" applyBorder="0" applyAlignment="0"/>
    <xf numFmtId="186" fontId="3" fillId="0" borderId="0" applyFill="0" applyBorder="0" applyAlignment="0"/>
    <xf numFmtId="186" fontId="3" fillId="0" borderId="0" applyFill="0" applyBorder="0" applyAlignment="0"/>
    <xf numFmtId="173" fontId="16" fillId="0" borderId="0" applyFill="0" applyBorder="0" applyAlignment="0"/>
    <xf numFmtId="183" fontId="17" fillId="0" borderId="0" applyFill="0" applyBorder="0" applyAlignment="0"/>
    <xf numFmtId="183" fontId="17" fillId="0" borderId="0" applyFill="0" applyBorder="0" applyAlignment="0"/>
    <xf numFmtId="183" fontId="17" fillId="0" borderId="0" applyFill="0" applyBorder="0" applyAlignment="0"/>
    <xf numFmtId="171" fontId="3" fillId="0" borderId="0" applyFill="0" applyBorder="0" applyAlignment="0"/>
    <xf numFmtId="186" fontId="3" fillId="0" borderId="0" applyFill="0" applyBorder="0" applyAlignment="0"/>
    <xf numFmtId="186" fontId="3" fillId="0" borderId="0" applyFill="0" applyBorder="0" applyAlignment="0"/>
    <xf numFmtId="186" fontId="3" fillId="0" borderId="0" applyFill="0" applyBorder="0" applyAlignment="0"/>
    <xf numFmtId="186" fontId="3" fillId="0" borderId="0" applyFill="0" applyBorder="0" applyAlignment="0"/>
    <xf numFmtId="181" fontId="3" fillId="0" borderId="0" applyFill="0" applyBorder="0" applyAlignment="0"/>
    <xf numFmtId="189" fontId="17" fillId="0" borderId="0" applyFill="0" applyBorder="0" applyAlignment="0"/>
    <xf numFmtId="189" fontId="17" fillId="0" borderId="0" applyFill="0" applyBorder="0" applyAlignment="0"/>
    <xf numFmtId="189" fontId="17" fillId="0" borderId="0" applyFill="0" applyBorder="0" applyAlignment="0"/>
    <xf numFmtId="173" fontId="16" fillId="0" borderId="0" applyFill="0" applyBorder="0" applyAlignment="0"/>
    <xf numFmtId="183" fontId="17" fillId="0" borderId="0" applyFill="0" applyBorder="0" applyAlignment="0"/>
    <xf numFmtId="183" fontId="17" fillId="0" borderId="0" applyFill="0" applyBorder="0" applyAlignment="0"/>
    <xf numFmtId="183" fontId="17" fillId="0" borderId="0" applyFill="0" applyBorder="0" applyAlignment="0"/>
    <xf numFmtId="0" fontId="35" fillId="0" borderId="10" applyNumberFormat="0" applyFill="0" applyAlignment="0" applyProtection="0"/>
    <xf numFmtId="0" fontId="35" fillId="0" borderId="10" applyNumberFormat="0" applyFill="0" applyAlignment="0" applyProtection="0"/>
    <xf numFmtId="38" fontId="23" fillId="0" borderId="0" applyFont="0" applyFill="0" applyBorder="0" applyAlignment="0" applyProtection="0"/>
    <xf numFmtId="40" fontId="23" fillId="0" borderId="0" applyFont="0" applyFill="0" applyBorder="0" applyAlignment="0" applyProtection="0"/>
    <xf numFmtId="192" fontId="23" fillId="0" borderId="0" applyFont="0" applyFill="0" applyBorder="0" applyAlignment="0" applyProtection="0"/>
    <xf numFmtId="193" fontId="23" fillId="0" borderId="0" applyFont="0" applyFill="0" applyBorder="0" applyAlignment="0" applyProtection="0"/>
    <xf numFmtId="0" fontId="36" fillId="36" borderId="0" applyNumberFormat="0" applyBorder="0" applyAlignment="0" applyProtection="0"/>
    <xf numFmtId="0" fontId="36" fillId="36" borderId="0" applyNumberFormat="0" applyBorder="0" applyAlignment="0" applyProtection="0"/>
    <xf numFmtId="37" fontId="37" fillId="0" borderId="0"/>
    <xf numFmtId="37" fontId="37" fillId="0" borderId="0"/>
    <xf numFmtId="37" fontId="37" fillId="0" borderId="0"/>
    <xf numFmtId="37" fontId="37" fillId="0" borderId="0"/>
    <xf numFmtId="0" fontId="3" fillId="0" borderId="0"/>
    <xf numFmtId="0" fontId="3" fillId="0" borderId="0"/>
    <xf numFmtId="0" fontId="3" fillId="0" borderId="0"/>
    <xf numFmtId="0" fontId="3" fillId="0" borderId="0"/>
    <xf numFmtId="0" fontId="3" fillId="0" borderId="0"/>
    <xf numFmtId="194" fontId="38" fillId="0" borderId="0"/>
    <xf numFmtId="195" fontId="3" fillId="0" borderId="0"/>
    <xf numFmtId="195" fontId="3" fillId="0" borderId="0"/>
    <xf numFmtId="195" fontId="3" fillId="0" borderId="0"/>
    <xf numFmtId="195" fontId="3" fillId="0" borderId="0"/>
    <xf numFmtId="0" fontId="39" fillId="0" borderId="0"/>
    <xf numFmtId="0" fontId="3"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20"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0" fillId="0" borderId="0"/>
    <xf numFmtId="0" fontId="40" fillId="0" borderId="0"/>
    <xf numFmtId="0" fontId="21" fillId="0" borderId="0"/>
    <xf numFmtId="0" fontId="1" fillId="0" borderId="0"/>
    <xf numFmtId="0" fontId="7" fillId="0" borderId="0"/>
    <xf numFmtId="0" fontId="22" fillId="0" borderId="0"/>
    <xf numFmtId="0" fontId="41" fillId="0" borderId="0"/>
    <xf numFmtId="0" fontId="3" fillId="0" borderId="0"/>
    <xf numFmtId="0" fontId="1" fillId="0" borderId="0"/>
    <xf numFmtId="0" fontId="42"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3"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1" fillId="0" borderId="0"/>
    <xf numFmtId="0" fontId="7" fillId="0" borderId="0"/>
    <xf numFmtId="0" fontId="44" fillId="0" borderId="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2" fillId="0" borderId="0">
      <alignment vertical="center"/>
    </xf>
    <xf numFmtId="0" fontId="1"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alignment vertical="center"/>
    </xf>
    <xf numFmtId="0" fontId="1" fillId="0" borderId="0"/>
    <xf numFmtId="0" fontId="1" fillId="0" borderId="0"/>
    <xf numFmtId="0" fontId="1" fillId="0" borderId="0"/>
    <xf numFmtId="0" fontId="3" fillId="0" borderId="0"/>
    <xf numFmtId="0" fontId="5" fillId="0" borderId="0"/>
    <xf numFmtId="0" fontId="7" fillId="37" borderId="11" applyNumberFormat="0" applyFont="0" applyAlignment="0" applyProtection="0"/>
    <xf numFmtId="0" fontId="7" fillId="37" borderId="11" applyNumberFormat="0" applyFont="0" applyAlignment="0" applyProtection="0"/>
    <xf numFmtId="0" fontId="3" fillId="37" borderId="11" applyNumberFormat="0" applyFont="0" applyAlignment="0" applyProtection="0"/>
    <xf numFmtId="40" fontId="45" fillId="0" borderId="0" applyFont="0" applyFill="0" applyBorder="0" applyAlignment="0" applyProtection="0"/>
    <xf numFmtId="38" fontId="45" fillId="0" borderId="0" applyFont="0" applyFill="0" applyBorder="0" applyAlignment="0" applyProtection="0"/>
    <xf numFmtId="0" fontId="46" fillId="29" borderId="12" applyNumberFormat="0" applyAlignment="0" applyProtection="0"/>
    <xf numFmtId="0" fontId="46" fillId="29" borderId="12" applyNumberFormat="0" applyAlignment="0" applyProtection="0"/>
    <xf numFmtId="0" fontId="46" fillId="29" borderId="12" applyNumberFormat="0" applyAlignment="0" applyProtection="0"/>
    <xf numFmtId="0" fontId="47" fillId="38" borderId="0"/>
    <xf numFmtId="179" fontId="17" fillId="0" borderId="0" applyFont="0" applyFill="0" applyBorder="0" applyAlignment="0" applyProtection="0"/>
    <xf numFmtId="193" fontId="17" fillId="0" borderId="0" applyFont="0" applyFill="0" applyBorder="0" applyAlignment="0" applyProtection="0"/>
    <xf numFmtId="193" fontId="17" fillId="0" borderId="0" applyFont="0" applyFill="0" applyBorder="0" applyAlignment="0" applyProtection="0"/>
    <xf numFmtId="193" fontId="17" fillId="0" borderId="0" applyFont="0" applyFill="0" applyBorder="0" applyAlignment="0" applyProtection="0"/>
    <xf numFmtId="196" fontId="3" fillId="0" borderId="0" applyFont="0" applyFill="0" applyBorder="0" applyAlignment="0" applyProtection="0"/>
    <xf numFmtId="197" fontId="3" fillId="0" borderId="0" applyFont="0" applyFill="0" applyBorder="0" applyAlignment="0" applyProtection="0"/>
    <xf numFmtId="197" fontId="3" fillId="0" borderId="0" applyFont="0" applyFill="0" applyBorder="0" applyAlignment="0" applyProtection="0"/>
    <xf numFmtId="197"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9" fontId="20"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3" fillId="0" borderId="0" applyFont="0" applyFill="0" applyBorder="0" applyAlignment="0" applyProtection="0"/>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21" fillId="0" borderId="0" applyFont="0" applyFill="0" applyBorder="0" applyAlignment="0" applyProtection="0"/>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3" fillId="0" borderId="0" applyFont="0" applyFill="0" applyBorder="0" applyAlignment="0" applyProtection="0"/>
    <xf numFmtId="9" fontId="3" fillId="0" borderId="0" applyFont="0" applyFill="0" applyBorder="0" applyAlignment="0" applyProtection="0"/>
    <xf numFmtId="171" fontId="3" fillId="0" borderId="0" applyFill="0" applyBorder="0" applyAlignment="0"/>
    <xf numFmtId="186" fontId="3" fillId="0" borderId="0" applyFill="0" applyBorder="0" applyAlignment="0"/>
    <xf numFmtId="186" fontId="3" fillId="0" borderId="0" applyFill="0" applyBorder="0" applyAlignment="0"/>
    <xf numFmtId="186" fontId="3" fillId="0" borderId="0" applyFill="0" applyBorder="0" applyAlignment="0"/>
    <xf numFmtId="186" fontId="3" fillId="0" borderId="0" applyFill="0" applyBorder="0" applyAlignment="0"/>
    <xf numFmtId="173" fontId="16" fillId="0" borderId="0" applyFill="0" applyBorder="0" applyAlignment="0"/>
    <xf numFmtId="183" fontId="17" fillId="0" borderId="0" applyFill="0" applyBorder="0" applyAlignment="0"/>
    <xf numFmtId="183" fontId="17" fillId="0" borderId="0" applyFill="0" applyBorder="0" applyAlignment="0"/>
    <xf numFmtId="183" fontId="17" fillId="0" borderId="0" applyFill="0" applyBorder="0" applyAlignment="0"/>
    <xf numFmtId="171" fontId="3" fillId="0" borderId="0" applyFill="0" applyBorder="0" applyAlignment="0"/>
    <xf numFmtId="186" fontId="3" fillId="0" borderId="0" applyFill="0" applyBorder="0" applyAlignment="0"/>
    <xf numFmtId="186" fontId="3" fillId="0" borderId="0" applyFill="0" applyBorder="0" applyAlignment="0"/>
    <xf numFmtId="186" fontId="3" fillId="0" borderId="0" applyFill="0" applyBorder="0" applyAlignment="0"/>
    <xf numFmtId="186" fontId="3" fillId="0" borderId="0" applyFill="0" applyBorder="0" applyAlignment="0"/>
    <xf numFmtId="181" fontId="3" fillId="0" borderId="0" applyFill="0" applyBorder="0" applyAlignment="0"/>
    <xf numFmtId="189" fontId="17" fillId="0" borderId="0" applyFill="0" applyBorder="0" applyAlignment="0"/>
    <xf numFmtId="189" fontId="17" fillId="0" borderId="0" applyFill="0" applyBorder="0" applyAlignment="0"/>
    <xf numFmtId="189" fontId="17" fillId="0" borderId="0" applyFill="0" applyBorder="0" applyAlignment="0"/>
    <xf numFmtId="173" fontId="16" fillId="0" borderId="0" applyFill="0" applyBorder="0" applyAlignment="0"/>
    <xf numFmtId="183" fontId="17" fillId="0" borderId="0" applyFill="0" applyBorder="0" applyAlignment="0"/>
    <xf numFmtId="183" fontId="17" fillId="0" borderId="0" applyFill="0" applyBorder="0" applyAlignment="0"/>
    <xf numFmtId="183" fontId="17" fillId="0" borderId="0" applyFill="0" applyBorder="0" applyAlignment="0"/>
    <xf numFmtId="0" fontId="23" fillId="0" borderId="0" applyNumberFormat="0" applyFont="0" applyFill="0" applyBorder="0" applyAlignment="0" applyProtection="0">
      <alignment horizontal="left"/>
    </xf>
    <xf numFmtId="0" fontId="23" fillId="0" borderId="0" applyNumberFormat="0" applyFont="0" applyFill="0" applyBorder="0" applyAlignment="0" applyProtection="0">
      <alignment horizontal="left"/>
    </xf>
    <xf numFmtId="0" fontId="23" fillId="0" borderId="0" applyNumberFormat="0" applyFont="0" applyFill="0" applyBorder="0" applyAlignment="0" applyProtection="0">
      <alignment horizontal="left"/>
    </xf>
    <xf numFmtId="0" fontId="23" fillId="0" borderId="0" applyNumberFormat="0" applyFont="0" applyFill="0" applyBorder="0" applyAlignment="0" applyProtection="0">
      <alignment horizontal="left"/>
    </xf>
    <xf numFmtId="15" fontId="23" fillId="0" borderId="0" applyFont="0" applyFill="0" applyBorder="0" applyAlignment="0" applyProtection="0"/>
    <xf numFmtId="15" fontId="23" fillId="0" borderId="0" applyFont="0" applyFill="0" applyBorder="0" applyAlignment="0" applyProtection="0"/>
    <xf numFmtId="15" fontId="23" fillId="0" borderId="0" applyFont="0" applyFill="0" applyBorder="0" applyAlignment="0" applyProtection="0"/>
    <xf numFmtId="15" fontId="23" fillId="0" borderId="0" applyFont="0" applyFill="0" applyBorder="0" applyAlignment="0" applyProtection="0"/>
    <xf numFmtId="4" fontId="23" fillId="0" borderId="0" applyFont="0" applyFill="0" applyBorder="0" applyAlignment="0" applyProtection="0"/>
    <xf numFmtId="4" fontId="23" fillId="0" borderId="0" applyFont="0" applyFill="0" applyBorder="0" applyAlignment="0" applyProtection="0"/>
    <xf numFmtId="4" fontId="23" fillId="0" borderId="0" applyFont="0" applyFill="0" applyBorder="0" applyAlignment="0" applyProtection="0"/>
    <xf numFmtId="4" fontId="23" fillId="0" borderId="0" applyFont="0" applyFill="0" applyBorder="0" applyAlignment="0" applyProtection="0"/>
    <xf numFmtId="0" fontId="48" fillId="0" borderId="13">
      <alignment horizontal="center"/>
    </xf>
    <xf numFmtId="0" fontId="48" fillId="0" borderId="13">
      <alignment horizontal="center"/>
    </xf>
    <xf numFmtId="0" fontId="48" fillId="0" borderId="13">
      <alignment horizontal="center"/>
    </xf>
    <xf numFmtId="0" fontId="48" fillId="0" borderId="13">
      <alignment horizontal="center"/>
    </xf>
    <xf numFmtId="3" fontId="23" fillId="0" borderId="0" applyFont="0" applyFill="0" applyBorder="0" applyAlignment="0" applyProtection="0"/>
    <xf numFmtId="3" fontId="23" fillId="0" borderId="0" applyFont="0" applyFill="0" applyBorder="0" applyAlignment="0" applyProtection="0"/>
    <xf numFmtId="3" fontId="23" fillId="0" borderId="0" applyFont="0" applyFill="0" applyBorder="0" applyAlignment="0" applyProtection="0"/>
    <xf numFmtId="3" fontId="23" fillId="0" borderId="0" applyFont="0" applyFill="0" applyBorder="0" applyAlignment="0" applyProtection="0"/>
    <xf numFmtId="0" fontId="23" fillId="39" borderId="0" applyNumberFormat="0" applyFont="0" applyBorder="0" applyAlignment="0" applyProtection="0"/>
    <xf numFmtId="0" fontId="23" fillId="39" borderId="0" applyNumberFormat="0" applyFont="0" applyBorder="0" applyAlignment="0" applyProtection="0"/>
    <xf numFmtId="0" fontId="23" fillId="39" borderId="0" applyNumberFormat="0" applyFont="0" applyBorder="0" applyAlignment="0" applyProtection="0"/>
    <xf numFmtId="0" fontId="23" fillId="39" borderId="0" applyNumberFormat="0" applyFont="0" applyBorder="0" applyAlignment="0" applyProtection="0"/>
    <xf numFmtId="0" fontId="22" fillId="0" borderId="6">
      <alignment vertical="center" wrapText="1"/>
    </xf>
    <xf numFmtId="0" fontId="49" fillId="0" borderId="0" applyNumberFormat="0" applyFill="0" applyBorder="0" applyAlignment="0" applyProtection="0"/>
    <xf numFmtId="193" fontId="23" fillId="0" borderId="0">
      <alignment horizontal="center"/>
    </xf>
    <xf numFmtId="193" fontId="23" fillId="0" borderId="0">
      <alignment horizontal="center"/>
    </xf>
    <xf numFmtId="193" fontId="23" fillId="0" borderId="0">
      <alignment horizontal="center"/>
    </xf>
    <xf numFmtId="193" fontId="23" fillId="0" borderId="0">
      <alignment horizontal="center"/>
    </xf>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49" fontId="5" fillId="0" borderId="0" applyFill="0" applyBorder="0" applyAlignment="0"/>
    <xf numFmtId="198" fontId="3" fillId="0" borderId="0" applyFill="0" applyBorder="0" applyAlignment="0"/>
    <xf numFmtId="199" fontId="17" fillId="0" borderId="0" applyFill="0" applyBorder="0" applyAlignment="0"/>
    <xf numFmtId="199" fontId="17" fillId="0" borderId="0" applyFill="0" applyBorder="0" applyAlignment="0"/>
    <xf numFmtId="199" fontId="17" fillId="0" borderId="0" applyFill="0" applyBorder="0" applyAlignment="0"/>
    <xf numFmtId="200" fontId="3" fillId="0" borderId="0" applyFill="0" applyBorder="0" applyAlignment="0"/>
    <xf numFmtId="199" fontId="3" fillId="0" borderId="0" applyFill="0" applyBorder="0" applyAlignment="0"/>
    <xf numFmtId="199" fontId="3" fillId="0" borderId="0" applyFill="0" applyBorder="0" applyAlignment="0"/>
    <xf numFmtId="199" fontId="3" fillId="0" borderId="0" applyFill="0" applyBorder="0" applyAlignment="0"/>
    <xf numFmtId="199" fontId="3" fillId="0" borderId="0" applyFill="0" applyBorder="0" applyAlignment="0"/>
    <xf numFmtId="0" fontId="50" fillId="0" borderId="0" applyNumberFormat="0" applyFill="0" applyBorder="0" applyAlignment="0" applyProtection="0"/>
    <xf numFmtId="0" fontId="50" fillId="0" borderId="0" applyNumberFormat="0" applyFill="0" applyBorder="0" applyAlignment="0" applyProtection="0"/>
    <xf numFmtId="0" fontId="24" fillId="0" borderId="14" applyNumberFormat="0" applyFill="0" applyAlignment="0" applyProtection="0"/>
    <xf numFmtId="0" fontId="24" fillId="0" borderId="14" applyNumberFormat="0" applyFill="0" applyAlignment="0" applyProtection="0"/>
    <xf numFmtId="0" fontId="24" fillId="0" borderId="14" applyNumberFormat="0" applyFill="0" applyAlignment="0" applyProtection="0"/>
    <xf numFmtId="41" fontId="3" fillId="0" borderId="0">
      <alignment horizontal="left"/>
    </xf>
    <xf numFmtId="0" fontId="51" fillId="0" borderId="0">
      <alignment vertical="top"/>
    </xf>
    <xf numFmtId="165" fontId="3" fillId="0" borderId="0" applyFont="0" applyFill="0" applyBorder="0" applyAlignment="0" applyProtection="0"/>
    <xf numFmtId="167" fontId="3" fillId="0" borderId="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28" borderId="0" applyNumberFormat="0" applyBorder="0" applyAlignment="0" applyProtection="0">
      <alignment vertical="center"/>
    </xf>
    <xf numFmtId="0" fontId="53" fillId="0" borderId="0" applyNumberFormat="0" applyFill="0" applyBorder="0" applyAlignment="0" applyProtection="0">
      <alignment vertical="center"/>
    </xf>
    <xf numFmtId="0" fontId="54" fillId="30" borderId="3" applyNumberFormat="0" applyAlignment="0" applyProtection="0">
      <alignment vertical="center"/>
    </xf>
    <xf numFmtId="0" fontId="55" fillId="36" borderId="0" applyNumberFormat="0" applyBorder="0" applyAlignment="0" applyProtection="0">
      <alignment vertical="center"/>
    </xf>
    <xf numFmtId="0" fontId="2" fillId="37" borderId="11" applyNumberFormat="0" applyFont="0" applyAlignment="0" applyProtection="0">
      <alignment vertical="center"/>
    </xf>
    <xf numFmtId="0" fontId="2" fillId="37" borderId="11" applyNumberFormat="0" applyFont="0" applyAlignment="0" applyProtection="0">
      <alignment vertical="center"/>
    </xf>
    <xf numFmtId="0" fontId="56" fillId="0" borderId="10" applyNumberFormat="0" applyFill="0" applyAlignment="0" applyProtection="0">
      <alignment vertical="center"/>
    </xf>
    <xf numFmtId="0" fontId="12" fillId="19" borderId="0" applyNumberFormat="0" applyBorder="0" applyAlignment="0" applyProtection="0">
      <alignment vertical="center"/>
    </xf>
    <xf numFmtId="0" fontId="12" fillId="23" borderId="0" applyNumberFormat="0" applyBorder="0" applyAlignment="0" applyProtection="0">
      <alignment vertical="center"/>
    </xf>
    <xf numFmtId="0" fontId="12" fillId="25" borderId="0" applyNumberFormat="0" applyBorder="0" applyAlignment="0" applyProtection="0">
      <alignment vertical="center"/>
    </xf>
    <xf numFmtId="0" fontId="12" fillId="14" borderId="0" applyNumberFormat="0" applyBorder="0" applyAlignment="0" applyProtection="0">
      <alignment vertical="center"/>
    </xf>
    <xf numFmtId="0" fontId="12" fillId="15" borderId="0" applyNumberFormat="0" applyBorder="0" applyAlignment="0" applyProtection="0">
      <alignment vertical="center"/>
    </xf>
    <xf numFmtId="0" fontId="12" fillId="28" borderId="0" applyNumberFormat="0" applyBorder="0" applyAlignment="0" applyProtection="0">
      <alignment vertical="center"/>
    </xf>
    <xf numFmtId="0" fontId="57" fillId="0" borderId="0" applyNumberFormat="0" applyFill="0" applyBorder="0" applyAlignment="0" applyProtection="0">
      <alignment vertical="center"/>
    </xf>
    <xf numFmtId="0" fontId="58" fillId="29" borderId="2" applyNumberFormat="0" applyAlignment="0" applyProtection="0">
      <alignment vertical="center"/>
    </xf>
    <xf numFmtId="0" fontId="59" fillId="4" borderId="0" applyNumberFormat="0" applyBorder="0" applyAlignment="0" applyProtection="0">
      <alignment vertical="center"/>
    </xf>
    <xf numFmtId="0" fontId="3" fillId="37" borderId="11" applyNumberFormat="0" applyFont="0" applyAlignment="0" applyProtection="0">
      <alignment vertical="center"/>
    </xf>
    <xf numFmtId="0" fontId="60" fillId="36" borderId="0" applyNumberFormat="0" applyBorder="0" applyAlignment="0" applyProtection="0">
      <alignment vertical="center"/>
    </xf>
    <xf numFmtId="0" fontId="61" fillId="0" borderId="0"/>
    <xf numFmtId="0" fontId="62" fillId="0" borderId="0" applyNumberFormat="0" applyFill="0" applyBorder="0" applyAlignment="0" applyProtection="0">
      <alignment vertical="center"/>
    </xf>
    <xf numFmtId="0" fontId="63" fillId="30" borderId="3" applyNumberFormat="0" applyAlignment="0" applyProtection="0">
      <alignment vertical="center"/>
    </xf>
    <xf numFmtId="0" fontId="64" fillId="0" borderId="10" applyNumberFormat="0" applyFill="0" applyAlignment="0" applyProtection="0">
      <alignment vertical="center"/>
    </xf>
    <xf numFmtId="0" fontId="65" fillId="0" borderId="14" applyNumberFormat="0" applyFill="0" applyAlignment="0" applyProtection="0">
      <alignment vertical="center"/>
    </xf>
    <xf numFmtId="0" fontId="66" fillId="8" borderId="2" applyNumberFormat="0" applyAlignment="0" applyProtection="0">
      <alignment vertical="center"/>
    </xf>
    <xf numFmtId="0" fontId="67" fillId="0" borderId="0" applyNumberFormat="0" applyFill="0" applyBorder="0" applyAlignment="0" applyProtection="0">
      <alignment vertical="center"/>
    </xf>
    <xf numFmtId="0" fontId="68" fillId="0" borderId="7" applyNumberFormat="0" applyFill="0" applyAlignment="0" applyProtection="0">
      <alignment vertical="center"/>
    </xf>
    <xf numFmtId="0" fontId="69" fillId="0" borderId="8" applyNumberFormat="0" applyFill="0" applyAlignment="0" applyProtection="0">
      <alignment vertical="center"/>
    </xf>
    <xf numFmtId="0" fontId="70" fillId="0" borderId="9" applyNumberFormat="0" applyFill="0" applyAlignment="0" applyProtection="0">
      <alignment vertical="center"/>
    </xf>
    <xf numFmtId="0" fontId="70" fillId="0" borderId="0" applyNumberFormat="0" applyFill="0" applyBorder="0" applyAlignment="0" applyProtection="0">
      <alignment vertical="center"/>
    </xf>
    <xf numFmtId="0" fontId="71" fillId="5" borderId="0" applyNumberFormat="0" applyBorder="0" applyAlignment="0" applyProtection="0">
      <alignment vertical="center"/>
    </xf>
    <xf numFmtId="0" fontId="72" fillId="29" borderId="12" applyNumberFormat="0" applyAlignment="0" applyProtection="0">
      <alignment vertical="center"/>
    </xf>
    <xf numFmtId="201" fontId="25" fillId="0" borderId="0" applyFill="0" applyBorder="0" applyAlignment="0" applyProtection="0"/>
    <xf numFmtId="202" fontId="25" fillId="0" borderId="0" applyFill="0" applyBorder="0" applyAlignment="0" applyProtection="0"/>
    <xf numFmtId="0" fontId="3" fillId="0" borderId="0"/>
    <xf numFmtId="0" fontId="3" fillId="0" borderId="0"/>
    <xf numFmtId="0" fontId="73" fillId="8" borderId="2" applyNumberFormat="0" applyAlignment="0" applyProtection="0">
      <alignment vertical="center"/>
    </xf>
    <xf numFmtId="0" fontId="73" fillId="8" borderId="2" applyNumberFormat="0" applyAlignment="0" applyProtection="0">
      <alignment vertical="center"/>
    </xf>
    <xf numFmtId="0" fontId="74" fillId="29" borderId="12" applyNumberFormat="0" applyAlignment="0" applyProtection="0">
      <alignment vertical="center"/>
    </xf>
    <xf numFmtId="0" fontId="74" fillId="29" borderId="12" applyNumberFormat="0" applyAlignment="0" applyProtection="0">
      <alignment vertical="center"/>
    </xf>
    <xf numFmtId="0" fontId="75" fillId="4" borderId="0" applyNumberFormat="0" applyBorder="0" applyAlignment="0" applyProtection="0">
      <alignment vertical="center"/>
    </xf>
    <xf numFmtId="0" fontId="14" fillId="4" borderId="0" applyNumberFormat="0" applyBorder="0" applyAlignment="0" applyProtection="0"/>
    <xf numFmtId="0" fontId="75" fillId="4" borderId="0" applyNumberFormat="0" applyBorder="0" applyAlignment="0" applyProtection="0">
      <alignment vertical="center"/>
    </xf>
    <xf numFmtId="0" fontId="14" fillId="4" borderId="0" applyNumberFormat="0" applyBorder="0" applyAlignment="0" applyProtection="0"/>
    <xf numFmtId="0" fontId="76" fillId="5" borderId="0" applyNumberFormat="0" applyBorder="0" applyAlignment="0" applyProtection="0">
      <alignment vertical="center"/>
    </xf>
    <xf numFmtId="0" fontId="27" fillId="5" borderId="0" applyNumberFormat="0" applyBorder="0" applyAlignment="0" applyProtection="0"/>
    <xf numFmtId="0" fontId="76" fillId="5" borderId="0" applyNumberFormat="0" applyBorder="0" applyAlignment="0" applyProtection="0">
      <alignment vertical="center"/>
    </xf>
    <xf numFmtId="0" fontId="27" fillId="5" borderId="0" applyNumberFormat="0" applyBorder="0" applyAlignment="0" applyProtection="0"/>
    <xf numFmtId="0" fontId="77" fillId="4" borderId="0" applyNumberFormat="0" applyBorder="0" applyAlignment="0" applyProtection="0">
      <alignment vertical="center"/>
    </xf>
    <xf numFmtId="38" fontId="2" fillId="0" borderId="0" applyFont="0" applyFill="0" applyBorder="0" applyAlignment="0" applyProtection="0">
      <alignment vertical="center"/>
    </xf>
    <xf numFmtId="0" fontId="3" fillId="0" borderId="0"/>
    <xf numFmtId="0" fontId="2" fillId="0" borderId="0">
      <alignment vertical="center"/>
    </xf>
    <xf numFmtId="0" fontId="78" fillId="5" borderId="0" applyNumberFormat="0" applyBorder="0" applyAlignment="0" applyProtection="0">
      <alignment vertical="center"/>
    </xf>
    <xf numFmtId="0" fontId="79" fillId="0" borderId="7" applyNumberFormat="0" applyFill="0" applyAlignment="0" applyProtection="0">
      <alignment vertical="center"/>
    </xf>
    <xf numFmtId="0" fontId="80" fillId="0" borderId="8" applyNumberFormat="0" applyFill="0" applyAlignment="0" applyProtection="0">
      <alignment vertical="center"/>
    </xf>
    <xf numFmtId="0" fontId="81" fillId="0" borderId="9" applyNumberFormat="0" applyFill="0" applyAlignment="0" applyProtection="0">
      <alignment vertical="center"/>
    </xf>
    <xf numFmtId="0" fontId="81" fillId="0" borderId="0" applyNumberFormat="0" applyFill="0" applyBorder="0" applyAlignment="0" applyProtection="0">
      <alignment vertical="center"/>
    </xf>
    <xf numFmtId="0" fontId="82" fillId="29" borderId="2" applyNumberFormat="0" applyAlignment="0" applyProtection="0">
      <alignment vertical="center"/>
    </xf>
    <xf numFmtId="0" fontId="82" fillId="29" borderId="2" applyNumberFormat="0" applyAlignment="0" applyProtection="0">
      <alignment vertical="center"/>
    </xf>
    <xf numFmtId="0" fontId="83"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5" fillId="0" borderId="0" applyNumberFormat="0" applyFill="0" applyBorder="0" applyAlignment="0" applyProtection="0">
      <alignment vertical="top"/>
      <protection locked="0"/>
    </xf>
    <xf numFmtId="0" fontId="86" fillId="0" borderId="14" applyNumberFormat="0" applyFill="0" applyAlignment="0" applyProtection="0">
      <alignment vertical="center"/>
    </xf>
    <xf numFmtId="0" fontId="86" fillId="0" borderId="14" applyNumberFormat="0" applyFill="0" applyAlignment="0" applyProtection="0">
      <alignment vertical="center"/>
    </xf>
    <xf numFmtId="168" fontId="1" fillId="0" borderId="0" applyFont="0" applyFill="0" applyBorder="0" applyAlignment="0" applyProtection="0"/>
    <xf numFmtId="9" fontId="1" fillId="0" borderId="0" applyFont="0" applyFill="0" applyBorder="0" applyAlignment="0" applyProtection="0"/>
    <xf numFmtId="168" fontId="1" fillId="0" borderId="0" applyFont="0" applyFill="0" applyBorder="0" applyAlignment="0" applyProtection="0"/>
    <xf numFmtId="0" fontId="120" fillId="0" borderId="0"/>
    <xf numFmtId="0" fontId="7" fillId="61" borderId="0" applyNumberFormat="0" applyBorder="0" applyAlignment="0" applyProtection="0"/>
    <xf numFmtId="0" fontId="7" fillId="62" borderId="0" applyNumberFormat="0" applyBorder="0" applyAlignment="0" applyProtection="0"/>
    <xf numFmtId="0" fontId="7" fillId="63" borderId="0" applyNumberFormat="0" applyBorder="0" applyAlignment="0" applyProtection="0"/>
    <xf numFmtId="0" fontId="7" fillId="64" borderId="0" applyNumberFormat="0" applyBorder="0" applyAlignment="0" applyProtection="0"/>
    <xf numFmtId="0" fontId="7" fillId="65" borderId="0" applyNumberFormat="0" applyBorder="0" applyAlignment="0" applyProtection="0"/>
    <xf numFmtId="0" fontId="7" fillId="66" borderId="0" applyNumberFormat="0" applyBorder="0" applyAlignment="0" applyProtection="0"/>
    <xf numFmtId="0" fontId="7" fillId="67" borderId="0" applyNumberFormat="0" applyBorder="0" applyAlignment="0" applyProtection="0"/>
    <xf numFmtId="0" fontId="7" fillId="68" borderId="0" applyNumberFormat="0" applyBorder="0" applyAlignment="0" applyProtection="0"/>
    <xf numFmtId="0" fontId="7" fillId="69" borderId="0" applyNumberFormat="0" applyBorder="0" applyAlignment="0" applyProtection="0"/>
    <xf numFmtId="0" fontId="7" fillId="64" borderId="0" applyNumberFormat="0" applyBorder="0" applyAlignment="0" applyProtection="0"/>
    <xf numFmtId="0" fontId="7" fillId="67" borderId="0" applyNumberFormat="0" applyBorder="0" applyAlignment="0" applyProtection="0"/>
    <xf numFmtId="0" fontId="7" fillId="70" borderId="0" applyNumberFormat="0" applyBorder="0" applyAlignment="0" applyProtection="0"/>
    <xf numFmtId="0" fontId="10" fillId="71" borderId="0" applyNumberFormat="0" applyBorder="0" applyAlignment="0" applyProtection="0"/>
    <xf numFmtId="0" fontId="10" fillId="68" borderId="0" applyNumberFormat="0" applyBorder="0" applyAlignment="0" applyProtection="0"/>
    <xf numFmtId="0" fontId="10" fillId="69" borderId="0" applyNumberFormat="0" applyBorder="0" applyAlignment="0" applyProtection="0"/>
    <xf numFmtId="0" fontId="10" fillId="72" borderId="0" applyNumberFormat="0" applyBorder="0" applyAlignment="0" applyProtection="0"/>
    <xf numFmtId="0" fontId="10" fillId="73" borderId="0" applyNumberFormat="0" applyBorder="0" applyAlignment="0" applyProtection="0"/>
    <xf numFmtId="0" fontId="10" fillId="74" borderId="0" applyNumberFormat="0" applyBorder="0" applyAlignment="0" applyProtection="0"/>
    <xf numFmtId="0" fontId="10" fillId="75" borderId="0" applyNumberFormat="0" applyBorder="0" applyAlignment="0" applyProtection="0"/>
    <xf numFmtId="0" fontId="10" fillId="76" borderId="0" applyNumberFormat="0" applyBorder="0" applyAlignment="0" applyProtection="0"/>
    <xf numFmtId="0" fontId="10" fillId="77" borderId="0" applyNumberFormat="0" applyBorder="0" applyAlignment="0" applyProtection="0"/>
    <xf numFmtId="0" fontId="10" fillId="72" borderId="0" applyNumberFormat="0" applyBorder="0" applyAlignment="0" applyProtection="0"/>
    <xf numFmtId="0" fontId="10" fillId="73" borderId="0" applyNumberFormat="0" applyBorder="0" applyAlignment="0" applyProtection="0"/>
    <xf numFmtId="0" fontId="10" fillId="78" borderId="0" applyNumberFormat="0" applyBorder="0" applyAlignment="0" applyProtection="0"/>
    <xf numFmtId="0" fontId="14" fillId="62" borderId="0" applyNumberFormat="0" applyBorder="0" applyAlignment="0" applyProtection="0"/>
    <xf numFmtId="207" fontId="121" fillId="0" borderId="0" applyFill="0" applyBorder="0" applyAlignment="0"/>
    <xf numFmtId="0" fontId="18" fillId="79" borderId="2" applyNumberFormat="0" applyAlignment="0" applyProtection="0"/>
    <xf numFmtId="0" fontId="19" fillId="80" borderId="3" applyNumberFormat="0" applyAlignment="0" applyProtection="0"/>
    <xf numFmtId="43" fontId="3" fillId="0" borderId="0" applyFont="0" applyFill="0" applyBorder="0" applyAlignment="0" applyProtection="0"/>
    <xf numFmtId="186" fontId="25" fillId="0" borderId="0" applyFill="0" applyBorder="0" applyAlignment="0" applyProtection="0"/>
    <xf numFmtId="208" fontId="3" fillId="0" borderId="0" applyFill="0" applyBorder="0" applyAlignment="0" applyProtection="0"/>
    <xf numFmtId="208" fontId="25" fillId="0" borderId="0" applyFill="0" applyBorder="0" applyAlignment="0" applyProtection="0"/>
    <xf numFmtId="207" fontId="25" fillId="0" borderId="0" applyFill="0" applyBorder="0" applyAlignment="0" applyProtection="0"/>
    <xf numFmtId="187" fontId="25" fillId="79" borderId="0" applyBorder="0"/>
    <xf numFmtId="207" fontId="121" fillId="0" borderId="0" applyFill="0" applyBorder="0" applyAlignment="0"/>
    <xf numFmtId="209" fontId="121" fillId="0" borderId="0" applyFill="0" applyBorder="0" applyAlignment="0"/>
    <xf numFmtId="207" fontId="121" fillId="0" borderId="0" applyFill="0" applyBorder="0" applyAlignment="0"/>
    <xf numFmtId="210" fontId="25" fillId="0" borderId="0" applyFill="0" applyBorder="0" applyAlignment="0" applyProtection="0"/>
    <xf numFmtId="0" fontId="27" fillId="63" borderId="0" applyNumberFormat="0" applyBorder="0" applyAlignment="0" applyProtection="0"/>
    <xf numFmtId="0" fontId="28" fillId="79" borderId="0" applyNumberFormat="0" applyBorder="0" applyAlignment="0" applyProtection="0"/>
    <xf numFmtId="0" fontId="29" fillId="0" borderId="146" applyNumberFormat="0" applyAlignment="0" applyProtection="0"/>
    <xf numFmtId="0" fontId="29" fillId="0" borderId="147">
      <alignment horizontal="left" vertical="center"/>
    </xf>
    <xf numFmtId="0" fontId="28" fillId="81" borderId="0" applyNumberFormat="0" applyBorder="0" applyAlignment="0" applyProtection="0"/>
    <xf numFmtId="0" fontId="34" fillId="66" borderId="2" applyNumberFormat="0" applyAlignment="0" applyProtection="0"/>
    <xf numFmtId="207" fontId="121" fillId="0" borderId="0" applyFill="0" applyBorder="0" applyAlignment="0"/>
    <xf numFmtId="209" fontId="121" fillId="0" borderId="0" applyFill="0" applyBorder="0" applyAlignment="0"/>
    <xf numFmtId="207" fontId="121" fillId="0" borderId="0" applyFill="0" applyBorder="0" applyAlignment="0"/>
    <xf numFmtId="0" fontId="86" fillId="0" borderId="168" applyNumberFormat="0" applyFill="0" applyAlignment="0" applyProtection="0">
      <alignment vertical="center"/>
    </xf>
    <xf numFmtId="0" fontId="36" fillId="82" borderId="0" applyNumberFormat="0" applyBorder="0" applyAlignment="0" applyProtection="0"/>
    <xf numFmtId="212" fontId="3" fillId="0" borderId="0"/>
    <xf numFmtId="0" fontId="25" fillId="0" borderId="0"/>
    <xf numFmtId="0" fontId="41" fillId="0" borderId="0"/>
    <xf numFmtId="0" fontId="41" fillId="0" borderId="0"/>
    <xf numFmtId="0" fontId="41" fillId="0" borderId="0"/>
    <xf numFmtId="0" fontId="41" fillId="0" borderId="0"/>
    <xf numFmtId="0" fontId="41" fillId="0" borderId="0"/>
    <xf numFmtId="0" fontId="25" fillId="81" borderId="11" applyNumberFormat="0" applyAlignment="0" applyProtection="0"/>
    <xf numFmtId="0" fontId="46" fillId="79" borderId="12" applyNumberFormat="0" applyAlignment="0" applyProtection="0"/>
    <xf numFmtId="211" fontId="25" fillId="0" borderId="0" applyFill="0" applyBorder="0" applyAlignment="0" applyProtection="0"/>
    <xf numFmtId="197" fontId="25" fillId="0" borderId="0" applyFill="0" applyBorder="0" applyAlignment="0" applyProtection="0"/>
    <xf numFmtId="10" fontId="25" fillId="0" borderId="0" applyFill="0" applyBorder="0" applyAlignment="0" applyProtection="0"/>
    <xf numFmtId="9" fontId="25" fillId="0" borderId="0" applyFill="0" applyBorder="0" applyAlignment="0" applyProtection="0"/>
    <xf numFmtId="207" fontId="121" fillId="0" borderId="0" applyFill="0" applyBorder="0" applyAlignment="0"/>
    <xf numFmtId="209" fontId="121" fillId="0" borderId="0" applyFill="0" applyBorder="0" applyAlignment="0"/>
    <xf numFmtId="207" fontId="121" fillId="0" borderId="0" applyFill="0" applyBorder="0" applyAlignment="0"/>
    <xf numFmtId="0" fontId="25" fillId="0" borderId="0" applyNumberFormat="0" applyFill="0" applyBorder="0" applyAlignment="0" applyProtection="0"/>
    <xf numFmtId="15" fontId="25" fillId="0" borderId="0" applyFill="0" applyBorder="0" applyAlignment="0" applyProtection="0"/>
    <xf numFmtId="4" fontId="25" fillId="0" borderId="0" applyFill="0" applyBorder="0" applyAlignment="0" applyProtection="0"/>
    <xf numFmtId="0" fontId="48" fillId="0" borderId="148">
      <alignment horizontal="center"/>
    </xf>
    <xf numFmtId="3" fontId="25" fillId="0" borderId="0" applyFill="0" applyBorder="0" applyAlignment="0" applyProtection="0"/>
    <xf numFmtId="0" fontId="25" fillId="83" borderId="0" applyNumberFormat="0" applyBorder="0" applyAlignment="0" applyProtection="0"/>
    <xf numFmtId="211" fontId="23" fillId="0" borderId="0">
      <alignment horizontal="center"/>
    </xf>
    <xf numFmtId="213" fontId="121" fillId="0" borderId="0" applyFill="0" applyBorder="0" applyAlignment="0"/>
    <xf numFmtId="213" fontId="3" fillId="0" borderId="0" applyFill="0" applyBorder="0" applyAlignment="0"/>
    <xf numFmtId="0" fontId="3" fillId="0" borderId="0"/>
    <xf numFmtId="43" fontId="1" fillId="0" borderId="0" applyFont="0" applyFill="0" applyBorder="0" applyAlignment="0" applyProtection="0"/>
    <xf numFmtId="9" fontId="1" fillId="0" borderId="0" applyFont="0" applyFill="0" applyBorder="0" applyAlignment="0" applyProtection="0"/>
    <xf numFmtId="43" fontId="3" fillId="0" borderId="0" applyFill="0" applyBorder="0" applyAlignment="0"/>
    <xf numFmtId="43" fontId="3" fillId="0" borderId="0" applyFill="0" applyBorder="0" applyAlignment="0"/>
    <xf numFmtId="38" fontId="2" fillId="0" borderId="0" applyFont="0" applyFill="0" applyBorder="0" applyAlignment="0" applyProtection="0">
      <alignment vertical="center"/>
    </xf>
    <xf numFmtId="214" fontId="122" fillId="0" borderId="0">
      <alignment horizontal="left"/>
    </xf>
    <xf numFmtId="43" fontId="3" fillId="0" borderId="0" applyFont="0" applyFill="0" applyBorder="0" applyAlignment="0" applyProtection="0"/>
    <xf numFmtId="0" fontId="18" fillId="79" borderId="164" applyNumberFormat="0" applyAlignment="0" applyProtection="0"/>
    <xf numFmtId="0" fontId="120" fillId="0" borderId="0"/>
    <xf numFmtId="0" fontId="34" fillId="8" borderId="164" applyNumberFormat="0" applyAlignment="0" applyProtection="0"/>
    <xf numFmtId="0" fontId="34" fillId="8" borderId="164" applyNumberFormat="0" applyAlignment="0" applyProtection="0"/>
    <xf numFmtId="0" fontId="34" fillId="8" borderId="164" applyNumberFormat="0" applyAlignment="0" applyProtection="0"/>
    <xf numFmtId="0" fontId="34" fillId="8" borderId="164" applyNumberFormat="0" applyAlignment="0" applyProtection="0"/>
    <xf numFmtId="0" fontId="34" fillId="8" borderId="164" applyNumberFormat="0" applyAlignment="0" applyProtection="0"/>
    <xf numFmtId="0" fontId="1" fillId="0" borderId="0"/>
    <xf numFmtId="0" fontId="20" fillId="0" borderId="0">
      <alignment vertical="center"/>
    </xf>
    <xf numFmtId="0" fontId="2" fillId="0" borderId="0">
      <alignment vertical="center"/>
    </xf>
    <xf numFmtId="0" fontId="3" fillId="0" borderId="0"/>
    <xf numFmtId="0" fontId="29" fillId="0" borderId="165">
      <alignment horizontal="left" vertical="center"/>
    </xf>
    <xf numFmtId="0" fontId="74" fillId="29" borderId="167" applyNumberFormat="0" applyAlignment="0" applyProtection="0">
      <alignment vertical="center"/>
    </xf>
    <xf numFmtId="215" fontId="124" fillId="0" borderId="0" applyFont="0" applyFill="0" applyBorder="0" applyAlignment="0" applyProtection="0"/>
    <xf numFmtId="0" fontId="28" fillId="0" borderId="0" applyFont="0" applyFill="0" applyBorder="0" applyAlignment="0" applyProtection="0"/>
    <xf numFmtId="216" fontId="2" fillId="0" borderId="0" applyFont="0" applyFill="0" applyBorder="0" applyAlignment="0" applyProtection="0"/>
    <xf numFmtId="217" fontId="2" fillId="0" borderId="0" applyFont="0" applyFill="0" applyBorder="0" applyAlignment="0" applyProtection="0"/>
    <xf numFmtId="218" fontId="124" fillId="0" borderId="0" applyFont="0" applyFill="0" applyBorder="0" applyAlignment="0" applyProtection="0"/>
    <xf numFmtId="219" fontId="2" fillId="0" borderId="0" applyFont="0" applyFill="0" applyBorder="0" applyAlignment="0" applyProtection="0"/>
    <xf numFmtId="220" fontId="23" fillId="0" borderId="0" applyFont="0" applyFill="0" applyBorder="0" applyAlignment="0" applyProtection="0"/>
    <xf numFmtId="167" fontId="3" fillId="0" borderId="0" applyFont="0" applyFill="0" applyBorder="0" applyAlignment="0" applyProtection="0"/>
    <xf numFmtId="43" fontId="3" fillId="0" borderId="0" applyFont="0" applyFill="0" applyBorder="0" applyAlignment="0" applyProtection="0"/>
    <xf numFmtId="0" fontId="3" fillId="0" borderId="0"/>
    <xf numFmtId="0" fontId="125" fillId="0" borderId="0"/>
    <xf numFmtId="221" fontId="2" fillId="0" borderId="0" applyFont="0" applyFill="0" applyBorder="0" applyAlignment="0" applyProtection="0"/>
    <xf numFmtId="167" fontId="3" fillId="0" borderId="0" applyFont="0" applyFill="0" applyBorder="0" applyAlignment="0" applyProtection="0"/>
    <xf numFmtId="222" fontId="2" fillId="0" borderId="0" applyFont="0" applyFill="0" applyBorder="0" applyAlignment="0" applyProtection="0"/>
    <xf numFmtId="223" fontId="2" fillId="0" borderId="0" applyFont="0" applyFill="0" applyBorder="0" applyAlignment="0" applyProtection="0"/>
    <xf numFmtId="224" fontId="2" fillId="0" borderId="0" applyFont="0" applyFill="0" applyBorder="0" applyAlignment="0" applyProtection="0"/>
    <xf numFmtId="167" fontId="3" fillId="0" borderId="0" applyFont="0" applyFill="0" applyBorder="0" applyAlignment="0" applyProtection="0"/>
    <xf numFmtId="222" fontId="2" fillId="0" borderId="0" applyFont="0" applyFill="0" applyBorder="0" applyAlignment="0" applyProtection="0"/>
    <xf numFmtId="223" fontId="2" fillId="0" borderId="0" applyFont="0" applyFill="0" applyBorder="0" applyAlignment="0" applyProtection="0"/>
    <xf numFmtId="224" fontId="2" fillId="0" borderId="0" applyFont="0" applyFill="0" applyBorder="0" applyAlignment="0" applyProtection="0"/>
    <xf numFmtId="225" fontId="2" fillId="0" borderId="0" applyFont="0" applyFill="0" applyBorder="0" applyAlignment="0" applyProtection="0"/>
    <xf numFmtId="165" fontId="3" fillId="0" borderId="0" applyFont="0" applyFill="0" applyBorder="0" applyAlignment="0" applyProtection="0"/>
    <xf numFmtId="164" fontId="2" fillId="0" borderId="0" applyFont="0" applyFill="0" applyBorder="0" applyAlignment="0" applyProtection="0"/>
    <xf numFmtId="226" fontId="2" fillId="0" borderId="0" applyFont="0" applyFill="0" applyBorder="0" applyAlignment="0" applyProtection="0"/>
    <xf numFmtId="227" fontId="123" fillId="0" borderId="0" applyFont="0" applyFill="0" applyBorder="0" applyAlignment="0" applyProtection="0"/>
    <xf numFmtId="165" fontId="3" fillId="0" borderId="0" applyFont="0" applyFill="0" applyBorder="0" applyAlignment="0" applyProtection="0"/>
    <xf numFmtId="164" fontId="2" fillId="0" borderId="0" applyFont="0" applyFill="0" applyBorder="0" applyAlignment="0" applyProtection="0"/>
    <xf numFmtId="226" fontId="2" fillId="0" borderId="0" applyFont="0" applyFill="0" applyBorder="0" applyAlignment="0" applyProtection="0"/>
    <xf numFmtId="227" fontId="123" fillId="0" borderId="0" applyFont="0" applyFill="0" applyBorder="0" applyAlignment="0" applyProtection="0"/>
    <xf numFmtId="0" fontId="3" fillId="0" borderId="0"/>
    <xf numFmtId="228" fontId="2" fillId="0" borderId="0" applyFont="0" applyFill="0" applyBorder="0" applyAlignment="0" applyProtection="0"/>
    <xf numFmtId="0" fontId="28" fillId="0" borderId="0" applyFont="0" applyFill="0" applyBorder="0" applyAlignment="0" applyProtection="0"/>
    <xf numFmtId="40" fontId="124" fillId="0" borderId="0" applyFont="0" applyFill="0" applyBorder="0" applyAlignment="0" applyProtection="0"/>
    <xf numFmtId="228" fontId="2" fillId="0" borderId="0" applyFont="0" applyFill="0" applyBorder="0" applyAlignment="0" applyProtection="0"/>
    <xf numFmtId="229" fontId="2" fillId="0" borderId="0" applyFont="0" applyFill="0" applyBorder="0" applyAlignment="0" applyProtection="0"/>
    <xf numFmtId="230" fontId="23" fillId="0" borderId="0" applyFont="0" applyFill="0" applyBorder="0" applyAlignment="0" applyProtection="0"/>
    <xf numFmtId="231" fontId="126" fillId="0" borderId="0" applyFont="0" applyFill="0" applyBorder="0" applyAlignment="0" applyProtection="0"/>
    <xf numFmtId="231" fontId="126" fillId="0" borderId="0" applyFont="0" applyFill="0" applyBorder="0" applyAlignment="0" applyProtection="0"/>
    <xf numFmtId="232" fontId="126" fillId="0" borderId="0" applyFont="0" applyFill="0" applyBorder="0" applyAlignment="0" applyProtection="0"/>
    <xf numFmtId="228" fontId="2" fillId="0" borderId="0" applyFont="0" applyFill="0" applyBorder="0" applyAlignment="0" applyProtection="0"/>
    <xf numFmtId="228" fontId="2" fillId="0" borderId="0" applyFont="0" applyFill="0" applyBorder="0" applyAlignment="0" applyProtection="0"/>
    <xf numFmtId="228" fontId="2" fillId="0" borderId="0" applyFont="0" applyFill="0" applyBorder="0" applyAlignment="0" applyProtection="0"/>
    <xf numFmtId="233" fontId="2" fillId="0" borderId="0" applyFont="0" applyFill="0" applyBorder="0" applyAlignment="0" applyProtection="0"/>
    <xf numFmtId="234" fontId="2" fillId="0" borderId="0" applyFont="0" applyFill="0" applyBorder="0" applyAlignment="0" applyProtection="0"/>
    <xf numFmtId="0" fontId="127" fillId="0" borderId="40" applyBorder="0"/>
    <xf numFmtId="0" fontId="128" fillId="0" borderId="0">
      <alignment horizontal="center" wrapText="1"/>
      <protection locked="0"/>
    </xf>
    <xf numFmtId="0" fontId="129" fillId="0" borderId="0" applyNumberFormat="0" applyFill="0" applyBorder="0" applyProtection="0">
      <alignment horizontal="left"/>
    </xf>
    <xf numFmtId="0" fontId="130" fillId="0" borderId="0"/>
    <xf numFmtId="0" fontId="131" fillId="0" borderId="0" applyNumberFormat="0" applyFill="0" applyBorder="0" applyProtection="0">
      <alignment horizontal="right"/>
    </xf>
    <xf numFmtId="40" fontId="23" fillId="0" borderId="0" applyFont="0" applyFill="0" applyBorder="0" applyAlignment="0" applyProtection="0"/>
    <xf numFmtId="221" fontId="2" fillId="0" borderId="0">
      <alignment horizontal="center"/>
    </xf>
    <xf numFmtId="185" fontId="3" fillId="0" borderId="0" applyFont="0" applyFill="0" applyBorder="0" applyAlignment="0" applyProtection="0"/>
    <xf numFmtId="235" fontId="3" fillId="0" borderId="0" applyFont="0" applyFill="0" applyBorder="0" applyAlignment="0" applyProtection="0"/>
    <xf numFmtId="236" fontId="3" fillId="0" borderId="0" applyFont="0" applyFill="0" applyBorder="0" applyAlignment="0" applyProtection="0"/>
    <xf numFmtId="0" fontId="132" fillId="0" borderId="0" applyNumberFormat="0" applyFill="0" applyBorder="0" applyProtection="0">
      <alignment horizontal="left"/>
    </xf>
    <xf numFmtId="0" fontId="133" fillId="0" borderId="0" applyNumberFormat="0" applyFill="0" applyBorder="0" applyProtection="0">
      <alignment horizontal="right"/>
    </xf>
    <xf numFmtId="0" fontId="134" fillId="0" borderId="0" applyNumberFormat="0" applyFill="0" applyBorder="0" applyProtection="0">
      <alignment horizontal="right"/>
    </xf>
    <xf numFmtId="0" fontId="135" fillId="0" borderId="0">
      <alignment horizontal="left"/>
    </xf>
    <xf numFmtId="0" fontId="136" fillId="0" borderId="0" applyNumberFormat="0" applyFill="0" applyBorder="0" applyProtection="0">
      <alignment horizontal="left"/>
    </xf>
    <xf numFmtId="0" fontId="137" fillId="0" borderId="0" applyNumberFormat="0" applyFont="0" applyAlignment="0"/>
    <xf numFmtId="0" fontId="138" fillId="0" borderId="13"/>
    <xf numFmtId="165" fontId="3" fillId="0" borderId="0" applyFont="0" applyFill="0" applyBorder="0" applyAlignment="0" applyProtection="0"/>
    <xf numFmtId="167" fontId="3" fillId="0" borderId="0" applyFont="0" applyFill="0" applyBorder="0" applyAlignment="0" applyProtection="0"/>
    <xf numFmtId="165" fontId="3" fillId="0" borderId="0" applyFont="0" applyFill="0" applyBorder="0" applyAlignment="0" applyProtection="0"/>
    <xf numFmtId="167" fontId="3" fillId="0" borderId="0" applyFont="0" applyFill="0" applyBorder="0" applyAlignment="0" applyProtection="0"/>
    <xf numFmtId="0" fontId="3" fillId="0" borderId="0"/>
    <xf numFmtId="0" fontId="132" fillId="0" borderId="0" applyNumberFormat="0" applyFill="0" applyBorder="0" applyProtection="0">
      <alignment horizontal="left"/>
    </xf>
    <xf numFmtId="14" fontId="128" fillId="0" borderId="0">
      <alignment horizontal="center" wrapText="1"/>
      <protection locked="0"/>
    </xf>
    <xf numFmtId="9" fontId="23" fillId="0" borderId="0" applyFont="0" applyFill="0" applyBorder="0" applyAlignment="0" applyProtection="0"/>
    <xf numFmtId="10" fontId="23" fillId="0" borderId="0" applyFont="0" applyFill="0" applyBorder="0" applyAlignment="0" applyProtection="0"/>
    <xf numFmtId="0" fontId="139" fillId="0" borderId="0" applyNumberFormat="0" applyFill="0" applyBorder="0" applyProtection="0">
      <alignment horizontal="right"/>
    </xf>
    <xf numFmtId="4" fontId="140" fillId="0" borderId="0" applyFont="0" applyFill="0" applyBorder="0" applyProtection="0">
      <alignment horizontal="right"/>
    </xf>
    <xf numFmtId="0" fontId="138" fillId="0" borderId="0"/>
    <xf numFmtId="237" fontId="28" fillId="0" borderId="0" applyFont="0" applyFill="0" applyBorder="0" applyAlignment="0" applyProtection="0"/>
    <xf numFmtId="0" fontId="141" fillId="0" borderId="0" applyNumberFormat="0" applyFill="0" applyBorder="0" applyAlignment="0" applyProtection="0"/>
    <xf numFmtId="0" fontId="129" fillId="84" borderId="149" applyNumberFormat="0" applyAlignment="0" applyProtection="0"/>
    <xf numFmtId="0" fontId="142" fillId="0" borderId="0" applyNumberFormat="0" applyFill="0" applyBorder="0" applyProtection="0">
      <alignment horizontal="right"/>
    </xf>
    <xf numFmtId="238" fontId="3" fillId="0" borderId="0" applyFont="0" applyFill="0" applyBorder="0" applyAlignment="0" applyProtection="0"/>
    <xf numFmtId="239" fontId="3" fillId="0" borderId="0" applyFont="0" applyFill="0" applyBorder="0" applyAlignment="0" applyProtection="0"/>
    <xf numFmtId="0" fontId="93" fillId="0" borderId="0">
      <alignment horizontal="left"/>
    </xf>
    <xf numFmtId="238" fontId="3" fillId="0" borderId="0" applyFont="0" applyFill="0" applyBorder="0" applyAlignment="0" applyProtection="0"/>
    <xf numFmtId="239" fontId="3" fillId="0" borderId="0" applyFont="0" applyFill="0" applyBorder="0" applyAlignment="0" applyProtection="0"/>
    <xf numFmtId="240" fontId="3" fillId="0" borderId="0" applyFont="0" applyFill="0" applyBorder="0" applyAlignment="0" applyProtection="0"/>
    <xf numFmtId="241" fontId="3" fillId="0" borderId="0" applyFont="0" applyFill="0" applyBorder="0" applyAlignment="0" applyProtection="0"/>
    <xf numFmtId="0" fontId="143" fillId="0" borderId="0" applyNumberFormat="0" applyFill="0" applyBorder="0" applyAlignment="0" applyProtection="0"/>
    <xf numFmtId="0" fontId="144" fillId="0" borderId="0" applyNumberFormat="0" applyFill="0" applyBorder="0" applyAlignment="0" applyProtection="0"/>
    <xf numFmtId="0" fontId="145" fillId="0" borderId="0" applyNumberFormat="0" applyFill="0" applyBorder="0" applyAlignment="0" applyProtection="0"/>
    <xf numFmtId="0" fontId="20" fillId="0" borderId="0" applyNumberFormat="0" applyFill="0" applyBorder="0" applyAlignment="0" applyProtection="0">
      <alignment vertical="center"/>
    </xf>
    <xf numFmtId="0" fontId="146" fillId="0" borderId="0" applyNumberFormat="0" applyFill="0" applyBorder="0" applyAlignment="0" applyProtection="0">
      <alignment vertical="center"/>
    </xf>
    <xf numFmtId="0" fontId="147" fillId="0" borderId="0" applyNumberFormat="0" applyFill="0" applyBorder="0" applyAlignment="0" applyProtection="0">
      <alignment vertical="center"/>
    </xf>
    <xf numFmtId="221" fontId="2" fillId="0" borderId="0" applyFont="0" applyFill="0" applyBorder="0" applyAlignment="0" applyProtection="0"/>
    <xf numFmtId="225" fontId="2" fillId="0" borderId="0" applyFont="0" applyFill="0" applyBorder="0" applyAlignment="0" applyProtection="0"/>
    <xf numFmtId="242" fontId="143" fillId="0" borderId="0" applyFont="0" applyFill="0" applyBorder="0" applyAlignment="0" applyProtection="0"/>
    <xf numFmtId="243" fontId="2" fillId="0" borderId="0" applyFill="0" applyBorder="0" applyProtection="0">
      <alignment vertical="center"/>
    </xf>
    <xf numFmtId="0" fontId="148" fillId="0" borderId="0"/>
    <xf numFmtId="0" fontId="149" fillId="0" borderId="150" applyNumberFormat="0" applyFont="0">
      <alignment horizontal="center" vertical="center"/>
    </xf>
    <xf numFmtId="0" fontId="148" fillId="0" borderId="0" applyNumberFormat="0" applyFill="0" applyBorder="0" applyAlignment="0" applyProtection="0"/>
    <xf numFmtId="0" fontId="150" fillId="0" borderId="0" applyNumberFormat="0" applyFill="0" applyBorder="0" applyAlignment="0" applyProtection="0"/>
    <xf numFmtId="0" fontId="151" fillId="0" borderId="0" applyNumberFormat="0" applyFill="0" applyBorder="0" applyAlignment="0" applyProtection="0"/>
    <xf numFmtId="244" fontId="2" fillId="0" borderId="0" applyFont="0" applyFill="0" applyBorder="0" applyAlignment="0" applyProtection="0"/>
    <xf numFmtId="245" fontId="23" fillId="0" borderId="0" applyFont="0" applyFill="0" applyBorder="0" applyAlignment="0" applyProtection="0"/>
    <xf numFmtId="40" fontId="152" fillId="0" borderId="0" applyFont="0" applyFill="0" applyBorder="0" applyAlignment="0" applyProtection="0"/>
    <xf numFmtId="38" fontId="152" fillId="0" borderId="0" applyFont="0" applyFill="0" applyBorder="0" applyAlignment="0" applyProtection="0"/>
    <xf numFmtId="0" fontId="73" fillId="8" borderId="164" applyNumberFormat="0" applyAlignment="0" applyProtection="0">
      <alignment vertical="center"/>
    </xf>
    <xf numFmtId="0" fontId="1" fillId="0" borderId="0"/>
    <xf numFmtId="0" fontId="43" fillId="0" borderId="0"/>
    <xf numFmtId="43" fontId="43"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3" fillId="0" borderId="0"/>
    <xf numFmtId="43" fontId="3" fillId="0" borderId="0" applyFont="0" applyFill="0" applyBorder="0" applyAlignment="0" applyProtection="0"/>
    <xf numFmtId="41"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ill="0" applyBorder="0" applyAlignment="0" applyProtection="0"/>
    <xf numFmtId="0" fontId="29" fillId="0" borderId="151">
      <alignment horizontal="left" vertical="center"/>
    </xf>
    <xf numFmtId="0" fontId="34" fillId="8" borderId="152" applyNumberFormat="0" applyAlignment="0" applyProtection="0"/>
    <xf numFmtId="0" fontId="34" fillId="8" borderId="152" applyNumberFormat="0" applyAlignment="0" applyProtection="0"/>
    <xf numFmtId="0" fontId="34" fillId="8" borderId="152" applyNumberFormat="0" applyAlignment="0" applyProtection="0"/>
    <xf numFmtId="0" fontId="34" fillId="8" borderId="152" applyNumberFormat="0" applyAlignment="0" applyProtection="0"/>
    <xf numFmtId="0" fontId="34" fillId="8" borderId="152" applyNumberFormat="0" applyAlignment="0" applyProtection="0"/>
    <xf numFmtId="0" fontId="34" fillId="8" borderId="152" applyNumberFormat="0" applyAlignment="0" applyProtection="0"/>
    <xf numFmtId="0" fontId="82" fillId="29" borderId="164" applyNumberFormat="0" applyAlignment="0" applyProtection="0">
      <alignment vertical="center"/>
    </xf>
    <xf numFmtId="0" fontId="2" fillId="37" borderId="166" applyNumberFormat="0" applyFont="0" applyAlignment="0" applyProtection="0">
      <alignment vertical="center"/>
    </xf>
    <xf numFmtId="0" fontId="24" fillId="0" borderId="168" applyNumberFormat="0" applyFill="0" applyAlignment="0" applyProtection="0"/>
    <xf numFmtId="0" fontId="3" fillId="0" borderId="0"/>
    <xf numFmtId="0" fontId="7" fillId="37" borderId="153" applyNumberFormat="0" applyFont="0" applyAlignment="0" applyProtection="0"/>
    <xf numFmtId="0" fontId="46" fillId="29" borderId="154" applyNumberFormat="0" applyAlignment="0" applyProtection="0"/>
    <xf numFmtId="0" fontId="46" fillId="79" borderId="167" applyNumberFormat="0" applyAlignment="0" applyProtection="0"/>
    <xf numFmtId="0" fontId="25" fillId="81" borderId="166" applyNumberFormat="0" applyAlignment="0" applyProtection="0"/>
    <xf numFmtId="0" fontId="34" fillId="66" borderId="164" applyNumberFormat="0" applyAlignment="0" applyProtection="0"/>
    <xf numFmtId="0" fontId="24" fillId="0" borderId="155" applyNumberFormat="0" applyFill="0" applyAlignment="0" applyProtection="0"/>
    <xf numFmtId="0" fontId="2" fillId="37" borderId="153" applyNumberFormat="0" applyFont="0" applyAlignment="0" applyProtection="0">
      <alignment vertical="center"/>
    </xf>
    <xf numFmtId="0" fontId="73" fillId="8" borderId="152" applyNumberFormat="0" applyAlignment="0" applyProtection="0">
      <alignment vertical="center"/>
    </xf>
    <xf numFmtId="0" fontId="74" fillId="29" borderId="154" applyNumberFormat="0" applyAlignment="0" applyProtection="0">
      <alignment vertical="center"/>
    </xf>
    <xf numFmtId="0" fontId="82" fillId="29" borderId="152" applyNumberFormat="0" applyAlignment="0" applyProtection="0">
      <alignment vertical="center"/>
    </xf>
    <xf numFmtId="0" fontId="86" fillId="0" borderId="155" applyNumberFormat="0" applyFill="0" applyAlignment="0" applyProtection="0">
      <alignment vertical="center"/>
    </xf>
    <xf numFmtId="0" fontId="43" fillId="0" borderId="0"/>
    <xf numFmtId="0" fontId="43"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48" fillId="0" borderId="0" applyFont="0" applyFill="0" applyBorder="0" applyProtection="0">
      <alignment horizontal="right"/>
    </xf>
    <xf numFmtId="205" fontId="148" fillId="0" borderId="0" applyFont="0" applyFill="0" applyBorder="0" applyProtection="0">
      <alignment horizontal="right"/>
    </xf>
    <xf numFmtId="10" fontId="148" fillId="0" borderId="0" applyFont="0" applyFill="0" applyBorder="0" applyProtection="0">
      <alignment horizontal="right"/>
    </xf>
    <xf numFmtId="0" fontId="153" fillId="0" borderId="0" applyNumberFormat="0" applyFill="0" applyBorder="0" applyAlignment="0" applyProtection="0">
      <alignment vertical="top"/>
      <protection locked="0"/>
    </xf>
    <xf numFmtId="206" fontId="148" fillId="0" borderId="0" applyFont="0" applyFill="0" applyBorder="0" applyAlignment="0" applyProtection="0"/>
    <xf numFmtId="2" fontId="148" fillId="0" borderId="127" applyFont="0" applyBorder="0" applyAlignment="0" applyProtection="0">
      <alignment horizontal="right"/>
    </xf>
    <xf numFmtId="1" fontId="148" fillId="0" borderId="0" applyFont="0" applyFill="0" applyBorder="0" applyProtection="0">
      <alignment horizontal="right"/>
    </xf>
    <xf numFmtId="9" fontId="1" fillId="0" borderId="0" applyFont="0" applyFill="0" applyBorder="0" applyAlignment="0" applyProtection="0"/>
    <xf numFmtId="43" fontId="1" fillId="0" borderId="0" applyFont="0" applyFill="0" applyBorder="0" applyAlignment="0" applyProtection="0"/>
    <xf numFmtId="0" fontId="3" fillId="0" borderId="0"/>
    <xf numFmtId="43" fontId="3" fillId="0" borderId="0" applyFont="0" applyFill="0" applyBorder="0" applyAlignment="0" applyProtection="0"/>
    <xf numFmtId="0" fontId="18" fillId="79" borderId="157" applyNumberFormat="0" applyAlignment="0" applyProtection="0"/>
    <xf numFmtId="43" fontId="3" fillId="0" borderId="0" applyFont="0" applyFill="0" applyBorder="0" applyAlignment="0" applyProtection="0"/>
    <xf numFmtId="208" fontId="3" fillId="0" borderId="0" applyFill="0" applyBorder="0" applyAlignment="0" applyProtection="0"/>
    <xf numFmtId="0" fontId="29" fillId="0" borderId="158">
      <alignment horizontal="left" vertical="center"/>
    </xf>
    <xf numFmtId="0" fontId="34" fillId="66" borderId="157" applyNumberFormat="0" applyAlignment="0" applyProtection="0"/>
    <xf numFmtId="212" fontId="3" fillId="0" borderId="0"/>
    <xf numFmtId="0" fontId="3" fillId="0" borderId="0"/>
    <xf numFmtId="0" fontId="25" fillId="81" borderId="159" applyNumberFormat="0" applyAlignment="0" applyProtection="0"/>
    <xf numFmtId="0" fontId="46" fillId="79" borderId="160" applyNumberFormat="0" applyAlignment="0" applyProtection="0"/>
    <xf numFmtId="213" fontId="3" fillId="0" borderId="0" applyFill="0" applyBorder="0" applyAlignment="0"/>
    <xf numFmtId="0" fontId="24" fillId="0" borderId="161" applyNumberFormat="0" applyFill="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43" fontId="3" fillId="0" borderId="0" applyFill="0" applyBorder="0" applyAlignment="0"/>
    <xf numFmtId="43" fontId="3" fillId="0" borderId="0" applyFill="0" applyBorder="0" applyAlignment="0"/>
    <xf numFmtId="0" fontId="2" fillId="37" borderId="159" applyNumberFormat="0" applyFont="0" applyAlignment="0" applyProtection="0">
      <alignment vertical="center"/>
    </xf>
    <xf numFmtId="0" fontId="73" fillId="8" borderId="157" applyNumberFormat="0" applyAlignment="0" applyProtection="0">
      <alignment vertical="center"/>
    </xf>
    <xf numFmtId="0" fontId="74" fillId="29" borderId="160" applyNumberFormat="0" applyAlignment="0" applyProtection="0">
      <alignment vertical="center"/>
    </xf>
    <xf numFmtId="0" fontId="82" fillId="29" borderId="157" applyNumberFormat="0" applyAlignment="0" applyProtection="0">
      <alignment vertical="center"/>
    </xf>
    <xf numFmtId="0" fontId="86" fillId="0" borderId="161" applyNumberFormat="0" applyFill="0" applyAlignment="0" applyProtection="0">
      <alignment vertical="center"/>
    </xf>
    <xf numFmtId="0" fontId="1" fillId="0" borderId="0"/>
    <xf numFmtId="0" fontId="34" fillId="8" borderId="157" applyNumberFormat="0" applyAlignment="0" applyProtection="0"/>
    <xf numFmtId="0" fontId="34" fillId="8" borderId="157" applyNumberFormat="0" applyAlignment="0" applyProtection="0"/>
    <xf numFmtId="0" fontId="34" fillId="8" borderId="157" applyNumberFormat="0" applyAlignment="0" applyProtection="0"/>
    <xf numFmtId="0" fontId="34" fillId="8" borderId="157" applyNumberFormat="0" applyAlignment="0" applyProtection="0"/>
    <xf numFmtId="0" fontId="34" fillId="8" borderId="157" applyNumberFormat="0" applyAlignment="0" applyProtection="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1" fillId="0" borderId="0"/>
    <xf numFmtId="0" fontId="1" fillId="0" borderId="0"/>
    <xf numFmtId="43" fontId="43"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0" fontId="29" fillId="0" borderId="163">
      <alignment horizontal="left" vertical="center"/>
    </xf>
    <xf numFmtId="0" fontId="18" fillId="29" borderId="157" applyNumberFormat="0" applyAlignment="0" applyProtection="0"/>
    <xf numFmtId="41"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ill="0" applyBorder="0" applyAlignment="0" applyProtection="0"/>
    <xf numFmtId="0" fontId="29" fillId="0" borderId="156">
      <alignment horizontal="left" vertical="center"/>
    </xf>
    <xf numFmtId="0" fontId="34" fillId="8" borderId="157" applyNumberFormat="0" applyAlignment="0" applyProtection="0"/>
    <xf numFmtId="0" fontId="34" fillId="8" borderId="157" applyNumberFormat="0" applyAlignment="0" applyProtection="0"/>
    <xf numFmtId="0" fontId="34" fillId="8" borderId="157" applyNumberFormat="0" applyAlignment="0" applyProtection="0"/>
    <xf numFmtId="0" fontId="34" fillId="8" borderId="157" applyNumberFormat="0" applyAlignment="0" applyProtection="0"/>
    <xf numFmtId="0" fontId="34" fillId="8" borderId="157" applyNumberFormat="0" applyAlignment="0" applyProtection="0"/>
    <xf numFmtId="0" fontId="34" fillId="8" borderId="157"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37" borderId="159" applyNumberFormat="0" applyFont="0" applyAlignment="0" applyProtection="0"/>
    <xf numFmtId="0" fontId="46" fillId="29" borderId="160" applyNumberForma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4" fillId="0" borderId="161" applyNumberFormat="0" applyFill="0" applyAlignment="0" applyProtection="0"/>
    <xf numFmtId="0" fontId="2" fillId="37" borderId="159" applyNumberFormat="0" applyFont="0" applyAlignment="0" applyProtection="0">
      <alignment vertical="center"/>
    </xf>
    <xf numFmtId="0" fontId="73" fillId="8" borderId="157" applyNumberFormat="0" applyAlignment="0" applyProtection="0">
      <alignment vertical="center"/>
    </xf>
    <xf numFmtId="0" fontId="74" fillId="29" borderId="160" applyNumberFormat="0" applyAlignment="0" applyProtection="0">
      <alignment vertical="center"/>
    </xf>
    <xf numFmtId="0" fontId="82" fillId="29" borderId="157" applyNumberFormat="0" applyAlignment="0" applyProtection="0">
      <alignment vertical="center"/>
    </xf>
    <xf numFmtId="0" fontId="86" fillId="0" borderId="161" applyNumberFormat="0" applyFill="0" applyAlignment="0" applyProtection="0">
      <alignment vertical="center"/>
    </xf>
    <xf numFmtId="0" fontId="43" fillId="0" borderId="0"/>
    <xf numFmtId="0" fontId="1" fillId="0" borderId="0"/>
    <xf numFmtId="9" fontId="1" fillId="0" borderId="0" applyFont="0" applyFill="0" applyBorder="0" applyAlignment="0" applyProtection="0"/>
    <xf numFmtId="0" fontId="43"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2" fontId="148" fillId="0" borderId="162" applyFont="0" applyBorder="0" applyAlignment="0" applyProtection="0">
      <alignment horizontal="right"/>
    </xf>
    <xf numFmtId="0" fontId="1" fillId="0" borderId="0"/>
    <xf numFmtId="9"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0" fontId="1" fillId="0" borderId="0"/>
    <xf numFmtId="0" fontId="1" fillId="0" borderId="0"/>
    <xf numFmtId="0" fontId="1" fillId="0" borderId="0"/>
    <xf numFmtId="0" fontId="154" fillId="0" borderId="0" applyNumberFormat="0" applyFill="0" applyBorder="0" applyAlignment="0" applyProtection="0"/>
    <xf numFmtId="9" fontId="120"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49" fillId="0" borderId="170" applyNumberFormat="0" applyFont="0">
      <alignment horizontal="center" vertical="center"/>
    </xf>
    <xf numFmtId="0" fontId="18" fillId="29" borderId="164" applyNumberFormat="0" applyAlignment="0" applyProtection="0"/>
    <xf numFmtId="0" fontId="29" fillId="0" borderId="171">
      <alignment horizontal="left" vertical="center"/>
    </xf>
    <xf numFmtId="0" fontId="34" fillId="8" borderId="172" applyNumberFormat="0" applyAlignment="0" applyProtection="0"/>
    <xf numFmtId="0" fontId="34" fillId="8" borderId="172" applyNumberFormat="0" applyAlignment="0" applyProtection="0"/>
    <xf numFmtId="0" fontId="34" fillId="8" borderId="172" applyNumberFormat="0" applyAlignment="0" applyProtection="0"/>
    <xf numFmtId="0" fontId="34" fillId="8" borderId="172" applyNumberFormat="0" applyAlignment="0" applyProtection="0"/>
    <xf numFmtId="0" fontId="34" fillId="8" borderId="172" applyNumberFormat="0" applyAlignment="0" applyProtection="0"/>
    <xf numFmtId="0" fontId="34" fillId="8" borderId="172" applyNumberFormat="0" applyAlignment="0" applyProtection="0"/>
    <xf numFmtId="0" fontId="7" fillId="37" borderId="173" applyNumberFormat="0" applyFont="0" applyAlignment="0" applyProtection="0"/>
    <xf numFmtId="0" fontId="46" fillId="29" borderId="174" applyNumberFormat="0" applyAlignment="0" applyProtection="0"/>
    <xf numFmtId="0" fontId="24" fillId="0" borderId="175" applyNumberFormat="0" applyFill="0" applyAlignment="0" applyProtection="0"/>
    <xf numFmtId="0" fontId="2" fillId="37" borderId="173" applyNumberFormat="0" applyFont="0" applyAlignment="0" applyProtection="0">
      <alignment vertical="center"/>
    </xf>
    <xf numFmtId="0" fontId="73" fillId="8" borderId="172" applyNumberFormat="0" applyAlignment="0" applyProtection="0">
      <alignment vertical="center"/>
    </xf>
    <xf numFmtId="0" fontId="74" fillId="29" borderId="174" applyNumberFormat="0" applyAlignment="0" applyProtection="0">
      <alignment vertical="center"/>
    </xf>
    <xf numFmtId="0" fontId="82" fillId="29" borderId="172" applyNumberFormat="0" applyAlignment="0" applyProtection="0">
      <alignment vertical="center"/>
    </xf>
    <xf numFmtId="0" fontId="86" fillId="0" borderId="175" applyNumberFormat="0" applyFill="0" applyAlignment="0" applyProtection="0">
      <alignment vertical="center"/>
    </xf>
    <xf numFmtId="2" fontId="148" fillId="0" borderId="176" applyFont="0" applyBorder="0" applyAlignment="0" applyProtection="0">
      <alignment horizontal="right"/>
    </xf>
    <xf numFmtId="0" fontId="18" fillId="79" borderId="172" applyNumberFormat="0" applyAlignment="0" applyProtection="0"/>
    <xf numFmtId="0" fontId="29" fillId="0" borderId="177">
      <alignment horizontal="left" vertical="center"/>
    </xf>
    <xf numFmtId="0" fontId="34" fillId="66" borderId="172" applyNumberFormat="0" applyAlignment="0" applyProtection="0"/>
    <xf numFmtId="0" fontId="25" fillId="81" borderId="173" applyNumberFormat="0" applyAlignment="0" applyProtection="0"/>
    <xf numFmtId="0" fontId="46" fillId="79" borderId="174" applyNumberFormat="0" applyAlignment="0" applyProtection="0"/>
    <xf numFmtId="0" fontId="24" fillId="0" borderId="175" applyNumberFormat="0" applyFill="0" applyAlignment="0" applyProtection="0"/>
    <xf numFmtId="0" fontId="2" fillId="37" borderId="173" applyNumberFormat="0" applyFont="0" applyAlignment="0" applyProtection="0">
      <alignment vertical="center"/>
    </xf>
    <xf numFmtId="0" fontId="73" fillId="8" borderId="172" applyNumberFormat="0" applyAlignment="0" applyProtection="0">
      <alignment vertical="center"/>
    </xf>
    <xf numFmtId="0" fontId="74" fillId="29" borderId="174" applyNumberFormat="0" applyAlignment="0" applyProtection="0">
      <alignment vertical="center"/>
    </xf>
    <xf numFmtId="0" fontId="82" fillId="29" borderId="172" applyNumberFormat="0" applyAlignment="0" applyProtection="0">
      <alignment vertical="center"/>
    </xf>
    <xf numFmtId="0" fontId="86" fillId="0" borderId="175" applyNumberFormat="0" applyFill="0" applyAlignment="0" applyProtection="0">
      <alignment vertical="center"/>
    </xf>
    <xf numFmtId="0" fontId="34" fillId="8" borderId="172" applyNumberFormat="0" applyAlignment="0" applyProtection="0"/>
    <xf numFmtId="0" fontId="34" fillId="8" borderId="172" applyNumberFormat="0" applyAlignment="0" applyProtection="0"/>
    <xf numFmtId="0" fontId="34" fillId="8" borderId="172" applyNumberFormat="0" applyAlignment="0" applyProtection="0"/>
    <xf numFmtId="0" fontId="34" fillId="8" borderId="172" applyNumberFormat="0" applyAlignment="0" applyProtection="0"/>
    <xf numFmtId="0" fontId="34" fillId="8" borderId="172" applyNumberFormat="0" applyAlignment="0" applyProtection="0"/>
    <xf numFmtId="0" fontId="29" fillId="0" borderId="171">
      <alignment horizontal="left" vertical="center"/>
    </xf>
    <xf numFmtId="0" fontId="18" fillId="29" borderId="172" applyNumberFormat="0" applyAlignment="0" applyProtection="0"/>
    <xf numFmtId="0" fontId="29" fillId="0" borderId="171">
      <alignment horizontal="left" vertical="center"/>
    </xf>
    <xf numFmtId="0" fontId="34" fillId="8" borderId="172" applyNumberFormat="0" applyAlignment="0" applyProtection="0"/>
    <xf numFmtId="0" fontId="34" fillId="8" borderId="172" applyNumberFormat="0" applyAlignment="0" applyProtection="0"/>
    <xf numFmtId="0" fontId="34" fillId="8" borderId="172" applyNumberFormat="0" applyAlignment="0" applyProtection="0"/>
    <xf numFmtId="0" fontId="34" fillId="8" borderId="172" applyNumberFormat="0" applyAlignment="0" applyProtection="0"/>
    <xf numFmtId="0" fontId="34" fillId="8" borderId="172" applyNumberFormat="0" applyAlignment="0" applyProtection="0"/>
    <xf numFmtId="0" fontId="34" fillId="8" borderId="172" applyNumberFormat="0" applyAlignment="0" applyProtection="0"/>
    <xf numFmtId="0" fontId="7" fillId="37" borderId="173" applyNumberFormat="0" applyFont="0" applyAlignment="0" applyProtection="0"/>
    <xf numFmtId="0" fontId="46" fillId="29" borderId="174" applyNumberFormat="0" applyAlignment="0" applyProtection="0"/>
    <xf numFmtId="0" fontId="24" fillId="0" borderId="175" applyNumberFormat="0" applyFill="0" applyAlignment="0" applyProtection="0"/>
    <xf numFmtId="0" fontId="2" fillId="37" borderId="173" applyNumberFormat="0" applyFont="0" applyAlignment="0" applyProtection="0">
      <alignment vertical="center"/>
    </xf>
    <xf numFmtId="0" fontId="73" fillId="8" borderId="172" applyNumberFormat="0" applyAlignment="0" applyProtection="0">
      <alignment vertical="center"/>
    </xf>
    <xf numFmtId="0" fontId="74" fillId="29" borderId="174" applyNumberFormat="0" applyAlignment="0" applyProtection="0">
      <alignment vertical="center"/>
    </xf>
    <xf numFmtId="0" fontId="82" fillId="29" borderId="172" applyNumberFormat="0" applyAlignment="0" applyProtection="0">
      <alignment vertical="center"/>
    </xf>
    <xf numFmtId="0" fontId="86" fillId="0" borderId="175" applyNumberFormat="0" applyFill="0" applyAlignment="0" applyProtection="0">
      <alignment vertical="center"/>
    </xf>
    <xf numFmtId="2" fontId="148" fillId="0" borderId="176" applyFont="0" applyBorder="0" applyAlignment="0" applyProtection="0">
      <alignment horizontal="right"/>
    </xf>
    <xf numFmtId="9" fontId="120" fillId="0" borderId="0" applyFont="0" applyFill="0" applyBorder="0" applyAlignment="0" applyProtection="0"/>
    <xf numFmtId="0" fontId="120" fillId="0" borderId="0"/>
    <xf numFmtId="0" fontId="46" fillId="79" borderId="208" applyNumberFormat="0" applyAlignment="0" applyProtection="0"/>
    <xf numFmtId="0" fontId="74" fillId="29" borderId="200" applyNumberFormat="0" applyAlignment="0" applyProtection="0">
      <alignment vertical="center"/>
    </xf>
    <xf numFmtId="0" fontId="34" fillId="8" borderId="192" applyNumberFormat="0" applyAlignment="0" applyProtection="0"/>
    <xf numFmtId="0" fontId="34" fillId="8" borderId="192" applyNumberFormat="0" applyAlignment="0" applyProtection="0"/>
    <xf numFmtId="0" fontId="7" fillId="37" borderId="194" applyNumberFormat="0" applyFont="0" applyAlignment="0" applyProtection="0"/>
    <xf numFmtId="0" fontId="34" fillId="66" borderId="192" applyNumberFormat="0" applyAlignment="0" applyProtection="0"/>
    <xf numFmtId="0" fontId="25" fillId="81" borderId="194" applyNumberFormat="0" applyAlignment="0" applyProtection="0"/>
    <xf numFmtId="2" fontId="148" fillId="0" borderId="202" applyFont="0" applyBorder="0" applyAlignment="0" applyProtection="0">
      <alignment horizontal="right"/>
    </xf>
    <xf numFmtId="9" fontId="3" fillId="0" borderId="0" applyFont="0" applyFill="0" applyBorder="0" applyAlignment="0" applyProtection="0"/>
    <xf numFmtId="0" fontId="86" fillId="0" borderId="189" applyNumberFormat="0" applyFill="0" applyAlignment="0" applyProtection="0">
      <alignment vertical="center"/>
    </xf>
    <xf numFmtId="0" fontId="24" fillId="0" borderId="189" applyNumberFormat="0" applyFill="0" applyAlignment="0" applyProtection="0"/>
    <xf numFmtId="0" fontId="7" fillId="37" borderId="187" applyNumberFormat="0" applyFont="0" applyAlignment="0" applyProtection="0"/>
    <xf numFmtId="2" fontId="148" fillId="0" borderId="210" applyFont="0" applyBorder="0" applyAlignment="0" applyProtection="0">
      <alignment horizontal="right"/>
    </xf>
    <xf numFmtId="0" fontId="34" fillId="8" borderId="185" applyNumberFormat="0" applyAlignment="0" applyProtection="0"/>
    <xf numFmtId="0" fontId="34" fillId="8" borderId="185" applyNumberFormat="0" applyAlignment="0" applyProtection="0"/>
    <xf numFmtId="0" fontId="34" fillId="8" borderId="205" applyNumberFormat="0" applyAlignment="0" applyProtection="0"/>
    <xf numFmtId="43" fontId="3" fillId="0" borderId="0" applyFont="0" applyFill="0" applyBorder="0" applyAlignment="0" applyProtection="0"/>
    <xf numFmtId="0" fontId="34" fillId="8" borderId="205" applyNumberFormat="0" applyAlignment="0" applyProtection="0"/>
    <xf numFmtId="9" fontId="3" fillId="0" borderId="0" applyFont="0" applyFill="0" applyBorder="0" applyAlignment="0" applyProtection="0"/>
    <xf numFmtId="0" fontId="7" fillId="37" borderId="207" applyNumberFormat="0" applyFont="0" applyAlignment="0" applyProtection="0"/>
    <xf numFmtId="0" fontId="34" fillId="8" borderId="205" applyNumberFormat="0" applyAlignment="0" applyProtection="0"/>
    <xf numFmtId="0" fontId="25" fillId="81" borderId="207" applyNumberFormat="0" applyAlignment="0" applyProtection="0"/>
    <xf numFmtId="0" fontId="7" fillId="37" borderId="207" applyNumberFormat="0" applyFont="0" applyAlignment="0" applyProtection="0"/>
    <xf numFmtId="0" fontId="34" fillId="8" borderId="192" applyNumberFormat="0" applyAlignment="0" applyProtection="0"/>
    <xf numFmtId="0" fontId="18" fillId="79" borderId="192" applyNumberFormat="0" applyAlignment="0" applyProtection="0"/>
    <xf numFmtId="0" fontId="24" fillId="0" borderId="196" applyNumberFormat="0" applyFill="0" applyAlignment="0" applyProtection="0"/>
    <xf numFmtId="0" fontId="18" fillId="29" borderId="192" applyNumberFormat="0" applyAlignment="0" applyProtection="0"/>
    <xf numFmtId="0" fontId="34" fillId="8" borderId="192" applyNumberFormat="0" applyAlignment="0" applyProtection="0"/>
    <xf numFmtId="2" fontId="148" fillId="0" borderId="190" applyFont="0" applyBorder="0" applyAlignment="0" applyProtection="0">
      <alignment horizontal="right"/>
    </xf>
    <xf numFmtId="43" fontId="3" fillId="0" borderId="0" applyFill="0" applyBorder="0" applyAlignment="0"/>
    <xf numFmtId="0" fontId="82" fillId="29" borderId="198" applyNumberFormat="0" applyAlignment="0" applyProtection="0">
      <alignment vertical="center"/>
    </xf>
    <xf numFmtId="43" fontId="3" fillId="0" borderId="0" applyFill="0" applyBorder="0" applyAlignment="0"/>
    <xf numFmtId="0" fontId="18" fillId="29" borderId="185" applyNumberFormat="0" applyAlignment="0" applyProtection="0"/>
    <xf numFmtId="0" fontId="24" fillId="0" borderId="209" applyNumberFormat="0" applyFill="0" applyAlignment="0" applyProtection="0"/>
    <xf numFmtId="0" fontId="34" fillId="8" borderId="185" applyNumberFormat="0" applyAlignment="0" applyProtection="0"/>
    <xf numFmtId="0" fontId="34" fillId="8" borderId="185" applyNumberFormat="0" applyAlignment="0" applyProtection="0"/>
    <xf numFmtId="0" fontId="82" fillId="29" borderId="185" applyNumberFormat="0" applyAlignment="0" applyProtection="0">
      <alignment vertical="center"/>
    </xf>
    <xf numFmtId="0" fontId="2" fillId="37" borderId="187" applyNumberFormat="0" applyFont="0" applyAlignment="0" applyProtection="0">
      <alignment vertical="center"/>
    </xf>
    <xf numFmtId="0" fontId="24" fillId="0" borderId="201" applyNumberFormat="0" applyFill="0" applyAlignment="0" applyProtection="0"/>
    <xf numFmtId="0" fontId="82" fillId="29" borderId="198" applyNumberFormat="0" applyAlignment="0" applyProtection="0">
      <alignment vertical="center"/>
    </xf>
    <xf numFmtId="0" fontId="34" fillId="8" borderId="198" applyNumberFormat="0" applyAlignment="0" applyProtection="0"/>
    <xf numFmtId="0" fontId="29" fillId="0" borderId="206">
      <alignment horizontal="left" vertical="center"/>
    </xf>
    <xf numFmtId="0" fontId="34" fillId="66" borderId="205" applyNumberFormat="0" applyAlignment="0" applyProtection="0"/>
    <xf numFmtId="0" fontId="82" fillId="29" borderId="205" applyNumberFormat="0" applyAlignment="0" applyProtection="0">
      <alignment vertical="center"/>
    </xf>
    <xf numFmtId="0" fontId="34" fillId="8" borderId="198" applyNumberFormat="0" applyAlignment="0" applyProtection="0"/>
    <xf numFmtId="0" fontId="34" fillId="8" borderId="198" applyNumberFormat="0" applyAlignment="0" applyProtection="0"/>
    <xf numFmtId="0" fontId="73" fillId="8" borderId="192" applyNumberFormat="0" applyAlignment="0" applyProtection="0">
      <alignment vertical="center"/>
    </xf>
    <xf numFmtId="0" fontId="74" fillId="29" borderId="195" applyNumberFormat="0" applyAlignment="0" applyProtection="0">
      <alignment vertical="center"/>
    </xf>
    <xf numFmtId="0" fontId="82" fillId="29" borderId="192" applyNumberFormat="0" applyAlignment="0" applyProtection="0">
      <alignment vertical="center"/>
    </xf>
    <xf numFmtId="0" fontId="86" fillId="0" borderId="196" applyNumberFormat="0" applyFill="0" applyAlignment="0" applyProtection="0">
      <alignment vertical="center"/>
    </xf>
    <xf numFmtId="0" fontId="34" fillId="8" borderId="192" applyNumberFormat="0" applyAlignment="0" applyProtection="0"/>
    <xf numFmtId="0" fontId="34" fillId="8" borderId="192" applyNumberFormat="0" applyAlignment="0" applyProtection="0"/>
    <xf numFmtId="0" fontId="34" fillId="8" borderId="192" applyNumberFormat="0" applyAlignment="0" applyProtection="0"/>
    <xf numFmtId="0" fontId="34" fillId="8" borderId="192" applyNumberFormat="0" applyAlignment="0" applyProtection="0"/>
    <xf numFmtId="0" fontId="34" fillId="8" borderId="192" applyNumberFormat="0" applyAlignment="0" applyProtection="0"/>
    <xf numFmtId="0" fontId="24" fillId="0" borderId="209" applyNumberFormat="0" applyFill="0" applyAlignment="0" applyProtection="0"/>
    <xf numFmtId="0" fontId="34" fillId="8" borderId="198" applyNumberFormat="0" applyAlignment="0" applyProtection="0"/>
    <xf numFmtId="0" fontId="34" fillId="8" borderId="198" applyNumberFormat="0" applyAlignment="0" applyProtection="0"/>
    <xf numFmtId="0" fontId="120" fillId="0" borderId="0"/>
    <xf numFmtId="0" fontId="34" fillId="8" borderId="198" applyNumberFormat="0" applyAlignment="0" applyProtection="0"/>
    <xf numFmtId="0" fontId="34" fillId="8" borderId="198" applyNumberFormat="0" applyAlignment="0" applyProtection="0"/>
    <xf numFmtId="0" fontId="46" fillId="79" borderId="200" applyNumberFormat="0" applyAlignment="0" applyProtection="0"/>
    <xf numFmtId="43" fontId="3" fillId="0" borderId="0" applyFont="0" applyFill="0" applyBorder="0" applyAlignment="0" applyProtection="0"/>
    <xf numFmtId="0" fontId="18" fillId="79" borderId="205" applyNumberFormat="0" applyAlignment="0" applyProtection="0"/>
    <xf numFmtId="0" fontId="74" fillId="29" borderId="208" applyNumberFormat="0" applyAlignment="0" applyProtection="0">
      <alignment vertical="center"/>
    </xf>
    <xf numFmtId="0" fontId="74" fillId="29" borderId="188" applyNumberFormat="0" applyAlignment="0" applyProtection="0">
      <alignment vertical="center"/>
    </xf>
    <xf numFmtId="0" fontId="73" fillId="8" borderId="185" applyNumberFormat="0" applyAlignment="0" applyProtection="0">
      <alignment vertical="center"/>
    </xf>
    <xf numFmtId="0" fontId="2" fillId="37" borderId="187" applyNumberFormat="0" applyFont="0" applyAlignment="0" applyProtection="0">
      <alignment vertical="center"/>
    </xf>
    <xf numFmtId="0" fontId="120" fillId="0" borderId="0"/>
    <xf numFmtId="0" fontId="46" fillId="29" borderId="188" applyNumberFormat="0" applyAlignment="0" applyProtection="0"/>
    <xf numFmtId="0" fontId="34" fillId="8" borderId="185" applyNumberFormat="0" applyAlignment="0" applyProtection="0"/>
    <xf numFmtId="0" fontId="24" fillId="0" borderId="189" applyNumberFormat="0" applyFill="0" applyAlignment="0" applyProtection="0"/>
    <xf numFmtId="0" fontId="46" fillId="79" borderId="188" applyNumberFormat="0" applyAlignment="0" applyProtection="0"/>
    <xf numFmtId="0" fontId="86" fillId="0" borderId="201" applyNumberFormat="0" applyFill="0" applyAlignment="0" applyProtection="0">
      <alignment vertical="center"/>
    </xf>
    <xf numFmtId="0" fontId="2" fillId="37" borderId="207" applyNumberFormat="0" applyFont="0" applyAlignment="0" applyProtection="0">
      <alignment vertical="center"/>
    </xf>
    <xf numFmtId="0" fontId="24" fillId="0" borderId="209" applyNumberFormat="0" applyFill="0" applyAlignment="0" applyProtection="0"/>
    <xf numFmtId="0" fontId="25" fillId="81" borderId="207" applyNumberFormat="0" applyAlignment="0" applyProtection="0"/>
    <xf numFmtId="0" fontId="25" fillId="81" borderId="207" applyNumberFormat="0" applyAlignment="0" applyProtection="0"/>
    <xf numFmtId="0" fontId="73" fillId="8" borderId="205" applyNumberFormat="0" applyAlignment="0" applyProtection="0">
      <alignment vertical="center"/>
    </xf>
    <xf numFmtId="0" fontId="34" fillId="8" borderId="205" applyNumberFormat="0" applyAlignment="0" applyProtection="0"/>
    <xf numFmtId="0" fontId="29" fillId="0" borderId="211">
      <alignment horizontal="left" vertical="center"/>
    </xf>
    <xf numFmtId="0" fontId="34" fillId="8" borderId="205" applyNumberFormat="0" applyAlignment="0" applyProtection="0"/>
    <xf numFmtId="0" fontId="34" fillId="8" borderId="198" applyNumberFormat="0" applyAlignment="0" applyProtection="0"/>
    <xf numFmtId="2" fontId="148" fillId="0" borderId="202" applyFont="0" applyBorder="0" applyAlignment="0" applyProtection="0">
      <alignment horizontal="right"/>
    </xf>
    <xf numFmtId="0" fontId="34" fillId="8" borderId="198" applyNumberFormat="0" applyAlignment="0" applyProtection="0"/>
    <xf numFmtId="2" fontId="148" fillId="0" borderId="178" applyFont="0" applyBorder="0" applyAlignment="0" applyProtection="0">
      <alignment horizontal="right"/>
    </xf>
    <xf numFmtId="0" fontId="34" fillId="66" borderId="185" applyNumberFormat="0" applyAlignment="0" applyProtection="0"/>
    <xf numFmtId="0" fontId="24" fillId="0" borderId="201" applyNumberFormat="0" applyFill="0" applyAlignment="0" applyProtection="0"/>
    <xf numFmtId="43" fontId="3" fillId="0" borderId="0" applyFont="0" applyFill="0" applyBorder="0" applyAlignment="0" applyProtection="0"/>
    <xf numFmtId="0" fontId="18" fillId="79" borderId="185" applyNumberFormat="0" applyAlignment="0" applyProtection="0"/>
    <xf numFmtId="0" fontId="29" fillId="0" borderId="147">
      <alignment horizontal="left" vertical="center"/>
    </xf>
    <xf numFmtId="43" fontId="1" fillId="0" borderId="0" applyFont="0" applyFill="0" applyBorder="0" applyAlignment="0" applyProtection="0"/>
    <xf numFmtId="0" fontId="18" fillId="29" borderId="205" applyNumberFormat="0" applyAlignment="0" applyProtection="0"/>
    <xf numFmtId="43" fontId="3" fillId="0" borderId="0" applyFill="0" applyBorder="0" applyAlignment="0"/>
    <xf numFmtId="43" fontId="3" fillId="0" borderId="0" applyFill="0" applyBorder="0" applyAlignment="0"/>
    <xf numFmtId="0" fontId="86" fillId="0" borderId="201" applyNumberFormat="0" applyFill="0" applyAlignment="0" applyProtection="0">
      <alignment vertical="center"/>
    </xf>
    <xf numFmtId="0" fontId="120" fillId="0" borderId="0"/>
    <xf numFmtId="0" fontId="46" fillId="29" borderId="208" applyNumberFormat="0" applyAlignment="0" applyProtection="0"/>
    <xf numFmtId="43" fontId="3" fillId="0" borderId="0" applyFont="0" applyFill="0" applyBorder="0" applyAlignment="0" applyProtection="0"/>
    <xf numFmtId="0" fontId="86" fillId="0" borderId="209" applyNumberFormat="0" applyFill="0" applyAlignment="0" applyProtection="0">
      <alignment vertical="center"/>
    </xf>
    <xf numFmtId="43" fontId="43"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0" fontId="29" fillId="0" borderId="6">
      <alignment horizontal="left" vertical="center"/>
    </xf>
    <xf numFmtId="41"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ill="0" applyBorder="0" applyAlignment="0" applyProtection="0"/>
    <xf numFmtId="0" fontId="29" fillId="0" borderId="6">
      <alignment horizontal="left" vertical="center"/>
    </xf>
    <xf numFmtId="0" fontId="34" fillId="8" borderId="205" applyNumberFormat="0" applyAlignment="0" applyProtection="0"/>
    <xf numFmtId="0" fontId="2" fillId="37" borderId="207" applyNumberFormat="0" applyFont="0" applyAlignment="0" applyProtection="0">
      <alignment vertical="center"/>
    </xf>
    <xf numFmtId="0" fontId="25" fillId="81" borderId="207" applyNumberFormat="0" applyAlignment="0" applyProtection="0"/>
    <xf numFmtId="0" fontId="34" fillId="8" borderId="198" applyNumberFormat="0" applyAlignment="0" applyProtection="0"/>
    <xf numFmtId="0" fontId="2" fillId="37" borderId="199" applyNumberFormat="0" applyFont="0" applyAlignment="0" applyProtection="0">
      <alignment vertical="center"/>
    </xf>
    <xf numFmtId="0" fontId="34" fillId="8" borderId="205"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2" fontId="148" fillId="0" borderId="178" applyFont="0" applyBorder="0" applyAlignment="0" applyProtection="0">
      <alignment horizontal="right"/>
    </xf>
    <xf numFmtId="43" fontId="1"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4" fillId="8" borderId="179" applyNumberFormat="0" applyAlignment="0" applyProtection="0"/>
    <xf numFmtId="0" fontId="18" fillId="29" borderId="179" applyNumberFormat="0" applyAlignment="0" applyProtection="0"/>
    <xf numFmtId="0" fontId="24" fillId="0" borderId="183" applyNumberFormat="0" applyFill="0" applyAlignment="0" applyProtection="0"/>
    <xf numFmtId="0" fontId="46" fillId="79" borderId="182" applyNumberFormat="0" applyAlignment="0" applyProtection="0"/>
    <xf numFmtId="0" fontId="25" fillId="81" borderId="181" applyNumberFormat="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34" fillId="66" borderId="179" applyNumberFormat="0" applyAlignment="0" applyProtection="0"/>
    <xf numFmtId="0" fontId="29" fillId="0" borderId="180">
      <alignment horizontal="left" vertical="center"/>
    </xf>
    <xf numFmtId="0" fontId="1" fillId="0" borderId="0"/>
    <xf numFmtId="0" fontId="1" fillId="0" borderId="0"/>
    <xf numFmtId="0" fontId="1" fillId="0" borderId="0"/>
    <xf numFmtId="0" fontId="46" fillId="29" borderId="182" applyNumberFormat="0" applyAlignment="0" applyProtection="0"/>
    <xf numFmtId="0" fontId="7" fillId="37" borderId="181" applyNumberFormat="0" applyFont="0" applyAlignment="0" applyProtection="0"/>
    <xf numFmtId="0" fontId="18" fillId="79" borderId="179" applyNumberFormat="0" applyAlignment="0" applyProtection="0"/>
    <xf numFmtId="0" fontId="1" fillId="0" borderId="0"/>
    <xf numFmtId="43" fontId="43" fillId="0" borderId="0" applyFont="0" applyFill="0" applyBorder="0" applyAlignment="0" applyProtection="0"/>
    <xf numFmtId="0" fontId="46" fillId="79" borderId="208" applyNumberFormat="0" applyAlignment="0" applyProtection="0"/>
    <xf numFmtId="0" fontId="34" fillId="8" borderId="179" applyNumberFormat="0" applyAlignment="0" applyProtection="0"/>
    <xf numFmtId="0" fontId="34" fillId="8" borderId="179" applyNumberFormat="0" applyAlignment="0" applyProtection="0"/>
    <xf numFmtId="0" fontId="34" fillId="8" borderId="179" applyNumberFormat="0" applyAlignment="0" applyProtection="0"/>
    <xf numFmtId="0" fontId="34" fillId="8" borderId="179" applyNumberFormat="0" applyAlignment="0" applyProtection="0"/>
    <xf numFmtId="0" fontId="34" fillId="8" borderId="179" applyNumberFormat="0" applyAlignment="0" applyProtection="0"/>
    <xf numFmtId="0" fontId="25" fillId="81" borderId="187"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8" borderId="179" applyNumberFormat="0" applyAlignment="0" applyProtection="0"/>
    <xf numFmtId="0" fontId="34" fillId="8" borderId="179" applyNumberFormat="0" applyAlignment="0" applyProtection="0"/>
    <xf numFmtId="0" fontId="34" fillId="8" borderId="179" applyNumberFormat="0" applyAlignment="0" applyProtection="0"/>
    <xf numFmtId="0" fontId="34" fillId="8" borderId="179" applyNumberFormat="0" applyAlignment="0" applyProtection="0"/>
    <xf numFmtId="0" fontId="34" fillId="8" borderId="179" applyNumberFormat="0" applyAlignment="0" applyProtection="0"/>
    <xf numFmtId="0" fontId="86" fillId="0" borderId="183" applyNumberFormat="0" applyFill="0" applyAlignment="0" applyProtection="0">
      <alignment vertical="center"/>
    </xf>
    <xf numFmtId="0" fontId="3" fillId="0" borderId="0"/>
    <xf numFmtId="0" fontId="82" fillId="29" borderId="179" applyNumberFormat="0" applyAlignment="0" applyProtection="0">
      <alignment vertical="center"/>
    </xf>
    <xf numFmtId="0" fontId="1" fillId="0" borderId="0"/>
    <xf numFmtId="0" fontId="1" fillId="0" borderId="0"/>
    <xf numFmtId="0" fontId="74" fillId="29" borderId="182" applyNumberFormat="0" applyAlignment="0" applyProtection="0">
      <alignment vertical="center"/>
    </xf>
    <xf numFmtId="0" fontId="1" fillId="0" borderId="0"/>
    <xf numFmtId="0" fontId="1" fillId="0" borderId="0"/>
    <xf numFmtId="0" fontId="1" fillId="0" borderId="0"/>
    <xf numFmtId="0" fontId="1" fillId="0" borderId="0"/>
    <xf numFmtId="0" fontId="73" fillId="8" borderId="179" applyNumberFormat="0" applyAlignment="0" applyProtection="0">
      <alignment vertical="center"/>
    </xf>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3"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9" fontId="1" fillId="0" borderId="0" applyFont="0" applyFill="0" applyBorder="0" applyAlignment="0" applyProtection="0"/>
    <xf numFmtId="0" fontId="3" fillId="0" borderId="0"/>
    <xf numFmtId="0" fontId="3" fillId="0" borderId="0"/>
    <xf numFmtId="0" fontId="3" fillId="0" borderId="0"/>
    <xf numFmtId="0" fontId="7" fillId="61" borderId="0" applyNumberFormat="0" applyBorder="0" applyAlignment="0" applyProtection="0"/>
    <xf numFmtId="0" fontId="7" fillId="61" borderId="0" applyNumberFormat="0" applyBorder="0" applyAlignment="0" applyProtection="0"/>
    <xf numFmtId="0" fontId="7" fillId="62" borderId="0" applyNumberFormat="0" applyBorder="0" applyAlignment="0" applyProtection="0"/>
    <xf numFmtId="0" fontId="7" fillId="62"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34" fillId="8" borderId="205" applyNumberFormat="0" applyAlignment="0" applyProtection="0"/>
    <xf numFmtId="0" fontId="7" fillId="64" borderId="0" applyNumberFormat="0" applyBorder="0" applyAlignment="0" applyProtection="0"/>
    <xf numFmtId="0" fontId="7" fillId="64" borderId="0" applyNumberFormat="0" applyBorder="0" applyAlignment="0" applyProtection="0"/>
    <xf numFmtId="0" fontId="34" fillId="8" borderId="192" applyNumberFormat="0" applyAlignment="0" applyProtection="0"/>
    <xf numFmtId="0" fontId="7" fillId="65" borderId="0" applyNumberFormat="0" applyBorder="0" applyAlignment="0" applyProtection="0"/>
    <xf numFmtId="0" fontId="7" fillId="65" borderId="0" applyNumberFormat="0" applyBorder="0" applyAlignment="0" applyProtection="0"/>
    <xf numFmtId="0" fontId="34" fillId="8" borderId="192" applyNumberFormat="0" applyAlignment="0" applyProtection="0"/>
    <xf numFmtId="0" fontId="7" fillId="66" borderId="0" applyNumberFormat="0" applyBorder="0" applyAlignment="0" applyProtection="0"/>
    <xf numFmtId="0" fontId="7" fillId="66" borderId="0" applyNumberFormat="0" applyBorder="0" applyAlignment="0" applyProtection="0"/>
    <xf numFmtId="0" fontId="46" fillId="29" borderId="195" applyNumberFormat="0" applyAlignment="0" applyProtection="0"/>
    <xf numFmtId="0" fontId="7" fillId="67" borderId="0" applyNumberFormat="0" applyBorder="0" applyAlignment="0" applyProtection="0"/>
    <xf numFmtId="0" fontId="7" fillId="67" borderId="0" applyNumberFormat="0" applyBorder="0" applyAlignment="0" applyProtection="0"/>
    <xf numFmtId="0" fontId="7" fillId="68" borderId="0" applyNumberFormat="0" applyBorder="0" applyAlignment="0" applyProtection="0"/>
    <xf numFmtId="0" fontId="7" fillId="68" borderId="0" applyNumberFormat="0" applyBorder="0" applyAlignment="0" applyProtection="0"/>
    <xf numFmtId="0" fontId="29" fillId="0" borderId="193">
      <alignment horizontal="left" vertical="center"/>
    </xf>
    <xf numFmtId="0" fontId="7" fillId="69" borderId="0" applyNumberFormat="0" applyBorder="0" applyAlignment="0" applyProtection="0"/>
    <xf numFmtId="0" fontId="7" fillId="69" borderId="0" applyNumberFormat="0" applyBorder="0" applyAlignment="0" applyProtection="0"/>
    <xf numFmtId="0" fontId="34" fillId="8" borderId="205" applyNumberFormat="0" applyAlignment="0" applyProtection="0"/>
    <xf numFmtId="0" fontId="7" fillId="64" borderId="0" applyNumberFormat="0" applyBorder="0" applyAlignment="0" applyProtection="0"/>
    <xf numFmtId="0" fontId="7" fillId="64" borderId="0" applyNumberFormat="0" applyBorder="0" applyAlignment="0" applyProtection="0"/>
    <xf numFmtId="0" fontId="7" fillId="67" borderId="0" applyNumberFormat="0" applyBorder="0" applyAlignment="0" applyProtection="0"/>
    <xf numFmtId="0" fontId="7" fillId="67" borderId="0" applyNumberFormat="0" applyBorder="0" applyAlignment="0" applyProtection="0"/>
    <xf numFmtId="0" fontId="46" fillId="79" borderId="195" applyNumberFormat="0" applyAlignment="0" applyProtection="0"/>
    <xf numFmtId="0" fontId="7" fillId="70" borderId="0" applyNumberFormat="0" applyBorder="0" applyAlignment="0" applyProtection="0"/>
    <xf numFmtId="0" fontId="7" fillId="70" borderId="0" applyNumberFormat="0" applyBorder="0" applyAlignment="0" applyProtection="0"/>
    <xf numFmtId="0" fontId="34" fillId="8" borderId="205" applyNumberFormat="0" applyAlignment="0" applyProtection="0"/>
    <xf numFmtId="0" fontId="10" fillId="71" borderId="0" applyNumberFormat="0" applyBorder="0" applyAlignment="0" applyProtection="0"/>
    <xf numFmtId="0" fontId="10" fillId="71" borderId="0" applyNumberFormat="0" applyBorder="0" applyAlignment="0" applyProtection="0"/>
    <xf numFmtId="0" fontId="10" fillId="68" borderId="0" applyNumberFormat="0" applyBorder="0" applyAlignment="0" applyProtection="0"/>
    <xf numFmtId="0" fontId="10" fillId="68" borderId="0" applyNumberFormat="0" applyBorder="0" applyAlignment="0" applyProtection="0"/>
    <xf numFmtId="0" fontId="10" fillId="69" borderId="0" applyNumberFormat="0" applyBorder="0" applyAlignment="0" applyProtection="0"/>
    <xf numFmtId="0" fontId="10" fillId="69" borderId="0" applyNumberFormat="0" applyBorder="0" applyAlignment="0" applyProtection="0"/>
    <xf numFmtId="0" fontId="34" fillId="8" borderId="198" applyNumberFormat="0" applyAlignment="0" applyProtection="0"/>
    <xf numFmtId="0" fontId="10" fillId="72" borderId="0" applyNumberFormat="0" applyBorder="0" applyAlignment="0" applyProtection="0"/>
    <xf numFmtId="0" fontId="10" fillId="72" borderId="0" applyNumberFormat="0" applyBorder="0" applyAlignment="0" applyProtection="0"/>
    <xf numFmtId="0" fontId="10" fillId="73" borderId="0" applyNumberFormat="0" applyBorder="0" applyAlignment="0" applyProtection="0"/>
    <xf numFmtId="0" fontId="10" fillId="73" borderId="0" applyNumberFormat="0" applyBorder="0" applyAlignment="0" applyProtection="0"/>
    <xf numFmtId="0" fontId="10" fillId="74" borderId="0" applyNumberFormat="0" applyBorder="0" applyAlignment="0" applyProtection="0"/>
    <xf numFmtId="0" fontId="10" fillId="74" borderId="0" applyNumberFormat="0" applyBorder="0" applyAlignment="0" applyProtection="0"/>
    <xf numFmtId="0" fontId="10" fillId="75" borderId="0" applyNumberFormat="0" applyBorder="0" applyAlignment="0" applyProtection="0"/>
    <xf numFmtId="0" fontId="10" fillId="75" borderId="0" applyNumberFormat="0" applyBorder="0" applyAlignment="0" applyProtection="0"/>
    <xf numFmtId="0" fontId="82" fillId="29" borderId="185" applyNumberFormat="0" applyAlignment="0" applyProtection="0">
      <alignment vertical="center"/>
    </xf>
    <xf numFmtId="0" fontId="10" fillId="76" borderId="0" applyNumberFormat="0" applyBorder="0" applyAlignment="0" applyProtection="0"/>
    <xf numFmtId="0" fontId="10" fillId="76" borderId="0" applyNumberFormat="0" applyBorder="0" applyAlignment="0" applyProtection="0"/>
    <xf numFmtId="0" fontId="10" fillId="77" borderId="0" applyNumberFormat="0" applyBorder="0" applyAlignment="0" applyProtection="0"/>
    <xf numFmtId="0" fontId="10" fillId="77" borderId="0" applyNumberFormat="0" applyBorder="0" applyAlignment="0" applyProtection="0"/>
    <xf numFmtId="0" fontId="10" fillId="72" borderId="0" applyNumberFormat="0" applyBorder="0" applyAlignment="0" applyProtection="0"/>
    <xf numFmtId="0" fontId="10" fillId="72" borderId="0" applyNumberFormat="0" applyBorder="0" applyAlignment="0" applyProtection="0"/>
    <xf numFmtId="0" fontId="10" fillId="73" borderId="0" applyNumberFormat="0" applyBorder="0" applyAlignment="0" applyProtection="0"/>
    <xf numFmtId="0" fontId="10" fillId="73" borderId="0" applyNumberFormat="0" applyBorder="0" applyAlignment="0" applyProtection="0"/>
    <xf numFmtId="0" fontId="10" fillId="78" borderId="0" applyNumberFormat="0" applyBorder="0" applyAlignment="0" applyProtection="0"/>
    <xf numFmtId="0" fontId="10" fillId="78"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43" fontId="3" fillId="0" borderId="0" applyFill="0" applyBorder="0" applyAlignment="0"/>
    <xf numFmtId="43" fontId="3" fillId="0" borderId="0" applyFill="0" applyBorder="0" applyAlignment="0"/>
    <xf numFmtId="174" fontId="3" fillId="0" borderId="0" applyFill="0" applyBorder="0" applyAlignment="0"/>
    <xf numFmtId="176" fontId="3" fillId="0" borderId="0" applyFill="0" applyBorder="0" applyAlignment="0"/>
    <xf numFmtId="178" fontId="3" fillId="0" borderId="0" applyFill="0" applyBorder="0" applyAlignment="0"/>
    <xf numFmtId="180" fontId="3" fillId="0" borderId="0" applyFill="0" applyBorder="0" applyAlignment="0"/>
    <xf numFmtId="43" fontId="3" fillId="0" borderId="0" applyFill="0" applyBorder="0" applyAlignment="0"/>
    <xf numFmtId="43" fontId="3" fillId="0" borderId="0" applyFill="0" applyBorder="0" applyAlignment="0"/>
    <xf numFmtId="0" fontId="34" fillId="8" borderId="185" applyNumberFormat="0" applyAlignment="0" applyProtection="0"/>
    <xf numFmtId="0" fontId="34" fillId="8" borderId="185" applyNumberFormat="0" applyAlignment="0" applyProtection="0"/>
    <xf numFmtId="182" fontId="3" fillId="0" borderId="0" applyFill="0" applyBorder="0" applyAlignment="0"/>
    <xf numFmtId="207" fontId="121" fillId="0" borderId="0" applyFill="0" applyBorder="0" applyAlignment="0"/>
    <xf numFmtId="207" fontId="121" fillId="0" borderId="0" applyFill="0" applyBorder="0" applyAlignment="0"/>
    <xf numFmtId="0" fontId="34" fillId="8" borderId="185" applyNumberFormat="0" applyAlignment="0" applyProtection="0"/>
    <xf numFmtId="0" fontId="18" fillId="79" borderId="179" applyNumberFormat="0" applyAlignment="0" applyProtection="0"/>
    <xf numFmtId="0" fontId="18" fillId="79" borderId="179" applyNumberFormat="0" applyAlignment="0" applyProtection="0"/>
    <xf numFmtId="0" fontId="18" fillId="79" borderId="179" applyNumberFormat="0" applyAlignment="0" applyProtection="0"/>
    <xf numFmtId="0" fontId="34" fillId="8" borderId="205" applyNumberFormat="0" applyAlignment="0" applyProtection="0"/>
    <xf numFmtId="0" fontId="19" fillId="80" borderId="3" applyNumberFormat="0" applyAlignment="0" applyProtection="0"/>
    <xf numFmtId="0" fontId="19" fillId="80" borderId="3" applyNumberFormat="0" applyAlignment="0" applyProtection="0"/>
    <xf numFmtId="0" fontId="29" fillId="0" borderId="191">
      <alignment horizontal="left" vertical="center"/>
    </xf>
    <xf numFmtId="0" fontId="34" fillId="8" borderId="205" applyNumberFormat="0" applyAlignment="0" applyProtection="0"/>
    <xf numFmtId="185" fontId="3" fillId="0" borderId="0"/>
    <xf numFmtId="185" fontId="3" fillId="0" borderId="0"/>
    <xf numFmtId="43" fontId="3" fillId="0" borderId="0" applyFont="0" applyFill="0" applyBorder="0" applyAlignment="0" applyProtection="0"/>
    <xf numFmtId="185" fontId="3" fillId="0" borderId="0"/>
    <xf numFmtId="185" fontId="3" fillId="0" borderId="0"/>
    <xf numFmtId="0" fontId="34" fillId="8" borderId="185" applyNumberFormat="0" applyAlignment="0" applyProtection="0"/>
    <xf numFmtId="185" fontId="3" fillId="0" borderId="0"/>
    <xf numFmtId="0" fontId="34" fillId="8" borderId="185" applyNumberFormat="0" applyAlignment="0" applyProtection="0"/>
    <xf numFmtId="0" fontId="34" fillId="8" borderId="185" applyNumberFormat="0" applyAlignment="0" applyProtection="0"/>
    <xf numFmtId="185" fontId="3" fillId="0" borderId="0"/>
    <xf numFmtId="0" fontId="46" fillId="29" borderId="200" applyNumberFormat="0" applyAlignment="0" applyProtection="0"/>
    <xf numFmtId="0" fontId="86" fillId="0" borderId="189" applyNumberFormat="0" applyFill="0" applyAlignment="0" applyProtection="0">
      <alignment vertical="center"/>
    </xf>
    <xf numFmtId="185" fontId="3" fillId="0" borderId="0"/>
    <xf numFmtId="0" fontId="74" fillId="29" borderId="188" applyNumberFormat="0" applyAlignment="0" applyProtection="0">
      <alignment vertical="center"/>
    </xf>
    <xf numFmtId="0" fontId="73" fillId="8" borderId="185" applyNumberFormat="0" applyAlignment="0" applyProtection="0">
      <alignment vertical="center"/>
    </xf>
    <xf numFmtId="185" fontId="3" fillId="0" borderId="0"/>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186" fontId="25" fillId="0" borderId="0" applyFill="0" applyBorder="0" applyAlignment="0" applyProtection="0"/>
    <xf numFmtId="186" fontId="25" fillId="0" borderId="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08" fontId="3" fillId="0" borderId="0" applyFill="0" applyBorder="0" applyAlignment="0" applyProtection="0"/>
    <xf numFmtId="208" fontId="25" fillId="0" borderId="0" applyFill="0" applyBorder="0" applyAlignment="0" applyProtection="0"/>
    <xf numFmtId="208" fontId="25" fillId="0" borderId="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207" fontId="25" fillId="0" borderId="0" applyFill="0" applyBorder="0" applyAlignment="0" applyProtection="0"/>
    <xf numFmtId="207" fontId="25" fillId="0" borderId="0" applyFill="0" applyBorder="0" applyAlignment="0" applyProtection="0"/>
    <xf numFmtId="187" fontId="25" fillId="79" borderId="0" applyBorder="0"/>
    <xf numFmtId="187" fontId="25" fillId="79" borderId="0" applyBorder="0"/>
    <xf numFmtId="186" fontId="3" fillId="0" borderId="0" applyFill="0" applyBorder="0" applyAlignment="0"/>
    <xf numFmtId="207" fontId="121" fillId="0" borderId="0" applyFill="0" applyBorder="0" applyAlignment="0"/>
    <xf numFmtId="207" fontId="121" fillId="0" borderId="0" applyFill="0" applyBorder="0" applyAlignment="0"/>
    <xf numFmtId="186" fontId="3" fillId="0" borderId="0" applyFill="0" applyBorder="0" applyAlignment="0"/>
    <xf numFmtId="209" fontId="121" fillId="0" borderId="0" applyFill="0" applyBorder="0" applyAlignment="0"/>
    <xf numFmtId="209" fontId="121" fillId="0" borderId="0" applyFill="0" applyBorder="0" applyAlignment="0"/>
    <xf numFmtId="207" fontId="121" fillId="0" borderId="0" applyFill="0" applyBorder="0" applyAlignment="0"/>
    <xf numFmtId="207" fontId="121" fillId="0" borderId="0" applyFill="0" applyBorder="0" applyAlignment="0"/>
    <xf numFmtId="0" fontId="34" fillId="8" borderId="205" applyNumberFormat="0" applyAlignment="0" applyProtection="0"/>
    <xf numFmtId="210" fontId="25" fillId="0" borderId="0" applyFill="0" applyBorder="0" applyAlignment="0" applyProtection="0"/>
    <xf numFmtId="210" fontId="25" fillId="0" borderId="0" applyFill="0" applyBorder="0" applyAlignment="0" applyProtection="0"/>
    <xf numFmtId="0" fontId="27" fillId="63" borderId="0" applyNumberFormat="0" applyBorder="0" applyAlignment="0" applyProtection="0"/>
    <xf numFmtId="0" fontId="27" fillId="63" borderId="0" applyNumberFormat="0" applyBorder="0" applyAlignment="0" applyProtection="0"/>
    <xf numFmtId="0" fontId="28" fillId="79" borderId="0" applyNumberFormat="0" applyBorder="0" applyAlignment="0" applyProtection="0"/>
    <xf numFmtId="0" fontId="28" fillId="79" borderId="0" applyNumberFormat="0" applyBorder="0" applyAlignment="0" applyProtection="0"/>
    <xf numFmtId="0" fontId="29" fillId="0" borderId="146" applyNumberFormat="0" applyAlignment="0" applyProtection="0"/>
    <xf numFmtId="0" fontId="29" fillId="0" borderId="146" applyNumberFormat="0" applyAlignment="0" applyProtection="0"/>
    <xf numFmtId="0" fontId="29" fillId="0" borderId="180">
      <alignment horizontal="left" vertical="center"/>
    </xf>
    <xf numFmtId="0" fontId="29" fillId="0" borderId="180">
      <alignment horizontal="left" vertical="center"/>
    </xf>
    <xf numFmtId="0" fontId="29" fillId="0" borderId="180">
      <alignment horizontal="left" vertical="center"/>
    </xf>
    <xf numFmtId="0" fontId="28" fillId="81" borderId="0" applyNumberFormat="0" applyBorder="0" applyAlignment="0" applyProtection="0"/>
    <xf numFmtId="0" fontId="28" fillId="81" borderId="0" applyNumberFormat="0" applyBorder="0" applyAlignment="0" applyProtection="0"/>
    <xf numFmtId="0" fontId="34" fillId="66" borderId="179" applyNumberFormat="0" applyAlignment="0" applyProtection="0"/>
    <xf numFmtId="0" fontId="34" fillId="66" borderId="179" applyNumberFormat="0" applyAlignment="0" applyProtection="0"/>
    <xf numFmtId="0" fontId="34" fillId="66" borderId="179" applyNumberFormat="0" applyAlignment="0" applyProtection="0"/>
    <xf numFmtId="186" fontId="3" fillId="0" borderId="0" applyFill="0" applyBorder="0" applyAlignment="0"/>
    <xf numFmtId="207" fontId="121" fillId="0" borderId="0" applyFill="0" applyBorder="0" applyAlignment="0"/>
    <xf numFmtId="207" fontId="121" fillId="0" borderId="0" applyFill="0" applyBorder="0" applyAlignment="0"/>
    <xf numFmtId="186" fontId="3" fillId="0" borderId="0" applyFill="0" applyBorder="0" applyAlignment="0"/>
    <xf numFmtId="209" fontId="121" fillId="0" borderId="0" applyFill="0" applyBorder="0" applyAlignment="0"/>
    <xf numFmtId="209" fontId="121" fillId="0" borderId="0" applyFill="0" applyBorder="0" applyAlignment="0"/>
    <xf numFmtId="207" fontId="121" fillId="0" borderId="0" applyFill="0" applyBorder="0" applyAlignment="0"/>
    <xf numFmtId="207" fontId="121" fillId="0" borderId="0" applyFill="0" applyBorder="0" applyAlignment="0"/>
    <xf numFmtId="0" fontId="36" fillId="82" borderId="0" applyNumberFormat="0" applyBorder="0" applyAlignment="0" applyProtection="0"/>
    <xf numFmtId="0" fontId="36" fillId="82" borderId="0" applyNumberFormat="0" applyBorder="0" applyAlignment="0" applyProtection="0"/>
    <xf numFmtId="212" fontId="3" fillId="0" borderId="0"/>
    <xf numFmtId="0" fontId="1" fillId="0" borderId="0"/>
    <xf numFmtId="0" fontId="18" fillId="29" borderId="198" applyNumberFormat="0" applyAlignment="0" applyProtection="0"/>
    <xf numFmtId="0" fontId="20" fillId="0" borderId="0">
      <alignment vertical="center"/>
    </xf>
    <xf numFmtId="0" fontId="20" fillId="0" borderId="0">
      <alignment vertical="center"/>
    </xf>
    <xf numFmtId="0" fontId="2" fillId="0" borderId="0">
      <alignment vertical="center"/>
    </xf>
    <xf numFmtId="0" fontId="2" fillId="0" borderId="0">
      <alignment vertical="center"/>
    </xf>
    <xf numFmtId="0" fontId="43" fillId="0" borderId="0"/>
    <xf numFmtId="0" fontId="43" fillId="0" borderId="0"/>
    <xf numFmtId="0" fontId="25" fillId="0" borderId="0"/>
    <xf numFmtId="0" fontId="25" fillId="0" borderId="0"/>
    <xf numFmtId="0" fontId="41" fillId="0" borderId="0"/>
    <xf numFmtId="0" fontId="41" fillId="0" borderId="0"/>
    <xf numFmtId="0" fontId="1" fillId="0" borderId="0"/>
    <xf numFmtId="0" fontId="25" fillId="81" borderId="199" applyNumberFormat="0" applyAlignment="0" applyProtection="0"/>
    <xf numFmtId="0" fontId="3" fillId="0" borderId="0"/>
    <xf numFmtId="0" fontId="3" fillId="0" borderId="0"/>
    <xf numFmtId="0" fontId="41" fillId="0" borderId="0"/>
    <xf numFmtId="0" fontId="41" fillId="0" borderId="0"/>
    <xf numFmtId="0" fontId="2" fillId="37" borderId="181" applyNumberFormat="0" applyFont="0" applyAlignment="0" applyProtection="0">
      <alignment vertical="center"/>
    </xf>
    <xf numFmtId="0" fontId="43" fillId="0" borderId="0"/>
    <xf numFmtId="0" fontId="41" fillId="0" borderId="0"/>
    <xf numFmtId="0" fontId="41" fillId="0" borderId="0"/>
    <xf numFmtId="0" fontId="41" fillId="0" borderId="0"/>
    <xf numFmtId="0" fontId="41" fillId="0" borderId="0"/>
    <xf numFmtId="0" fontId="3" fillId="0" borderId="0"/>
    <xf numFmtId="0" fontId="3" fillId="0" borderId="0"/>
    <xf numFmtId="0" fontId="25" fillId="81" borderId="181" applyNumberFormat="0" applyAlignment="0" applyProtection="0"/>
    <xf numFmtId="0" fontId="25" fillId="81" borderId="181" applyNumberFormat="0" applyAlignment="0" applyProtection="0"/>
    <xf numFmtId="0" fontId="25" fillId="81" borderId="181" applyNumberFormat="0" applyAlignment="0" applyProtection="0"/>
    <xf numFmtId="0" fontId="46" fillId="79" borderId="182" applyNumberFormat="0" applyAlignment="0" applyProtection="0"/>
    <xf numFmtId="0" fontId="46" fillId="79" borderId="182" applyNumberFormat="0" applyAlignment="0" applyProtection="0"/>
    <xf numFmtId="0" fontId="46" fillId="79" borderId="182" applyNumberFormat="0" applyAlignment="0" applyProtection="0"/>
    <xf numFmtId="211" fontId="25" fillId="0" borderId="0" applyFill="0" applyBorder="0" applyAlignment="0" applyProtection="0"/>
    <xf numFmtId="211" fontId="25" fillId="0" borderId="0" applyFill="0" applyBorder="0" applyAlignment="0" applyProtection="0"/>
    <xf numFmtId="0" fontId="34" fillId="8" borderId="205" applyNumberFormat="0" applyAlignment="0" applyProtection="0"/>
    <xf numFmtId="197" fontId="25" fillId="0" borderId="0" applyFill="0" applyBorder="0" applyAlignment="0" applyProtection="0"/>
    <xf numFmtId="197" fontId="25" fillId="0" borderId="0" applyFill="0" applyBorder="0" applyAlignment="0" applyProtection="0"/>
    <xf numFmtId="10" fontId="25" fillId="0" borderId="0" applyFill="0" applyBorder="0" applyAlignment="0" applyProtection="0"/>
    <xf numFmtId="10" fontId="25" fillId="0" borderId="0" applyFill="0" applyBorder="0" applyAlignment="0" applyProtection="0"/>
    <xf numFmtId="9" fontId="1" fillId="0" borderId="0" applyFont="0" applyFill="0" applyBorder="0" applyAlignment="0" applyProtection="0"/>
    <xf numFmtId="0" fontId="29" fillId="0" borderId="203">
      <alignment horizontal="left" vertical="center"/>
    </xf>
    <xf numFmtId="9" fontId="1" fillId="0" borderId="0" applyFont="0" applyFill="0" applyBorder="0" applyAlignment="0" applyProtection="0"/>
    <xf numFmtId="9" fontId="25" fillId="0" borderId="0" applyFill="0" applyBorder="0" applyAlignment="0" applyProtection="0"/>
    <xf numFmtId="9" fontId="25" fillId="0" borderId="0" applyFill="0" applyBorder="0" applyAlignment="0" applyProtection="0"/>
    <xf numFmtId="9" fontId="1" fillId="0" borderId="0" applyFont="0" applyFill="0" applyBorder="0" applyAlignment="0" applyProtection="0"/>
    <xf numFmtId="0" fontId="29" fillId="0" borderId="211">
      <alignment horizontal="left" vertical="center"/>
    </xf>
    <xf numFmtId="9" fontId="1" fillId="0" borderId="0" applyFont="0" applyFill="0" applyBorder="0" applyAlignment="0" applyProtection="0"/>
    <xf numFmtId="186" fontId="3" fillId="0" borderId="0" applyFill="0" applyBorder="0" applyAlignment="0"/>
    <xf numFmtId="207" fontId="121" fillId="0" borderId="0" applyFill="0" applyBorder="0" applyAlignment="0"/>
    <xf numFmtId="207" fontId="121" fillId="0" borderId="0" applyFill="0" applyBorder="0" applyAlignment="0"/>
    <xf numFmtId="186" fontId="3" fillId="0" borderId="0" applyFill="0" applyBorder="0" applyAlignment="0"/>
    <xf numFmtId="209" fontId="121" fillId="0" borderId="0" applyFill="0" applyBorder="0" applyAlignment="0"/>
    <xf numFmtId="209" fontId="121" fillId="0" borderId="0" applyFill="0" applyBorder="0" applyAlignment="0"/>
    <xf numFmtId="207" fontId="121" fillId="0" borderId="0" applyFill="0" applyBorder="0" applyAlignment="0"/>
    <xf numFmtId="207" fontId="121" fillId="0" borderId="0" applyFill="0" applyBorder="0" applyAlignment="0"/>
    <xf numFmtId="0" fontId="25" fillId="0" borderId="0" applyNumberFormat="0" applyFill="0" applyBorder="0" applyAlignment="0" applyProtection="0"/>
    <xf numFmtId="0" fontId="25" fillId="0" borderId="0" applyNumberFormat="0" applyFill="0" applyBorder="0" applyAlignment="0" applyProtection="0"/>
    <xf numFmtId="15" fontId="25" fillId="0" borderId="0" applyFill="0" applyBorder="0" applyAlignment="0" applyProtection="0"/>
    <xf numFmtId="15" fontId="25" fillId="0" borderId="0" applyFill="0" applyBorder="0" applyAlignment="0" applyProtection="0"/>
    <xf numFmtId="4" fontId="25" fillId="0" borderId="0" applyFill="0" applyBorder="0" applyAlignment="0" applyProtection="0"/>
    <xf numFmtId="4" fontId="25" fillId="0" borderId="0" applyFill="0" applyBorder="0" applyAlignment="0" applyProtection="0"/>
    <xf numFmtId="0" fontId="48" fillId="0" borderId="148">
      <alignment horizontal="center"/>
    </xf>
    <xf numFmtId="0" fontId="48" fillId="0" borderId="148">
      <alignment horizontal="center"/>
    </xf>
    <xf numFmtId="3" fontId="25" fillId="0" borderId="0" applyFill="0" applyBorder="0" applyAlignment="0" applyProtection="0"/>
    <xf numFmtId="3" fontId="25" fillId="0" borderId="0" applyFill="0" applyBorder="0" applyAlignment="0" applyProtection="0"/>
    <xf numFmtId="0" fontId="25" fillId="83" borderId="0" applyNumberFormat="0" applyBorder="0" applyAlignment="0" applyProtection="0"/>
    <xf numFmtId="0" fontId="25" fillId="83" borderId="0" applyNumberFormat="0" applyBorder="0" applyAlignment="0" applyProtection="0"/>
    <xf numFmtId="211" fontId="23" fillId="0" borderId="0">
      <alignment horizontal="center"/>
    </xf>
    <xf numFmtId="211" fontId="23" fillId="0" borderId="0">
      <alignment horizontal="center"/>
    </xf>
    <xf numFmtId="213" fontId="121" fillId="0" borderId="0" applyFill="0" applyBorder="0" applyAlignment="0"/>
    <xf numFmtId="213" fontId="121" fillId="0" borderId="0" applyFill="0" applyBorder="0" applyAlignment="0"/>
    <xf numFmtId="213" fontId="3" fillId="0" borderId="0" applyFill="0" applyBorder="0" applyAlignment="0"/>
    <xf numFmtId="214" fontId="122" fillId="0" borderId="0">
      <alignment horizontal="left"/>
    </xf>
    <xf numFmtId="214" fontId="122" fillId="0" borderId="0">
      <alignment horizontal="left"/>
    </xf>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9" fontId="3" fillId="0" borderId="0" applyFont="0" applyFill="0" applyBorder="0" applyAlignment="0" applyProtection="0"/>
    <xf numFmtId="43" fontId="3" fillId="0" borderId="0" applyFont="0" applyFill="0" applyBorder="0" applyAlignment="0" applyProtection="0"/>
    <xf numFmtId="0" fontId="1" fillId="0" borderId="0"/>
    <xf numFmtId="0" fontId="29" fillId="0" borderId="186">
      <alignment horizontal="left" vertical="center"/>
    </xf>
    <xf numFmtId="0" fontId="1" fillId="0" borderId="0"/>
    <xf numFmtId="9" fontId="1" fillId="0" borderId="0" applyFont="0" applyFill="0" applyBorder="0" applyAlignment="0" applyProtection="0"/>
    <xf numFmtId="0" fontId="1" fillId="0" borderId="0"/>
    <xf numFmtId="0" fontId="24" fillId="0" borderId="183" applyNumberFormat="0" applyFill="0" applyAlignment="0" applyProtection="0"/>
    <xf numFmtId="0" fontId="2" fillId="37" borderId="181" applyNumberFormat="0" applyFont="0" applyAlignment="0" applyProtection="0">
      <alignment vertical="center"/>
    </xf>
    <xf numFmtId="0" fontId="73" fillId="8" borderId="179" applyNumberFormat="0" applyAlignment="0" applyProtection="0">
      <alignment vertical="center"/>
    </xf>
    <xf numFmtId="0" fontId="74" fillId="29" borderId="182" applyNumberFormat="0" applyAlignment="0" applyProtection="0">
      <alignment vertical="center"/>
    </xf>
    <xf numFmtId="0" fontId="82" fillId="29" borderId="179" applyNumberFormat="0" applyAlignment="0" applyProtection="0">
      <alignment vertical="center"/>
    </xf>
    <xf numFmtId="0" fontId="86" fillId="0" borderId="183" applyNumberFormat="0" applyFill="0" applyAlignment="0" applyProtection="0">
      <alignment vertical="center"/>
    </xf>
    <xf numFmtId="2" fontId="148" fillId="0" borderId="184" applyFont="0" applyBorder="0" applyAlignment="0" applyProtection="0">
      <alignment horizontal="right"/>
    </xf>
    <xf numFmtId="0" fontId="18" fillId="79" borderId="179" applyNumberFormat="0" applyAlignment="0" applyProtection="0"/>
    <xf numFmtId="0" fontId="18" fillId="79" borderId="179" applyNumberFormat="0" applyAlignment="0" applyProtection="0"/>
    <xf numFmtId="0" fontId="18" fillId="79" borderId="179" applyNumberFormat="0" applyAlignment="0" applyProtection="0"/>
    <xf numFmtId="0" fontId="29" fillId="0" borderId="180">
      <alignment horizontal="left" vertical="center"/>
    </xf>
    <xf numFmtId="0" fontId="29" fillId="0" borderId="180">
      <alignment horizontal="left" vertical="center"/>
    </xf>
    <xf numFmtId="0" fontId="29" fillId="0" borderId="180">
      <alignment horizontal="left" vertical="center"/>
    </xf>
    <xf numFmtId="0" fontId="34" fillId="66" borderId="179" applyNumberFormat="0" applyAlignment="0" applyProtection="0"/>
    <xf numFmtId="0" fontId="34" fillId="66" borderId="179" applyNumberFormat="0" applyAlignment="0" applyProtection="0"/>
    <xf numFmtId="0" fontId="34" fillId="66" borderId="179" applyNumberFormat="0" applyAlignment="0" applyProtection="0"/>
    <xf numFmtId="0" fontId="25" fillId="81" borderId="181" applyNumberFormat="0" applyAlignment="0" applyProtection="0"/>
    <xf numFmtId="0" fontId="25" fillId="81" borderId="181" applyNumberFormat="0" applyAlignment="0" applyProtection="0"/>
    <xf numFmtId="0" fontId="25" fillId="81" borderId="181" applyNumberFormat="0" applyAlignment="0" applyProtection="0"/>
    <xf numFmtId="0" fontId="46" fillId="79" borderId="182" applyNumberFormat="0" applyAlignment="0" applyProtection="0"/>
    <xf numFmtId="0" fontId="46" fillId="79" borderId="182" applyNumberFormat="0" applyAlignment="0" applyProtection="0"/>
    <xf numFmtId="0" fontId="46" fillId="79" borderId="182" applyNumberFormat="0" applyAlignment="0" applyProtection="0"/>
    <xf numFmtId="9" fontId="3" fillId="0" borderId="0" applyFont="0" applyFill="0" applyBorder="0" applyAlignment="0" applyProtection="0"/>
    <xf numFmtId="9" fontId="3" fillId="0" borderId="0" applyFont="0" applyFill="0" applyBorder="0" applyAlignment="0" applyProtection="0"/>
    <xf numFmtId="0" fontId="46" fillId="79" borderId="208" applyNumberFormat="0" applyAlignment="0" applyProtection="0"/>
    <xf numFmtId="0" fontId="46" fillId="79" borderId="208" applyNumberFormat="0" applyAlignment="0" applyProtection="0"/>
    <xf numFmtId="0" fontId="2" fillId="37" borderId="207" applyNumberFormat="0" applyFont="0" applyAlignment="0" applyProtection="0">
      <alignment vertical="center"/>
    </xf>
    <xf numFmtId="0" fontId="73" fillId="8" borderId="205" applyNumberFormat="0" applyAlignment="0" applyProtection="0">
      <alignment vertical="center"/>
    </xf>
    <xf numFmtId="0" fontId="86" fillId="0" borderId="209" applyNumberFormat="0" applyFill="0" applyAlignment="0" applyProtection="0">
      <alignment vertical="center"/>
    </xf>
    <xf numFmtId="0" fontId="34" fillId="66" borderId="205" applyNumberFormat="0" applyAlignment="0" applyProtection="0"/>
    <xf numFmtId="0" fontId="34" fillId="66" borderId="205" applyNumberFormat="0" applyAlignment="0" applyProtection="0"/>
    <xf numFmtId="0" fontId="29" fillId="0" borderId="206">
      <alignment horizontal="left" vertical="center"/>
    </xf>
    <xf numFmtId="0" fontId="29" fillId="0" borderId="206">
      <alignment horizontal="left" vertical="center"/>
    </xf>
    <xf numFmtId="0" fontId="34" fillId="8" borderId="205" applyNumberFormat="0" applyAlignment="0" applyProtection="0"/>
    <xf numFmtId="0" fontId="34" fillId="8" borderId="205" applyNumberFormat="0" applyAlignment="0" applyProtection="0"/>
    <xf numFmtId="0" fontId="34" fillId="8" borderId="205" applyNumberFormat="0" applyAlignment="0" applyProtection="0"/>
    <xf numFmtId="0" fontId="82" fillId="29" borderId="205" applyNumberFormat="0" applyAlignment="0" applyProtection="0">
      <alignment vertical="center"/>
    </xf>
    <xf numFmtId="0" fontId="86" fillId="0" borderId="209" applyNumberFormat="0" applyFill="0" applyAlignment="0" applyProtection="0">
      <alignment vertical="center"/>
    </xf>
    <xf numFmtId="0" fontId="18" fillId="79" borderId="205" applyNumberFormat="0" applyAlignment="0" applyProtection="0"/>
    <xf numFmtId="0" fontId="18" fillId="79" borderId="205" applyNumberFormat="0" applyAlignment="0" applyProtection="0"/>
    <xf numFmtId="0" fontId="18" fillId="79" borderId="192" applyNumberFormat="0" applyAlignment="0" applyProtection="0"/>
    <xf numFmtId="0" fontId="18" fillId="79" borderId="192" applyNumberFormat="0" applyAlignment="0" applyProtection="0"/>
    <xf numFmtId="0" fontId="18" fillId="79" borderId="192" applyNumberFormat="0" applyAlignment="0" applyProtection="0"/>
    <xf numFmtId="0" fontId="73" fillId="8" borderId="205" applyNumberFormat="0" applyAlignment="0" applyProtection="0">
      <alignment vertical="center"/>
    </xf>
    <xf numFmtId="0" fontId="82" fillId="29" borderId="205" applyNumberFormat="0" applyAlignment="0" applyProtection="0">
      <alignment vertical="center"/>
    </xf>
    <xf numFmtId="0" fontId="34" fillId="8" borderId="205" applyNumberFormat="0" applyAlignment="0" applyProtection="0"/>
    <xf numFmtId="0" fontId="34" fillId="8" borderId="205" applyNumberFormat="0" applyAlignment="0" applyProtection="0"/>
    <xf numFmtId="0" fontId="18" fillId="79" borderId="205" applyNumberFormat="0" applyAlignment="0" applyProtection="0"/>
    <xf numFmtId="0" fontId="29" fillId="0" borderId="206">
      <alignment horizontal="left" vertical="center"/>
    </xf>
    <xf numFmtId="0" fontId="34" fillId="66" borderId="205" applyNumberFormat="0" applyAlignment="0" applyProtection="0"/>
    <xf numFmtId="0" fontId="18" fillId="29" borderId="205" applyNumberFormat="0" applyAlignment="0" applyProtection="0"/>
    <xf numFmtId="0" fontId="34" fillId="8" borderId="205" applyNumberFormat="0" applyAlignment="0" applyProtection="0"/>
    <xf numFmtId="9" fontId="3" fillId="0" borderId="0" applyFont="0" applyFill="0" applyBorder="0" applyAlignment="0" applyProtection="0"/>
    <xf numFmtId="0" fontId="82" fillId="29" borderId="198" applyNumberFormat="0" applyAlignment="0" applyProtection="0">
      <alignment vertical="center"/>
    </xf>
    <xf numFmtId="0" fontId="74" fillId="29" borderId="200" applyNumberFormat="0" applyAlignment="0" applyProtection="0">
      <alignment vertical="center"/>
    </xf>
    <xf numFmtId="0" fontId="73" fillId="8" borderId="198" applyNumberFormat="0" applyAlignment="0" applyProtection="0">
      <alignment vertical="center"/>
    </xf>
    <xf numFmtId="0" fontId="46" fillId="29" borderId="200" applyNumberFormat="0" applyAlignment="0" applyProtection="0"/>
    <xf numFmtId="0" fontId="7" fillId="37" borderId="199" applyNumberFormat="0" applyFont="0" applyAlignment="0" applyProtection="0"/>
    <xf numFmtId="0" fontId="29" fillId="0" borderId="193">
      <alignment horizontal="left" vertical="center"/>
    </xf>
    <xf numFmtId="0" fontId="29" fillId="0" borderId="193">
      <alignment horizontal="left" vertical="center"/>
    </xf>
    <xf numFmtId="0" fontId="29" fillId="0" borderId="193">
      <alignment horizontal="left" vertical="center"/>
    </xf>
    <xf numFmtId="0" fontId="34" fillId="8" borderId="198" applyNumberFormat="0" applyAlignment="0" applyProtection="0"/>
    <xf numFmtId="0" fontId="34" fillId="8" borderId="198" applyNumberFormat="0" applyAlignment="0" applyProtection="0"/>
    <xf numFmtId="0" fontId="29" fillId="0" borderId="203">
      <alignment horizontal="left" vertical="center"/>
    </xf>
    <xf numFmtId="0" fontId="34" fillId="66" borderId="192" applyNumberFormat="0" applyAlignment="0" applyProtection="0"/>
    <xf numFmtId="0" fontId="34" fillId="66" borderId="192" applyNumberFormat="0" applyAlignment="0" applyProtection="0"/>
    <xf numFmtId="0" fontId="34" fillId="66" borderId="192" applyNumberFormat="0" applyAlignment="0" applyProtection="0"/>
    <xf numFmtId="0" fontId="34" fillId="8" borderId="198" applyNumberFormat="0" applyAlignment="0" applyProtection="0"/>
    <xf numFmtId="0" fontId="34" fillId="8" borderId="198" applyNumberFormat="0" applyAlignment="0" applyProtection="0"/>
    <xf numFmtId="0" fontId="34" fillId="8" borderId="198" applyNumberFormat="0" applyAlignment="0" applyProtection="0"/>
    <xf numFmtId="0" fontId="86" fillId="0" borderId="201" applyNumberFormat="0" applyFill="0" applyAlignment="0" applyProtection="0">
      <alignment vertical="center"/>
    </xf>
    <xf numFmtId="0" fontId="74" fillId="29" borderId="200" applyNumberFormat="0" applyAlignment="0" applyProtection="0">
      <alignment vertical="center"/>
    </xf>
    <xf numFmtId="0" fontId="73" fillId="8" borderId="198" applyNumberFormat="0" applyAlignment="0" applyProtection="0">
      <alignment vertical="center"/>
    </xf>
    <xf numFmtId="0" fontId="2" fillId="37" borderId="199" applyNumberFormat="0" applyFont="0" applyAlignment="0" applyProtection="0">
      <alignment vertical="center"/>
    </xf>
    <xf numFmtId="0" fontId="34" fillId="66" borderId="198" applyNumberFormat="0" applyAlignment="0" applyProtection="0"/>
    <xf numFmtId="0" fontId="29" fillId="0" borderId="204">
      <alignment horizontal="left" vertical="center"/>
    </xf>
    <xf numFmtId="0" fontId="18" fillId="79" borderId="198" applyNumberFormat="0" applyAlignment="0" applyProtection="0"/>
    <xf numFmtId="0" fontId="73" fillId="8" borderId="198" applyNumberFormat="0" applyAlignment="0" applyProtection="0">
      <alignment vertical="center"/>
    </xf>
    <xf numFmtId="0" fontId="2" fillId="37" borderId="199" applyNumberFormat="0" applyFont="0" applyAlignment="0" applyProtection="0">
      <alignment vertical="center"/>
    </xf>
    <xf numFmtId="0" fontId="24" fillId="0" borderId="201" applyNumberFormat="0" applyFill="0" applyAlignment="0" applyProtection="0"/>
    <xf numFmtId="0" fontId="2" fillId="37" borderId="194" applyNumberFormat="0" applyFont="0" applyAlignment="0" applyProtection="0">
      <alignment vertical="center"/>
    </xf>
    <xf numFmtId="0" fontId="34" fillId="8" borderId="205" applyNumberFormat="0" applyAlignment="0" applyProtection="0"/>
    <xf numFmtId="0" fontId="34" fillId="8" borderId="205" applyNumberFormat="0" applyAlignment="0" applyProtection="0"/>
    <xf numFmtId="0" fontId="25" fillId="81" borderId="194" applyNumberFormat="0" applyAlignment="0" applyProtection="0"/>
    <xf numFmtId="0" fontId="25" fillId="81" borderId="194" applyNumberFormat="0" applyAlignment="0" applyProtection="0"/>
    <xf numFmtId="0" fontId="25" fillId="81" borderId="194" applyNumberFormat="0" applyAlignment="0" applyProtection="0"/>
    <xf numFmtId="0" fontId="46" fillId="79" borderId="195" applyNumberFormat="0" applyAlignment="0" applyProtection="0"/>
    <xf numFmtId="0" fontId="46" fillId="79" borderId="195" applyNumberFormat="0" applyAlignment="0" applyProtection="0"/>
    <xf numFmtId="0" fontId="46" fillId="79" borderId="195" applyNumberFormat="0" applyAlignment="0" applyProtection="0"/>
    <xf numFmtId="0" fontId="34" fillId="8" borderId="198" applyNumberFormat="0" applyAlignment="0" applyProtection="0"/>
    <xf numFmtId="0" fontId="7" fillId="37" borderId="199" applyNumberFormat="0" applyFont="0" applyAlignment="0" applyProtection="0"/>
    <xf numFmtId="0" fontId="24" fillId="0" borderId="196" applyNumberFormat="0" applyFill="0" applyAlignment="0" applyProtection="0"/>
    <xf numFmtId="0" fontId="2" fillId="37" borderId="194" applyNumberFormat="0" applyFont="0" applyAlignment="0" applyProtection="0">
      <alignment vertical="center"/>
    </xf>
    <xf numFmtId="0" fontId="73" fillId="8" borderId="192" applyNumberFormat="0" applyAlignment="0" applyProtection="0">
      <alignment vertical="center"/>
    </xf>
    <xf numFmtId="0" fontId="74" fillId="29" borderId="195" applyNumberFormat="0" applyAlignment="0" applyProtection="0">
      <alignment vertical="center"/>
    </xf>
    <xf numFmtId="0" fontId="82" fillId="29" borderId="192" applyNumberFormat="0" applyAlignment="0" applyProtection="0">
      <alignment vertical="center"/>
    </xf>
    <xf numFmtId="0" fontId="86" fillId="0" borderId="196" applyNumberFormat="0" applyFill="0" applyAlignment="0" applyProtection="0">
      <alignment vertical="center"/>
    </xf>
    <xf numFmtId="2" fontId="148" fillId="0" borderId="197" applyFont="0" applyBorder="0" applyAlignment="0" applyProtection="0">
      <alignment horizontal="right"/>
    </xf>
    <xf numFmtId="0" fontId="18" fillId="79" borderId="192" applyNumberFormat="0" applyAlignment="0" applyProtection="0"/>
    <xf numFmtId="0" fontId="18" fillId="79" borderId="192" applyNumberFormat="0" applyAlignment="0" applyProtection="0"/>
    <xf numFmtId="0" fontId="18" fillId="79" borderId="192" applyNumberFormat="0" applyAlignment="0" applyProtection="0"/>
    <xf numFmtId="0" fontId="29" fillId="0" borderId="193">
      <alignment horizontal="left" vertical="center"/>
    </xf>
    <xf numFmtId="0" fontId="29" fillId="0" borderId="193">
      <alignment horizontal="left" vertical="center"/>
    </xf>
    <xf numFmtId="0" fontId="29" fillId="0" borderId="193">
      <alignment horizontal="left" vertical="center"/>
    </xf>
    <xf numFmtId="0" fontId="34" fillId="66" borderId="192" applyNumberFormat="0" applyAlignment="0" applyProtection="0"/>
    <xf numFmtId="0" fontId="34" fillId="66" borderId="192" applyNumberFormat="0" applyAlignment="0" applyProtection="0"/>
    <xf numFmtId="0" fontId="34" fillId="66" borderId="192" applyNumberFormat="0" applyAlignment="0" applyProtection="0"/>
    <xf numFmtId="0" fontId="25" fillId="81" borderId="194" applyNumberFormat="0" applyAlignment="0" applyProtection="0"/>
    <xf numFmtId="0" fontId="25" fillId="81" borderId="194" applyNumberFormat="0" applyAlignment="0" applyProtection="0"/>
    <xf numFmtId="0" fontId="25" fillId="81" borderId="194" applyNumberFormat="0" applyAlignment="0" applyProtection="0"/>
    <xf numFmtId="0" fontId="46" fillId="79" borderId="195" applyNumberFormat="0" applyAlignment="0" applyProtection="0"/>
    <xf numFmtId="0" fontId="46" fillId="79" borderId="195" applyNumberFormat="0" applyAlignment="0" applyProtection="0"/>
    <xf numFmtId="0" fontId="46" fillId="79" borderId="195" applyNumberFormat="0" applyAlignment="0" applyProtection="0"/>
    <xf numFmtId="0" fontId="24" fillId="0" borderId="209" applyNumberFormat="0" applyFill="0" applyAlignment="0" applyProtection="0"/>
    <xf numFmtId="0" fontId="2" fillId="37" borderId="207" applyNumberFormat="0" applyFont="0" applyAlignment="0" applyProtection="0">
      <alignment vertical="center"/>
    </xf>
    <xf numFmtId="0" fontId="73" fillId="8" borderId="205" applyNumberFormat="0" applyAlignment="0" applyProtection="0">
      <alignment vertical="center"/>
    </xf>
    <xf numFmtId="0" fontId="74" fillId="29" borderId="208" applyNumberFormat="0" applyAlignment="0" applyProtection="0">
      <alignment vertical="center"/>
    </xf>
    <xf numFmtId="0" fontId="82" fillId="29" borderId="205" applyNumberFormat="0" applyAlignment="0" applyProtection="0">
      <alignment vertical="center"/>
    </xf>
    <xf numFmtId="0" fontId="86" fillId="0" borderId="209" applyNumberFormat="0" applyFill="0" applyAlignment="0" applyProtection="0">
      <alignment vertical="center"/>
    </xf>
    <xf numFmtId="2" fontId="148" fillId="0" borderId="210" applyFont="0" applyBorder="0" applyAlignment="0" applyProtection="0">
      <alignment horizontal="right"/>
    </xf>
    <xf numFmtId="0" fontId="18" fillId="79" borderId="205" applyNumberFormat="0" applyAlignment="0" applyProtection="0"/>
    <xf numFmtId="0" fontId="18" fillId="79" borderId="205" applyNumberFormat="0" applyAlignment="0" applyProtection="0"/>
    <xf numFmtId="0" fontId="18" fillId="79" borderId="205" applyNumberFormat="0" applyAlignment="0" applyProtection="0"/>
    <xf numFmtId="0" fontId="29" fillId="0" borderId="206">
      <alignment horizontal="left" vertical="center"/>
    </xf>
    <xf numFmtId="0" fontId="29" fillId="0" borderId="206">
      <alignment horizontal="left" vertical="center"/>
    </xf>
    <xf numFmtId="0" fontId="29" fillId="0" borderId="206">
      <alignment horizontal="left" vertical="center"/>
    </xf>
    <xf numFmtId="0" fontId="34" fillId="66" borderId="205" applyNumberFormat="0" applyAlignment="0" applyProtection="0"/>
    <xf numFmtId="0" fontId="34" fillId="66" borderId="205" applyNumberFormat="0" applyAlignment="0" applyProtection="0"/>
    <xf numFmtId="0" fontId="34" fillId="66" borderId="205" applyNumberFormat="0" applyAlignment="0" applyProtection="0"/>
    <xf numFmtId="0" fontId="25" fillId="81" borderId="207" applyNumberFormat="0" applyAlignment="0" applyProtection="0"/>
    <xf numFmtId="0" fontId="25" fillId="81" borderId="207" applyNumberFormat="0" applyAlignment="0" applyProtection="0"/>
    <xf numFmtId="0" fontId="25" fillId="81" borderId="207" applyNumberFormat="0" applyAlignment="0" applyProtection="0"/>
    <xf numFmtId="0" fontId="46" fillId="79" borderId="208" applyNumberFormat="0" applyAlignment="0" applyProtection="0"/>
    <xf numFmtId="0" fontId="46" fillId="79" borderId="208" applyNumberFormat="0" applyAlignment="0" applyProtection="0"/>
    <xf numFmtId="0" fontId="46" fillId="79" borderId="208" applyNumberFormat="0" applyAlignment="0" applyProtection="0"/>
    <xf numFmtId="0" fontId="156" fillId="0" borderId="0"/>
    <xf numFmtId="0" fontId="46" fillId="79" borderId="340" applyNumberFormat="0" applyAlignment="0" applyProtection="0"/>
    <xf numFmtId="0" fontId="34" fillId="8" borderId="235" applyNumberFormat="0" applyAlignment="0" applyProtection="0"/>
    <xf numFmtId="0" fontId="46" fillId="79" borderId="302" applyNumberFormat="0" applyAlignment="0" applyProtection="0"/>
    <xf numFmtId="0" fontId="46" fillId="79" borderId="227" applyNumberFormat="0" applyAlignment="0" applyProtection="0"/>
    <xf numFmtId="0" fontId="25" fillId="81" borderId="226" applyNumberFormat="0" applyAlignment="0" applyProtection="0"/>
    <xf numFmtId="0" fontId="3" fillId="0" borderId="0"/>
    <xf numFmtId="0" fontId="18" fillId="79" borderId="235" applyNumberFormat="0" applyAlignment="0" applyProtection="0"/>
    <xf numFmtId="0" fontId="34" fillId="8" borderId="263" applyNumberFormat="0" applyAlignment="0" applyProtection="0"/>
    <xf numFmtId="2" fontId="148" fillId="0" borderId="276" applyFont="0" applyBorder="0" applyAlignment="0" applyProtection="0">
      <alignment horizontal="right"/>
    </xf>
    <xf numFmtId="0" fontId="73" fillId="8" borderId="360" applyNumberFormat="0" applyAlignment="0" applyProtection="0">
      <alignment vertical="center"/>
    </xf>
    <xf numFmtId="0" fontId="34" fillId="66" borderId="224" applyNumberFormat="0" applyAlignment="0" applyProtection="0"/>
    <xf numFmtId="0" fontId="46" fillId="79" borderId="370" applyNumberFormat="0" applyAlignment="0" applyProtection="0"/>
    <xf numFmtId="0" fontId="34" fillId="8" borderId="235" applyNumberFormat="0" applyAlignment="0" applyProtection="0"/>
    <xf numFmtId="0" fontId="7" fillId="37" borderId="316" applyNumberFormat="0" applyFont="0" applyAlignment="0" applyProtection="0"/>
    <xf numFmtId="0" fontId="29" fillId="0" borderId="285">
      <alignment horizontal="left" vertical="center"/>
    </xf>
    <xf numFmtId="0" fontId="46" fillId="79" borderId="266" applyNumberFormat="0" applyAlignment="0" applyProtection="0"/>
    <xf numFmtId="0" fontId="18" fillId="79" borderId="213" applyNumberFormat="0" applyAlignment="0" applyProtection="0"/>
    <xf numFmtId="0" fontId="74" fillId="29" borderId="302" applyNumberFormat="0" applyAlignment="0" applyProtection="0">
      <alignment vertical="center"/>
    </xf>
    <xf numFmtId="43" fontId="3" fillId="0" borderId="0" applyFont="0" applyFill="0" applyBorder="0" applyAlignment="0" applyProtection="0"/>
    <xf numFmtId="0" fontId="46" fillId="79" borderId="274" applyNumberFormat="0" applyAlignment="0" applyProtection="0"/>
    <xf numFmtId="0" fontId="7" fillId="37" borderId="247" applyNumberFormat="0" applyFont="0" applyAlignment="0" applyProtection="0"/>
    <xf numFmtId="0" fontId="25" fillId="81" borderId="233" applyNumberFormat="0" applyAlignment="0" applyProtection="0"/>
    <xf numFmtId="0" fontId="24" fillId="0" borderId="275" applyNumberFormat="0" applyFill="0" applyAlignment="0" applyProtection="0"/>
    <xf numFmtId="0" fontId="25" fillId="81" borderId="255" applyNumberFormat="0" applyAlignment="0" applyProtection="0"/>
    <xf numFmtId="0" fontId="46" fillId="79" borderId="256" applyNumberFormat="0" applyAlignment="0" applyProtection="0"/>
    <xf numFmtId="0" fontId="74" fillId="29" borderId="259" applyNumberFormat="0" applyAlignment="0" applyProtection="0">
      <alignment vertical="center"/>
    </xf>
    <xf numFmtId="0" fontId="18" fillId="29" borderId="263" applyNumberFormat="0" applyAlignment="0" applyProtection="0"/>
    <xf numFmtId="0" fontId="156" fillId="0" borderId="0"/>
    <xf numFmtId="0" fontId="24" fillId="0" borderId="239" applyNumberFormat="0" applyFill="0" applyAlignment="0" applyProtection="0"/>
    <xf numFmtId="0" fontId="29" fillId="0" borderId="214">
      <alignment horizontal="left" vertical="center"/>
    </xf>
    <xf numFmtId="0" fontId="46" fillId="79" borderId="340" applyNumberFormat="0" applyAlignment="0" applyProtection="0"/>
    <xf numFmtId="0" fontId="73" fillId="8" borderId="338" applyNumberFormat="0" applyAlignment="0" applyProtection="0">
      <alignment vertical="center"/>
    </xf>
    <xf numFmtId="0" fontId="34" fillId="66" borderId="213" applyNumberFormat="0" applyAlignment="0" applyProtection="0"/>
    <xf numFmtId="0" fontId="86" fillId="0" borderId="239" applyNumberFormat="0" applyFill="0" applyAlignment="0" applyProtection="0">
      <alignment vertical="center"/>
    </xf>
    <xf numFmtId="0" fontId="2" fillId="37" borderId="237" applyNumberFormat="0" applyFont="0" applyAlignment="0" applyProtection="0">
      <alignment vertical="center"/>
    </xf>
    <xf numFmtId="0" fontId="46" fillId="79" borderId="340" applyNumberFormat="0" applyAlignment="0" applyProtection="0"/>
    <xf numFmtId="0" fontId="34" fillId="8" borderId="314" applyNumberFormat="0" applyAlignment="0" applyProtection="0"/>
    <xf numFmtId="0" fontId="46" fillId="29" borderId="383" applyNumberFormat="0" applyAlignment="0" applyProtection="0"/>
    <xf numFmtId="0" fontId="34" fillId="66" borderId="295" applyNumberFormat="0" applyAlignment="0" applyProtection="0"/>
    <xf numFmtId="0" fontId="18" fillId="79" borderId="310" applyNumberFormat="0" applyAlignment="0" applyProtection="0"/>
    <xf numFmtId="0" fontId="34" fillId="8" borderId="284" applyNumberFormat="0" applyAlignment="0" applyProtection="0"/>
    <xf numFmtId="0" fontId="34" fillId="8" borderId="235" applyNumberFormat="0" applyAlignment="0" applyProtection="0"/>
    <xf numFmtId="0" fontId="18" fillId="79" borderId="278" applyNumberFormat="0" applyAlignment="0" applyProtection="0"/>
    <xf numFmtId="0" fontId="34" fillId="8" borderId="314" applyNumberFormat="0" applyAlignment="0" applyProtection="0"/>
    <xf numFmtId="2" fontId="148" fillId="0" borderId="343" applyFont="0" applyBorder="0" applyAlignment="0" applyProtection="0">
      <alignment horizontal="right"/>
    </xf>
    <xf numFmtId="0" fontId="25" fillId="81" borderId="215" applyNumberFormat="0" applyAlignment="0" applyProtection="0"/>
    <xf numFmtId="0" fontId="46" fillId="79" borderId="216" applyNumberFormat="0" applyAlignment="0" applyProtection="0"/>
    <xf numFmtId="0" fontId="7" fillId="37" borderId="354" applyNumberFormat="0" applyFont="0" applyAlignment="0" applyProtection="0"/>
    <xf numFmtId="0" fontId="29" fillId="0" borderId="279">
      <alignment horizontal="left" vertical="center"/>
    </xf>
    <xf numFmtId="0" fontId="2" fillId="37" borderId="286" applyNumberFormat="0" applyFont="0" applyAlignment="0" applyProtection="0">
      <alignment vertical="center"/>
    </xf>
    <xf numFmtId="0" fontId="2" fillId="37" borderId="237" applyNumberFormat="0" applyFont="0" applyAlignment="0" applyProtection="0">
      <alignment vertical="center"/>
    </xf>
    <xf numFmtId="0" fontId="24" fillId="0" borderId="337" applyNumberFormat="0" applyFill="0" applyAlignment="0" applyProtection="0"/>
    <xf numFmtId="0" fontId="29" fillId="0" borderId="366">
      <alignment horizontal="left" vertical="center"/>
    </xf>
    <xf numFmtId="0" fontId="149" fillId="0" borderId="252" applyNumberFormat="0" applyFont="0">
      <alignment horizontal="center" vertical="center"/>
    </xf>
    <xf numFmtId="0" fontId="29" fillId="0" borderId="254">
      <alignment horizontal="left" vertical="center"/>
    </xf>
    <xf numFmtId="0" fontId="24" fillId="0" borderId="228" applyNumberFormat="0" applyFill="0" applyAlignment="0" applyProtection="0"/>
    <xf numFmtId="0" fontId="82" fillId="29" borderId="271" applyNumberFormat="0" applyAlignment="0" applyProtection="0">
      <alignment vertical="center"/>
    </xf>
    <xf numFmtId="0" fontId="34" fillId="8" borderId="345" applyNumberFormat="0" applyAlignment="0" applyProtection="0"/>
    <xf numFmtId="0" fontId="46" fillId="79" borderId="259" applyNumberFormat="0" applyAlignment="0" applyProtection="0"/>
    <xf numFmtId="0" fontId="46" fillId="79" borderId="227" applyNumberFormat="0" applyAlignment="0" applyProtection="0"/>
    <xf numFmtId="0" fontId="34" fillId="8" borderId="245" applyNumberFormat="0" applyAlignment="0" applyProtection="0"/>
    <xf numFmtId="0" fontId="149" fillId="0" borderId="290" applyNumberFormat="0" applyFont="0">
      <alignment horizontal="center" vertical="center"/>
    </xf>
    <xf numFmtId="0" fontId="34" fillId="8" borderId="235" applyNumberFormat="0" applyAlignment="0" applyProtection="0"/>
    <xf numFmtId="0" fontId="24" fillId="0" borderId="217" applyNumberFormat="0" applyFill="0" applyAlignment="0" applyProtection="0"/>
    <xf numFmtId="0" fontId="34" fillId="66" borderId="231" applyNumberFormat="0" applyAlignment="0" applyProtection="0"/>
    <xf numFmtId="0" fontId="29" fillId="0" borderId="346">
      <alignment horizontal="left" vertical="center"/>
    </xf>
    <xf numFmtId="0" fontId="86" fillId="0" borderId="239" applyNumberFormat="0" applyFill="0" applyAlignment="0" applyProtection="0">
      <alignment vertical="center"/>
    </xf>
    <xf numFmtId="0" fontId="46" fillId="79" borderId="248" applyNumberFormat="0" applyAlignment="0" applyProtection="0"/>
    <xf numFmtId="0" fontId="29" fillId="0" borderId="368">
      <alignment horizontal="left" vertical="center"/>
    </xf>
    <xf numFmtId="0" fontId="74" fillId="29" borderId="363" applyNumberFormat="0" applyAlignment="0" applyProtection="0">
      <alignment vertical="center"/>
    </xf>
    <xf numFmtId="0" fontId="82" fillId="29" borderId="299" applyNumberFormat="0" applyAlignment="0" applyProtection="0">
      <alignment vertical="center"/>
    </xf>
    <xf numFmtId="0" fontId="34" fillId="66" borderId="261" applyNumberFormat="0" applyAlignment="0" applyProtection="0"/>
    <xf numFmtId="0" fontId="86" fillId="0" borderId="288" applyNumberFormat="0" applyFill="0" applyAlignment="0" applyProtection="0">
      <alignment vertical="center"/>
    </xf>
    <xf numFmtId="0" fontId="34" fillId="8" borderId="376" applyNumberFormat="0" applyAlignment="0" applyProtection="0"/>
    <xf numFmtId="0" fontId="2" fillId="37" borderId="354" applyNumberFormat="0" applyFont="0" applyAlignment="0" applyProtection="0">
      <alignment vertical="center"/>
    </xf>
    <xf numFmtId="0" fontId="149" fillId="0" borderId="240" applyNumberFormat="0" applyFont="0">
      <alignment horizontal="center" vertical="center"/>
    </xf>
    <xf numFmtId="43" fontId="3" fillId="0" borderId="0" applyFont="0" applyFill="0" applyBorder="0" applyAlignment="0" applyProtection="0"/>
    <xf numFmtId="0" fontId="34" fillId="8" borderId="333" applyNumberFormat="0" applyAlignment="0" applyProtection="0"/>
    <xf numFmtId="0" fontId="29" fillId="0" borderId="225">
      <alignment horizontal="left" vertical="center"/>
    </xf>
    <xf numFmtId="0" fontId="29" fillId="0" borderId="225">
      <alignment horizontal="left" vertical="center"/>
    </xf>
    <xf numFmtId="0" fontId="29" fillId="0" borderId="225">
      <alignment horizontal="left" vertical="center"/>
    </xf>
    <xf numFmtId="0" fontId="18" fillId="29" borderId="235" applyNumberFormat="0" applyAlignment="0" applyProtection="0"/>
    <xf numFmtId="0" fontId="7" fillId="37" borderId="273" applyNumberFormat="0" applyFont="0" applyAlignment="0" applyProtection="0"/>
    <xf numFmtId="43" fontId="3" fillId="0" borderId="0" applyFill="0" applyBorder="0" applyAlignment="0"/>
    <xf numFmtId="0" fontId="29" fillId="0" borderId="277">
      <alignment horizontal="left" vertical="center"/>
    </xf>
    <xf numFmtId="43" fontId="3" fillId="0" borderId="0" applyFill="0" applyBorder="0" applyAlignment="0"/>
    <xf numFmtId="0" fontId="46" fillId="29" borderId="317" applyNumberFormat="0" applyAlignment="0" applyProtection="0"/>
    <xf numFmtId="0" fontId="18" fillId="79" borderId="224" applyNumberFormat="0" applyAlignment="0" applyProtection="0"/>
    <xf numFmtId="0" fontId="34" fillId="66" borderId="253" applyNumberFormat="0" applyAlignment="0" applyProtection="0"/>
    <xf numFmtId="0" fontId="18" fillId="79" borderId="295" applyNumberFormat="0" applyAlignment="0" applyProtection="0"/>
    <xf numFmtId="0" fontId="34" fillId="8" borderId="261" applyNumberFormat="0" applyAlignment="0" applyProtection="0"/>
    <xf numFmtId="0" fontId="34" fillId="8" borderId="352" applyNumberFormat="0" applyAlignment="0" applyProtection="0"/>
    <xf numFmtId="0" fontId="46" fillId="79" borderId="274" applyNumberFormat="0" applyAlignment="0" applyProtection="0"/>
    <xf numFmtId="0" fontId="25" fillId="81" borderId="373" applyNumberFormat="0" applyAlignment="0" applyProtection="0"/>
    <xf numFmtId="43" fontId="3" fillId="0" borderId="0" applyFont="0" applyFill="0" applyBorder="0" applyAlignment="0" applyProtection="0"/>
    <xf numFmtId="0" fontId="29" fillId="0" borderId="225">
      <alignment horizontal="left" vertical="center"/>
    </xf>
    <xf numFmtId="0" fontId="34" fillId="8" borderId="271" applyNumberFormat="0" applyAlignment="0" applyProtection="0"/>
    <xf numFmtId="0" fontId="34" fillId="8" borderId="360" applyNumberFormat="0" applyAlignment="0" applyProtection="0"/>
    <xf numFmtId="0" fontId="2" fillId="37" borderId="286" applyNumberFormat="0" applyFont="0" applyAlignment="0" applyProtection="0">
      <alignment vertical="center"/>
    </xf>
    <xf numFmtId="43" fontId="3" fillId="0" borderId="0" applyFont="0" applyFill="0" applyBorder="0" applyAlignment="0" applyProtection="0"/>
    <xf numFmtId="0" fontId="18" fillId="79" borderId="224" applyNumberFormat="0" applyAlignment="0" applyProtection="0"/>
    <xf numFmtId="0" fontId="2" fillId="37" borderId="215" applyNumberFormat="0" applyFont="0" applyAlignment="0" applyProtection="0">
      <alignment vertical="center"/>
    </xf>
    <xf numFmtId="0" fontId="73" fillId="8" borderId="213" applyNumberFormat="0" applyAlignment="0" applyProtection="0">
      <alignment vertical="center"/>
    </xf>
    <xf numFmtId="0" fontId="74" fillId="29" borderId="216" applyNumberFormat="0" applyAlignment="0" applyProtection="0">
      <alignment vertical="center"/>
    </xf>
    <xf numFmtId="0" fontId="82" fillId="29" borderId="213" applyNumberFormat="0" applyAlignment="0" applyProtection="0">
      <alignment vertical="center"/>
    </xf>
    <xf numFmtId="0" fontId="86" fillId="0" borderId="217" applyNumberFormat="0" applyFill="0" applyAlignment="0" applyProtection="0">
      <alignment vertical="center"/>
    </xf>
    <xf numFmtId="0" fontId="29" fillId="0" borderId="372">
      <alignment horizontal="left" vertical="center"/>
    </xf>
    <xf numFmtId="0" fontId="25" fillId="81" borderId="327" applyNumberFormat="0" applyAlignment="0" applyProtection="0"/>
    <xf numFmtId="0" fontId="34" fillId="8" borderId="213" applyNumberFormat="0" applyAlignment="0" applyProtection="0"/>
    <xf numFmtId="0" fontId="34" fillId="8" borderId="213" applyNumberFormat="0" applyAlignment="0" applyProtection="0"/>
    <xf numFmtId="0" fontId="34" fillId="8" borderId="213" applyNumberFormat="0" applyAlignment="0" applyProtection="0"/>
    <xf numFmtId="0" fontId="34" fillId="8" borderId="213" applyNumberFormat="0" applyAlignment="0" applyProtection="0"/>
    <xf numFmtId="0" fontId="34" fillId="8" borderId="213" applyNumberFormat="0" applyAlignment="0" applyProtection="0"/>
    <xf numFmtId="0" fontId="74" fillId="29" borderId="317" applyNumberFormat="0" applyAlignment="0" applyProtection="0">
      <alignment vertical="center"/>
    </xf>
    <xf numFmtId="0" fontId="29" fillId="0" borderId="386">
      <alignment horizontal="left" vertical="center"/>
    </xf>
    <xf numFmtId="0" fontId="29" fillId="0" borderId="254">
      <alignment horizontal="left" vertical="center"/>
    </xf>
    <xf numFmtId="0" fontId="29" fillId="0" borderId="279">
      <alignment horizontal="left" vertical="center"/>
    </xf>
    <xf numFmtId="0" fontId="29" fillId="0" borderId="387">
      <alignment horizontal="left" vertical="center"/>
    </xf>
    <xf numFmtId="0" fontId="25" fillId="81" borderId="286" applyNumberFormat="0" applyAlignment="0" applyProtection="0"/>
    <xf numFmtId="0" fontId="34" fillId="66" borderId="371" applyNumberFormat="0" applyAlignment="0" applyProtection="0"/>
    <xf numFmtId="0" fontId="34" fillId="8" borderId="314" applyNumberFormat="0" applyAlignment="0" applyProtection="0"/>
    <xf numFmtId="0" fontId="34" fillId="66" borderId="253" applyNumberFormat="0" applyAlignment="0" applyProtection="0"/>
    <xf numFmtId="0" fontId="34" fillId="8" borderId="261" applyNumberFormat="0" applyAlignment="0" applyProtection="0"/>
    <xf numFmtId="0" fontId="34" fillId="66" borderId="263" applyNumberFormat="0" applyAlignment="0" applyProtection="0"/>
    <xf numFmtId="0" fontId="25" fillId="81" borderId="255" applyNumberFormat="0" applyAlignment="0" applyProtection="0"/>
    <xf numFmtId="43" fontId="3" fillId="0" borderId="0" applyFont="0" applyFill="0" applyBorder="0" applyAlignment="0" applyProtection="0"/>
    <xf numFmtId="0" fontId="82" fillId="29" borderId="245" applyNumberFormat="0" applyAlignment="0" applyProtection="0">
      <alignment vertical="center"/>
    </xf>
    <xf numFmtId="0" fontId="34" fillId="8" borderId="299" applyNumberFormat="0" applyAlignment="0" applyProtection="0"/>
    <xf numFmtId="0" fontId="3" fillId="0" borderId="0"/>
    <xf numFmtId="0" fontId="73" fillId="8" borderId="271" applyNumberFormat="0" applyAlignment="0" applyProtection="0">
      <alignment vertical="center"/>
    </xf>
    <xf numFmtId="0" fontId="25" fillId="81" borderId="255" applyNumberFormat="0" applyAlignment="0" applyProtection="0"/>
    <xf numFmtId="0" fontId="73" fillId="8" borderId="245" applyNumberFormat="0" applyAlignment="0" applyProtection="0">
      <alignment vertical="center"/>
    </xf>
    <xf numFmtId="0" fontId="74" fillId="29" borderId="248" applyNumberFormat="0" applyAlignment="0" applyProtection="0">
      <alignment vertical="center"/>
    </xf>
    <xf numFmtId="0" fontId="3" fillId="0" borderId="0"/>
    <xf numFmtId="0" fontId="2" fillId="37" borderId="273" applyNumberFormat="0" applyFont="0" applyAlignment="0" applyProtection="0">
      <alignment vertical="center"/>
    </xf>
    <xf numFmtId="0" fontId="18" fillId="79" borderId="291" applyNumberFormat="0" applyAlignment="0" applyProtection="0"/>
    <xf numFmtId="0" fontId="34" fillId="8" borderId="235" applyNumberFormat="0" applyAlignment="0" applyProtection="0"/>
    <xf numFmtId="0" fontId="34" fillId="8" borderId="235" applyNumberFormat="0" applyAlignment="0" applyProtection="0"/>
    <xf numFmtId="0" fontId="86" fillId="0" borderId="249" applyNumberFormat="0" applyFill="0" applyAlignment="0" applyProtection="0">
      <alignment vertical="center"/>
    </xf>
    <xf numFmtId="0" fontId="46" fillId="79" borderId="294" applyNumberFormat="0" applyAlignment="0" applyProtection="0"/>
    <xf numFmtId="0" fontId="18" fillId="79" borderId="284" applyNumberFormat="0" applyAlignment="0" applyProtection="0"/>
    <xf numFmtId="0" fontId="34" fillId="8" borderId="333" applyNumberFormat="0" applyAlignment="0" applyProtection="0"/>
    <xf numFmtId="0" fontId="34" fillId="66" borderId="291" applyNumberFormat="0" applyAlignment="0" applyProtection="0"/>
    <xf numFmtId="0" fontId="34" fillId="66" borderId="278" applyNumberFormat="0" applyAlignment="0" applyProtection="0"/>
    <xf numFmtId="0" fontId="34" fillId="8" borderId="360" applyNumberFormat="0" applyAlignment="0" applyProtection="0"/>
    <xf numFmtId="0" fontId="29" fillId="0" borderId="277">
      <alignment horizontal="left" vertical="center"/>
    </xf>
    <xf numFmtId="0" fontId="2" fillId="37" borderId="258" applyNumberFormat="0" applyFont="0" applyAlignment="0" applyProtection="0">
      <alignment vertical="center"/>
    </xf>
    <xf numFmtId="0" fontId="18" fillId="79" borderId="371" applyNumberFormat="0" applyAlignment="0" applyProtection="0"/>
    <xf numFmtId="0" fontId="24" fillId="0" borderId="260" applyNumberFormat="0" applyFill="0" applyAlignment="0" applyProtection="0"/>
    <xf numFmtId="0" fontId="29" fillId="0" borderId="326">
      <alignment horizontal="left" vertical="center"/>
    </xf>
    <xf numFmtId="0" fontId="34" fillId="66" borderId="271" applyNumberFormat="0" applyAlignment="0" applyProtection="0"/>
    <xf numFmtId="0" fontId="73" fillId="8" borderId="263" applyNumberFormat="0" applyAlignment="0" applyProtection="0">
      <alignment vertical="center"/>
    </xf>
    <xf numFmtId="0" fontId="29" fillId="0" borderId="264">
      <alignment horizontal="left" vertical="center"/>
    </xf>
    <xf numFmtId="0" fontId="18" fillId="79" borderId="224" applyNumberFormat="0" applyAlignment="0" applyProtection="0"/>
    <xf numFmtId="0" fontId="2" fillId="37" borderId="301" applyNumberFormat="0" applyFont="0" applyAlignment="0" applyProtection="0">
      <alignment vertical="center"/>
    </xf>
    <xf numFmtId="0" fontId="25" fillId="81" borderId="347" applyNumberFormat="0" applyAlignment="0" applyProtection="0"/>
    <xf numFmtId="0" fontId="25" fillId="81" borderId="273" applyNumberFormat="0" applyAlignment="0" applyProtection="0"/>
    <xf numFmtId="0" fontId="46" fillId="79" borderId="294" applyNumberFormat="0" applyAlignment="0" applyProtection="0"/>
    <xf numFmtId="0" fontId="46" fillId="79" borderId="374" applyNumberFormat="0" applyAlignment="0" applyProtection="0"/>
    <xf numFmtId="0" fontId="34" fillId="8" borderId="271" applyNumberFormat="0" applyAlignment="0" applyProtection="0"/>
    <xf numFmtId="0" fontId="7" fillId="37" borderId="258" applyNumberFormat="0" applyFont="0" applyAlignment="0" applyProtection="0"/>
    <xf numFmtId="0" fontId="29" fillId="0" borderId="307">
      <alignment horizontal="left" vertical="center"/>
    </xf>
    <xf numFmtId="0" fontId="18" fillId="29" borderId="245" applyNumberFormat="0" applyAlignment="0" applyProtection="0"/>
    <xf numFmtId="0" fontId="25" fillId="81" borderId="312" applyNumberFormat="0" applyAlignment="0" applyProtection="0"/>
    <xf numFmtId="0" fontId="25" fillId="81" borderId="369" applyNumberFormat="0" applyAlignment="0" applyProtection="0"/>
    <xf numFmtId="0" fontId="29" fillId="0" borderId="330">
      <alignment horizontal="left" vertical="center"/>
    </xf>
    <xf numFmtId="0" fontId="2" fillId="37" borderId="335" applyNumberFormat="0" applyFont="0" applyAlignment="0" applyProtection="0">
      <alignment vertical="center"/>
    </xf>
    <xf numFmtId="0" fontId="34" fillId="8" borderId="314" applyNumberFormat="0" applyAlignment="0" applyProtection="0"/>
    <xf numFmtId="0" fontId="18" fillId="79" borderId="291" applyNumberFormat="0" applyAlignment="0" applyProtection="0"/>
    <xf numFmtId="0" fontId="34" fillId="66" borderId="224" applyNumberFormat="0" applyAlignment="0" applyProtection="0"/>
    <xf numFmtId="0" fontId="34" fillId="8" borderId="352" applyNumberFormat="0" applyAlignment="0" applyProtection="0"/>
    <xf numFmtId="0" fontId="29" fillId="0" borderId="257">
      <alignment horizontal="left" vertical="center"/>
    </xf>
    <xf numFmtId="0" fontId="29" fillId="0" borderId="361">
      <alignment horizontal="left" vertical="center"/>
    </xf>
    <xf numFmtId="43" fontId="3" fillId="0" borderId="0" applyFont="0" applyFill="0" applyBorder="0" applyAlignment="0" applyProtection="0"/>
    <xf numFmtId="0" fontId="25" fillId="81" borderId="297" applyNumberFormat="0" applyAlignment="0" applyProtection="0"/>
    <xf numFmtId="0" fontId="25" fillId="81" borderId="382" applyNumberFormat="0" applyAlignment="0" applyProtection="0"/>
    <xf numFmtId="0" fontId="25" fillId="81" borderId="293" applyNumberFormat="0" applyAlignment="0" applyProtection="0"/>
    <xf numFmtId="0" fontId="74" fillId="29" borderId="317" applyNumberFormat="0" applyAlignment="0" applyProtection="0">
      <alignment vertical="center"/>
    </xf>
    <xf numFmtId="0" fontId="34" fillId="8" borderId="263" applyNumberFormat="0" applyAlignment="0" applyProtection="0"/>
    <xf numFmtId="0" fontId="156" fillId="0" borderId="0"/>
    <xf numFmtId="0" fontId="34" fillId="8" borderId="284" applyNumberFormat="0" applyAlignment="0" applyProtection="0"/>
    <xf numFmtId="0" fontId="46" fillId="79" borderId="281" applyNumberFormat="0" applyAlignment="0" applyProtection="0"/>
    <xf numFmtId="0" fontId="29" fillId="0" borderId="246">
      <alignment horizontal="left" vertical="center"/>
    </xf>
    <xf numFmtId="0" fontId="46" fillId="29" borderId="317" applyNumberFormat="0" applyAlignment="0" applyProtection="0"/>
    <xf numFmtId="0" fontId="18" fillId="79" borderId="231" applyNumberFormat="0" applyAlignment="0" applyProtection="0"/>
    <xf numFmtId="0" fontId="46" fillId="79" borderId="256" applyNumberFormat="0" applyAlignment="0" applyProtection="0"/>
    <xf numFmtId="0" fontId="86" fillId="0" borderId="288" applyNumberFormat="0" applyFill="0" applyAlignment="0" applyProtection="0">
      <alignment vertical="center"/>
    </xf>
    <xf numFmtId="0" fontId="29" fillId="0" borderId="350">
      <alignment horizontal="left" vertical="center"/>
    </xf>
    <xf numFmtId="43" fontId="3" fillId="0" borderId="0" applyFont="0" applyFill="0" applyBorder="0" applyAlignment="0" applyProtection="0"/>
    <xf numFmtId="0" fontId="82" fillId="29" borderId="235" applyNumberFormat="0" applyAlignment="0" applyProtection="0">
      <alignment vertical="center"/>
    </xf>
    <xf numFmtId="0" fontId="34" fillId="8" borderId="245" applyNumberFormat="0" applyAlignment="0" applyProtection="0"/>
    <xf numFmtId="0" fontId="34" fillId="8" borderId="245" applyNumberFormat="0" applyAlignment="0" applyProtection="0"/>
    <xf numFmtId="0" fontId="34" fillId="8" borderId="261" applyNumberFormat="0" applyAlignment="0" applyProtection="0"/>
    <xf numFmtId="43" fontId="3" fillId="0" borderId="0" applyFont="0" applyFill="0" applyBorder="0" applyAlignment="0" applyProtection="0"/>
    <xf numFmtId="0" fontId="34" fillId="8" borderId="235" applyNumberFormat="0" applyAlignment="0" applyProtection="0"/>
    <xf numFmtId="0" fontId="34" fillId="8" borderId="235" applyNumberFormat="0" applyAlignment="0" applyProtection="0"/>
    <xf numFmtId="0" fontId="82" fillId="29" borderId="271" applyNumberFormat="0" applyAlignment="0" applyProtection="0">
      <alignment vertical="center"/>
    </xf>
    <xf numFmtId="0" fontId="34" fillId="8" borderId="345" applyNumberFormat="0" applyAlignment="0" applyProtection="0"/>
    <xf numFmtId="0" fontId="24" fillId="0" borderId="364" applyNumberFormat="0" applyFill="0" applyAlignment="0" applyProtection="0"/>
    <xf numFmtId="0" fontId="34" fillId="66" borderId="306" applyNumberFormat="0" applyAlignment="0" applyProtection="0"/>
    <xf numFmtId="0" fontId="29" fillId="0" borderId="269">
      <alignment horizontal="left" vertical="center"/>
    </xf>
    <xf numFmtId="0" fontId="34" fillId="8" borderId="314" applyNumberFormat="0" applyAlignment="0" applyProtection="0"/>
    <xf numFmtId="0" fontId="18" fillId="29" borderId="213" applyNumberFormat="0" applyAlignment="0" applyProtection="0"/>
    <xf numFmtId="0" fontId="46" fillId="29" borderId="336" applyNumberFormat="0" applyAlignment="0" applyProtection="0"/>
    <xf numFmtId="0" fontId="74" fillId="29" borderId="248" applyNumberFormat="0" applyAlignment="0" applyProtection="0">
      <alignment vertical="center"/>
    </xf>
    <xf numFmtId="0" fontId="34" fillId="66" borderId="310" applyNumberFormat="0" applyAlignment="0" applyProtection="0"/>
    <xf numFmtId="0" fontId="29" fillId="0" borderId="251">
      <alignment horizontal="left" vertical="center"/>
    </xf>
    <xf numFmtId="0" fontId="34" fillId="8" borderId="284" applyNumberFormat="0" applyAlignment="0" applyProtection="0"/>
    <xf numFmtId="0" fontId="82" fillId="29" borderId="299" applyNumberFormat="0" applyAlignment="0" applyProtection="0">
      <alignment vertical="center"/>
    </xf>
    <xf numFmtId="0" fontId="34" fillId="8" borderId="263" applyNumberFormat="0" applyAlignment="0" applyProtection="0"/>
    <xf numFmtId="0" fontId="34" fillId="8" borderId="263" applyNumberFormat="0" applyAlignment="0" applyProtection="0"/>
    <xf numFmtId="0" fontId="86" fillId="0" borderId="303" applyNumberFormat="0" applyFill="0" applyAlignment="0" applyProtection="0">
      <alignment vertical="center"/>
    </xf>
    <xf numFmtId="0" fontId="25" fillId="81" borderId="308" applyNumberFormat="0" applyAlignment="0" applyProtection="0"/>
    <xf numFmtId="0" fontId="34" fillId="8" borderId="263" applyNumberFormat="0" applyAlignment="0" applyProtection="0"/>
    <xf numFmtId="0" fontId="34" fillId="8" borderId="371" applyNumberFormat="0" applyAlignment="0" applyProtection="0"/>
    <xf numFmtId="0" fontId="34" fillId="8" borderId="245" applyNumberFormat="0" applyAlignment="0" applyProtection="0"/>
    <xf numFmtId="0" fontId="34" fillId="8" borderId="333" applyNumberFormat="0" applyAlignment="0" applyProtection="0"/>
    <xf numFmtId="0" fontId="29" fillId="0" borderId="251">
      <alignment horizontal="left" vertical="center"/>
    </xf>
    <xf numFmtId="0" fontId="46" fillId="29" borderId="266" applyNumberFormat="0" applyAlignment="0" applyProtection="0"/>
    <xf numFmtId="0" fontId="34" fillId="8" borderId="284" applyNumberFormat="0" applyAlignment="0" applyProtection="0"/>
    <xf numFmtId="0" fontId="29" fillId="0" borderId="223">
      <alignment horizontal="left" vertical="center"/>
    </xf>
    <xf numFmtId="0" fontId="18" fillId="79" borderId="231" applyNumberFormat="0" applyAlignment="0" applyProtection="0"/>
    <xf numFmtId="0" fontId="18" fillId="29" borderId="224" applyNumberFormat="0" applyAlignment="0" applyProtection="0"/>
    <xf numFmtId="0" fontId="29" fillId="0" borderId="326">
      <alignment horizontal="left" vertical="center"/>
    </xf>
    <xf numFmtId="0" fontId="29" fillId="0" borderId="232">
      <alignment horizontal="left" vertical="center"/>
    </xf>
    <xf numFmtId="0" fontId="34" fillId="66" borderId="231" applyNumberFormat="0" applyAlignment="0" applyProtection="0"/>
    <xf numFmtId="0" fontId="34" fillId="66" borderId="231" applyNumberFormat="0" applyAlignment="0" applyProtection="0"/>
    <xf numFmtId="0" fontId="34" fillId="8" borderId="263" applyNumberFormat="0" applyAlignment="0" applyProtection="0"/>
    <xf numFmtId="0" fontId="46" fillId="79" borderId="317" applyNumberFormat="0" applyAlignment="0" applyProtection="0"/>
    <xf numFmtId="0" fontId="34" fillId="8" borderId="299" applyNumberFormat="0" applyAlignment="0" applyProtection="0"/>
    <xf numFmtId="0" fontId="34" fillId="8" borderId="333" applyNumberFormat="0" applyAlignment="0" applyProtection="0"/>
    <xf numFmtId="0" fontId="18" fillId="79" borderId="310" applyNumberFormat="0" applyAlignment="0" applyProtection="0"/>
    <xf numFmtId="0" fontId="24" fillId="0" borderId="249" applyNumberFormat="0" applyFill="0" applyAlignment="0" applyProtection="0"/>
    <xf numFmtId="0" fontId="34" fillId="8" borderId="245" applyNumberFormat="0" applyAlignment="0" applyProtection="0"/>
    <xf numFmtId="0" fontId="34" fillId="66" borderId="241" applyNumberFormat="0" applyAlignment="0" applyProtection="0"/>
    <xf numFmtId="0" fontId="34" fillId="8" borderId="271" applyNumberFormat="0" applyAlignment="0" applyProtection="0"/>
    <xf numFmtId="0" fontId="34" fillId="8" borderId="371" applyNumberFormat="0" applyAlignment="0" applyProtection="0"/>
    <xf numFmtId="0" fontId="29" fillId="0" borderId="272">
      <alignment horizontal="left" vertical="center"/>
    </xf>
    <xf numFmtId="0" fontId="25" fillId="81" borderId="316" applyNumberFormat="0" applyAlignment="0" applyProtection="0"/>
    <xf numFmtId="0" fontId="46" fillId="79" borderId="328" applyNumberFormat="0" applyAlignment="0" applyProtection="0"/>
    <xf numFmtId="0" fontId="24" fillId="0" borderId="303" applyNumberFormat="0" applyFill="0" applyAlignment="0" applyProtection="0"/>
    <xf numFmtId="0" fontId="82" fillId="29" borderId="235" applyNumberFormat="0" applyAlignment="0" applyProtection="0">
      <alignment vertical="center"/>
    </xf>
    <xf numFmtId="0" fontId="24" fillId="0" borderId="239" applyNumberFormat="0" applyFill="0" applyAlignment="0" applyProtection="0"/>
    <xf numFmtId="0" fontId="46" fillId="79" borderId="298" applyNumberFormat="0" applyAlignment="0" applyProtection="0"/>
    <xf numFmtId="0" fontId="34" fillId="8" borderId="345" applyNumberFormat="0" applyAlignment="0" applyProtection="0"/>
    <xf numFmtId="0" fontId="34" fillId="8" borderId="245" applyNumberFormat="0" applyAlignment="0" applyProtection="0"/>
    <xf numFmtId="0" fontId="34" fillId="8" borderId="245" applyNumberFormat="0" applyAlignment="0" applyProtection="0"/>
    <xf numFmtId="0" fontId="34" fillId="66" borderId="235" applyNumberFormat="0" applyAlignment="0" applyProtection="0"/>
    <xf numFmtId="0" fontId="82" fillId="29" borderId="263" applyNumberFormat="0" applyAlignment="0" applyProtection="0">
      <alignment vertical="center"/>
    </xf>
    <xf numFmtId="0" fontId="46" fillId="79" borderId="256" applyNumberFormat="0" applyAlignment="0" applyProtection="0"/>
    <xf numFmtId="0" fontId="18" fillId="29" borderId="271" applyNumberFormat="0" applyAlignment="0" applyProtection="0"/>
    <xf numFmtId="0" fontId="18" fillId="29" borderId="235" applyNumberFormat="0" applyAlignment="0" applyProtection="0"/>
    <xf numFmtId="0" fontId="34" fillId="8" borderId="299" applyNumberFormat="0" applyAlignment="0" applyProtection="0"/>
    <xf numFmtId="0" fontId="34" fillId="8" borderId="235" applyNumberFormat="0" applyAlignment="0" applyProtection="0"/>
    <xf numFmtId="0" fontId="34" fillId="8" borderId="235" applyNumberFormat="0" applyAlignment="0" applyProtection="0"/>
    <xf numFmtId="0" fontId="18" fillId="79" borderId="329" applyNumberFormat="0" applyAlignment="0" applyProtection="0"/>
    <xf numFmtId="0" fontId="34" fillId="66" borderId="253" applyNumberFormat="0" applyAlignment="0" applyProtection="0"/>
    <xf numFmtId="0" fontId="34" fillId="8" borderId="224" applyNumberFormat="0" applyAlignment="0" applyProtection="0"/>
    <xf numFmtId="0" fontId="34" fillId="8" borderId="224" applyNumberFormat="0" applyAlignment="0" applyProtection="0"/>
    <xf numFmtId="0" fontId="34" fillId="8" borderId="224" applyNumberFormat="0" applyAlignment="0" applyProtection="0"/>
    <xf numFmtId="0" fontId="34" fillId="8" borderId="299" applyNumberFormat="0" applyAlignment="0" applyProtection="0"/>
    <xf numFmtId="0" fontId="34" fillId="8" borderId="271" applyNumberFormat="0" applyAlignment="0" applyProtection="0"/>
    <xf numFmtId="0" fontId="86" fillId="0" borderId="228" applyNumberFormat="0" applyFill="0" applyAlignment="0" applyProtection="0">
      <alignment vertical="center"/>
    </xf>
    <xf numFmtId="0" fontId="29" fillId="0" borderId="257">
      <alignment horizontal="left" vertical="center"/>
    </xf>
    <xf numFmtId="0" fontId="34" fillId="8" borderId="345" applyNumberFormat="0" applyAlignment="0" applyProtection="0"/>
    <xf numFmtId="0" fontId="34" fillId="8" borderId="299" applyNumberFormat="0" applyAlignment="0" applyProtection="0"/>
    <xf numFmtId="0" fontId="74" fillId="29" borderId="227" applyNumberFormat="0" applyAlignment="0" applyProtection="0">
      <alignment vertical="center"/>
    </xf>
    <xf numFmtId="0" fontId="73" fillId="8" borderId="224" applyNumberFormat="0" applyAlignment="0" applyProtection="0">
      <alignment vertical="center"/>
    </xf>
    <xf numFmtId="0" fontId="2" fillId="37" borderId="226" applyNumberFormat="0" applyFont="0" applyAlignment="0" applyProtection="0">
      <alignment vertical="center"/>
    </xf>
    <xf numFmtId="0" fontId="74" fillId="29" borderId="259" applyNumberFormat="0" applyAlignment="0" applyProtection="0">
      <alignment vertical="center"/>
    </xf>
    <xf numFmtId="0" fontId="34" fillId="8" borderId="352" applyNumberFormat="0" applyAlignment="0" applyProtection="0"/>
    <xf numFmtId="0" fontId="73" fillId="8" borderId="245" applyNumberFormat="0" applyAlignment="0" applyProtection="0">
      <alignment vertical="center"/>
    </xf>
    <xf numFmtId="0" fontId="18" fillId="79" borderId="306" applyNumberFormat="0" applyAlignment="0" applyProtection="0"/>
    <xf numFmtId="0" fontId="34" fillId="8" borderId="381" applyNumberFormat="0" applyAlignment="0" applyProtection="0"/>
    <xf numFmtId="0" fontId="7" fillId="37" borderId="237" applyNumberFormat="0" applyFont="0" applyAlignment="0" applyProtection="0"/>
    <xf numFmtId="0" fontId="29" fillId="0" borderId="272">
      <alignment horizontal="left" vertical="center"/>
    </xf>
    <xf numFmtId="0" fontId="2" fillId="37" borderId="265" applyNumberFormat="0" applyFont="0" applyAlignment="0" applyProtection="0">
      <alignment vertical="center"/>
    </xf>
    <xf numFmtId="0" fontId="34" fillId="8" borderId="271" applyNumberFormat="0" applyAlignment="0" applyProtection="0"/>
    <xf numFmtId="0" fontId="24" fillId="0" borderId="288" applyNumberFormat="0" applyFill="0" applyAlignment="0" applyProtection="0"/>
    <xf numFmtId="0" fontId="82" fillId="29" borderId="338" applyNumberFormat="0" applyAlignment="0" applyProtection="0">
      <alignment vertical="center"/>
    </xf>
    <xf numFmtId="0" fontId="34" fillId="66" borderId="245" applyNumberFormat="0" applyAlignment="0" applyProtection="0"/>
    <xf numFmtId="0" fontId="34" fillId="8" borderId="235" applyNumberFormat="0" applyAlignment="0" applyProtection="0"/>
    <xf numFmtId="0" fontId="86" fillId="0" borderId="260" applyNumberFormat="0" applyFill="0" applyAlignment="0" applyProtection="0">
      <alignment vertical="center"/>
    </xf>
    <xf numFmtId="0" fontId="18" fillId="79" borderId="310" applyNumberFormat="0" applyAlignment="0" applyProtection="0"/>
    <xf numFmtId="0" fontId="29" fillId="0" borderId="279">
      <alignment horizontal="left" vertical="center"/>
    </xf>
    <xf numFmtId="0" fontId="25" fillId="81" borderId="233" applyNumberFormat="0" applyAlignment="0" applyProtection="0"/>
    <xf numFmtId="0" fontId="46" fillId="79" borderId="234" applyNumberFormat="0" applyAlignment="0" applyProtection="0"/>
    <xf numFmtId="0" fontId="25" fillId="81" borderId="339" applyNumberFormat="0" applyAlignment="0" applyProtection="0"/>
    <xf numFmtId="0" fontId="149" fillId="0" borderId="305" applyNumberFormat="0" applyFont="0">
      <alignment horizontal="center" vertical="center"/>
    </xf>
    <xf numFmtId="0" fontId="29" fillId="0" borderId="368">
      <alignment horizontal="left" vertical="center"/>
    </xf>
    <xf numFmtId="0" fontId="86" fillId="0" borderId="249" applyNumberFormat="0" applyFill="0" applyAlignment="0" applyProtection="0">
      <alignment vertical="center"/>
    </xf>
    <xf numFmtId="0" fontId="18" fillId="79" borderId="253" applyNumberFormat="0" applyAlignment="0" applyProtection="0"/>
    <xf numFmtId="0" fontId="74" fillId="29" borderId="274" applyNumberFormat="0" applyAlignment="0" applyProtection="0">
      <alignment vertical="center"/>
    </xf>
    <xf numFmtId="0" fontId="3" fillId="0" borderId="0"/>
    <xf numFmtId="0" fontId="18" fillId="29" borderId="314" applyNumberFormat="0" applyAlignment="0" applyProtection="0"/>
    <xf numFmtId="0" fontId="18" fillId="79" borderId="329" applyNumberFormat="0" applyAlignment="0" applyProtection="0"/>
    <xf numFmtId="0" fontId="18" fillId="79" borderId="381" applyNumberFormat="0" applyAlignment="0" applyProtection="0"/>
    <xf numFmtId="0" fontId="34" fillId="8" borderId="235" applyNumberFormat="0" applyAlignment="0" applyProtection="0"/>
    <xf numFmtId="0" fontId="82" fillId="29" borderId="245" applyNumberFormat="0" applyAlignment="0" applyProtection="0">
      <alignment vertical="center"/>
    </xf>
    <xf numFmtId="0" fontId="29" fillId="0" borderId="257">
      <alignment horizontal="left" vertical="center"/>
    </xf>
    <xf numFmtId="0" fontId="82" fillId="29" borderId="235" applyNumberFormat="0" applyAlignment="0" applyProtection="0">
      <alignment vertical="center"/>
    </xf>
    <xf numFmtId="0" fontId="18" fillId="79" borderId="278" applyNumberFormat="0" applyAlignment="0" applyProtection="0"/>
    <xf numFmtId="0" fontId="74" fillId="29" borderId="238" applyNumberFormat="0" applyAlignment="0" applyProtection="0">
      <alignment vertical="center"/>
    </xf>
    <xf numFmtId="0" fontId="46" fillId="29" borderId="238" applyNumberFormat="0" applyAlignment="0" applyProtection="0"/>
    <xf numFmtId="0" fontId="46" fillId="79" borderId="227" applyNumberFormat="0" applyAlignment="0" applyProtection="0"/>
    <xf numFmtId="0" fontId="46" fillId="79" borderId="227" applyNumberFormat="0" applyAlignment="0" applyProtection="0"/>
    <xf numFmtId="0" fontId="25" fillId="81" borderId="226" applyNumberFormat="0" applyAlignment="0" applyProtection="0"/>
    <xf numFmtId="0" fontId="25" fillId="81" borderId="226" applyNumberFormat="0" applyAlignment="0" applyProtection="0"/>
    <xf numFmtId="0" fontId="34" fillId="8" borderId="263" applyNumberFormat="0" applyAlignment="0" applyProtection="0"/>
    <xf numFmtId="0" fontId="18" fillId="79" borderId="245" applyNumberFormat="0" applyAlignment="0" applyProtection="0"/>
    <xf numFmtId="0" fontId="34" fillId="8" borderId="371" applyNumberFormat="0" applyAlignment="0" applyProtection="0"/>
    <xf numFmtId="0" fontId="25" fillId="81" borderId="237" applyNumberFormat="0" applyAlignment="0" applyProtection="0"/>
    <xf numFmtId="2" fontId="148" fillId="0" borderId="262" applyFont="0" applyBorder="0" applyAlignment="0" applyProtection="0">
      <alignment horizontal="right"/>
    </xf>
    <xf numFmtId="0" fontId="46" fillId="79" borderId="244" applyNumberFormat="0" applyAlignment="0" applyProtection="0"/>
    <xf numFmtId="0" fontId="18" fillId="79" borderId="333" applyNumberFormat="0" applyAlignment="0" applyProtection="0"/>
    <xf numFmtId="0" fontId="18" fillId="79" borderId="241" applyNumberFormat="0" applyAlignment="0" applyProtection="0"/>
    <xf numFmtId="0" fontId="34" fillId="8" borderId="284" applyNumberFormat="0" applyAlignment="0" applyProtection="0"/>
    <xf numFmtId="0" fontId="34" fillId="8" borderId="245" applyNumberFormat="0" applyAlignment="0" applyProtection="0"/>
    <xf numFmtId="0" fontId="86" fillId="0" borderId="356" applyNumberFormat="0" applyFill="0" applyAlignment="0" applyProtection="0">
      <alignment vertical="center"/>
    </xf>
    <xf numFmtId="0" fontId="18" fillId="79" borderId="291" applyNumberFormat="0" applyAlignment="0" applyProtection="0"/>
    <xf numFmtId="0" fontId="2" fillId="37" borderId="273" applyNumberFormat="0" applyFont="0" applyAlignment="0" applyProtection="0">
      <alignment vertical="center"/>
    </xf>
    <xf numFmtId="0" fontId="74" fillId="29" borderId="383" applyNumberFormat="0" applyAlignment="0" applyProtection="0">
      <alignment vertical="center"/>
    </xf>
    <xf numFmtId="0" fontId="34" fillId="8" borderId="371" applyNumberFormat="0" applyAlignment="0" applyProtection="0"/>
    <xf numFmtId="0" fontId="86" fillId="0" borderId="356" applyNumberFormat="0" applyFill="0" applyAlignment="0" applyProtection="0">
      <alignment vertical="center"/>
    </xf>
    <xf numFmtId="0" fontId="18" fillId="79" borderId="367" applyNumberFormat="0" applyAlignment="0" applyProtection="0"/>
    <xf numFmtId="0" fontId="74" fillId="29" borderId="336" applyNumberFormat="0" applyAlignment="0" applyProtection="0">
      <alignment vertical="center"/>
    </xf>
    <xf numFmtId="0" fontId="34" fillId="8" borderId="235" applyNumberFormat="0" applyAlignment="0" applyProtection="0"/>
    <xf numFmtId="0" fontId="34" fillId="8" borderId="235" applyNumberFormat="0" applyAlignment="0" applyProtection="0"/>
    <xf numFmtId="0" fontId="34" fillId="8" borderId="235" applyNumberFormat="0" applyAlignment="0" applyProtection="0"/>
    <xf numFmtId="0" fontId="25" fillId="81" borderId="293" applyNumberFormat="0" applyAlignment="0" applyProtection="0"/>
    <xf numFmtId="0" fontId="34" fillId="66" borderId="224" applyNumberFormat="0" applyAlignment="0" applyProtection="0"/>
    <xf numFmtId="0" fontId="34" fillId="66" borderId="224" applyNumberFormat="0" applyAlignment="0" applyProtection="0"/>
    <xf numFmtId="0" fontId="156" fillId="0" borderId="0"/>
    <xf numFmtId="0" fontId="82" fillId="29" borderId="284" applyNumberFormat="0" applyAlignment="0" applyProtection="0">
      <alignment vertical="center"/>
    </xf>
    <xf numFmtId="0" fontId="34" fillId="66" borderId="271" applyNumberFormat="0" applyAlignment="0" applyProtection="0"/>
    <xf numFmtId="0" fontId="29" fillId="0" borderId="296">
      <alignment horizontal="left" vertical="center"/>
    </xf>
    <xf numFmtId="0" fontId="25" fillId="81" borderId="280" applyNumberFormat="0" applyAlignment="0" applyProtection="0"/>
    <xf numFmtId="0" fontId="29" fillId="0" borderId="334">
      <alignment horizontal="left" vertical="center"/>
    </xf>
    <xf numFmtId="0" fontId="86" fillId="0" borderId="275" applyNumberFormat="0" applyFill="0" applyAlignment="0" applyProtection="0">
      <alignment vertical="center"/>
    </xf>
    <xf numFmtId="0" fontId="34" fillId="8" borderId="271" applyNumberFormat="0" applyAlignment="0" applyProtection="0"/>
    <xf numFmtId="0" fontId="18" fillId="79" borderId="381" applyNumberFormat="0" applyAlignment="0" applyProtection="0"/>
    <xf numFmtId="0" fontId="25" fillId="81" borderId="312" applyNumberFormat="0" applyAlignment="0" applyProtection="0"/>
    <xf numFmtId="0" fontId="18" fillId="29" borderId="345" applyNumberFormat="0" applyAlignment="0" applyProtection="0"/>
    <xf numFmtId="0" fontId="34" fillId="8" borderId="338" applyNumberFormat="0" applyAlignment="0" applyProtection="0"/>
    <xf numFmtId="0" fontId="34" fillId="66" borderId="241" applyNumberFormat="0" applyAlignment="0" applyProtection="0"/>
    <xf numFmtId="0" fontId="29" fillId="0" borderId="307">
      <alignment horizontal="left" vertical="center"/>
    </xf>
    <xf numFmtId="43" fontId="3" fillId="0" borderId="0" applyFill="0" applyBorder="0" applyAlignment="0"/>
    <xf numFmtId="43" fontId="3" fillId="0" borderId="0" applyFill="0" applyBorder="0" applyAlignment="0"/>
    <xf numFmtId="43" fontId="3" fillId="0" borderId="0" applyFill="0" applyBorder="0" applyAlignment="0"/>
    <xf numFmtId="0" fontId="25" fillId="81" borderId="373" applyNumberFormat="0" applyAlignment="0" applyProtection="0"/>
    <xf numFmtId="0" fontId="46" fillId="79" borderId="259" applyNumberFormat="0" applyAlignment="0" applyProtection="0"/>
    <xf numFmtId="0" fontId="25" fillId="81" borderId="258" applyNumberFormat="0" applyAlignment="0" applyProtection="0"/>
    <xf numFmtId="43" fontId="3" fillId="0" borderId="0" applyFill="0" applyBorder="0" applyAlignment="0"/>
    <xf numFmtId="43" fontId="3" fillId="0" borderId="0" applyFill="0" applyBorder="0" applyAlignment="0"/>
    <xf numFmtId="43" fontId="3" fillId="0" borderId="0" applyFill="0" applyBorder="0" applyAlignment="0"/>
    <xf numFmtId="0" fontId="29" fillId="0" borderId="292">
      <alignment horizontal="left" vertical="center"/>
    </xf>
    <xf numFmtId="0" fontId="34" fillId="66" borderId="291" applyNumberFormat="0" applyAlignment="0" applyProtection="0"/>
    <xf numFmtId="0" fontId="18" fillId="79" borderId="367" applyNumberFormat="0" applyAlignment="0" applyProtection="0"/>
    <xf numFmtId="0" fontId="34" fillId="8" borderId="376" applyNumberFormat="0" applyAlignment="0" applyProtection="0"/>
    <xf numFmtId="0" fontId="29" fillId="0" borderId="330">
      <alignment horizontal="left" vertical="center"/>
    </xf>
    <xf numFmtId="0" fontId="18" fillId="79" borderId="218" applyNumberFormat="0" applyAlignment="0" applyProtection="0"/>
    <xf numFmtId="0" fontId="18" fillId="79" borderId="218" applyNumberFormat="0" applyAlignment="0" applyProtection="0"/>
    <xf numFmtId="0" fontId="18" fillId="79" borderId="218" applyNumberFormat="0" applyAlignment="0" applyProtection="0"/>
    <xf numFmtId="0" fontId="18" fillId="79" borderId="261" applyNumberFormat="0" applyAlignment="0" applyProtection="0"/>
    <xf numFmtId="0" fontId="18" fillId="79" borderId="261" applyNumberFormat="0" applyAlignment="0" applyProtection="0"/>
    <xf numFmtId="0" fontId="18" fillId="79" borderId="224" applyNumberFormat="0" applyAlignment="0" applyProtection="0"/>
    <xf numFmtId="0" fontId="34" fillId="8" borderId="314" applyNumberFormat="0" applyAlignment="0" applyProtection="0"/>
    <xf numFmtId="0" fontId="18" fillId="79" borderId="241" applyNumberFormat="0" applyAlignment="0" applyProtection="0"/>
    <xf numFmtId="0" fontId="46" fillId="79" borderId="274" applyNumberFormat="0" applyAlignment="0" applyProtection="0"/>
    <xf numFmtId="0" fontId="25" fillId="81" borderId="382" applyNumberFormat="0" applyAlignment="0" applyProtection="0"/>
    <xf numFmtId="0" fontId="18" fillId="79" borderId="299" applyNumberFormat="0" applyAlignment="0" applyProtection="0"/>
    <xf numFmtId="0" fontId="34" fillId="8" borderId="299" applyNumberFormat="0" applyAlignment="0" applyProtection="0"/>
    <xf numFmtId="0" fontId="34" fillId="66" borderId="325" applyNumberFormat="0" applyAlignment="0" applyProtection="0"/>
    <xf numFmtId="0" fontId="34" fillId="8" borderId="263" applyNumberFormat="0" applyAlignment="0" applyProtection="0"/>
    <xf numFmtId="2" fontId="148" fillId="0" borderId="282" applyFont="0" applyBorder="0" applyAlignment="0" applyProtection="0">
      <alignment horizontal="right"/>
    </xf>
    <xf numFmtId="0" fontId="34" fillId="8" borderId="261" applyNumberFormat="0" applyAlignment="0" applyProtection="0"/>
    <xf numFmtId="0" fontId="34" fillId="8" borderId="284" applyNumberFormat="0" applyAlignment="0" applyProtection="0"/>
    <xf numFmtId="0" fontId="18" fillId="79" borderId="329" applyNumberFormat="0" applyAlignment="0" applyProtection="0"/>
    <xf numFmtId="0" fontId="46" fillId="79" borderId="298" applyNumberFormat="0" applyAlignment="0" applyProtection="0"/>
    <xf numFmtId="0" fontId="73" fillId="8" borderId="333" applyNumberFormat="0" applyAlignment="0" applyProtection="0">
      <alignment vertical="center"/>
    </xf>
    <xf numFmtId="0" fontId="86" fillId="0" borderId="267" applyNumberFormat="0" applyFill="0" applyAlignment="0" applyProtection="0">
      <alignment vertical="center"/>
    </xf>
    <xf numFmtId="0" fontId="34" fillId="8" borderId="263" applyNumberFormat="0" applyAlignment="0" applyProtection="0"/>
    <xf numFmtId="0" fontId="73" fillId="8" borderId="271" applyNumberFormat="0" applyAlignment="0" applyProtection="0">
      <alignment vertical="center"/>
    </xf>
    <xf numFmtId="0" fontId="34" fillId="66" borderId="261" applyNumberFormat="0" applyAlignment="0" applyProtection="0"/>
    <xf numFmtId="0" fontId="24" fillId="0" borderId="318" applyNumberFormat="0" applyFill="0" applyAlignment="0" applyProtection="0"/>
    <xf numFmtId="0" fontId="34" fillId="66" borderId="278" applyNumberFormat="0" applyAlignment="0" applyProtection="0"/>
    <xf numFmtId="0" fontId="29" fillId="0" borderId="292">
      <alignment horizontal="left" vertical="center"/>
    </xf>
    <xf numFmtId="0" fontId="29" fillId="0" borderId="346">
      <alignment horizontal="left" vertical="center"/>
    </xf>
    <xf numFmtId="0" fontId="25" fillId="81" borderId="233" applyNumberFormat="0" applyAlignment="0" applyProtection="0"/>
    <xf numFmtId="0" fontId="46" fillId="79" borderId="234" applyNumberFormat="0" applyAlignment="0" applyProtection="0"/>
    <xf numFmtId="0" fontId="46" fillId="79" borderId="234" applyNumberFormat="0" applyAlignment="0" applyProtection="0"/>
    <xf numFmtId="0" fontId="34" fillId="8" borderId="245" applyNumberFormat="0" applyAlignment="0" applyProtection="0"/>
    <xf numFmtId="0" fontId="34" fillId="8" borderId="245" applyNumberFormat="0" applyAlignment="0" applyProtection="0"/>
    <xf numFmtId="0" fontId="34" fillId="8" borderId="314" applyNumberFormat="0" applyAlignment="0" applyProtection="0"/>
    <xf numFmtId="0" fontId="34" fillId="8" borderId="263" applyNumberFormat="0" applyAlignment="0" applyProtection="0"/>
    <xf numFmtId="0" fontId="7" fillId="37" borderId="301" applyNumberFormat="0" applyFont="0" applyAlignment="0" applyProtection="0"/>
    <xf numFmtId="0" fontId="18" fillId="79" borderId="253" applyNumberFormat="0" applyAlignment="0" applyProtection="0"/>
    <xf numFmtId="0" fontId="34" fillId="8" borderId="261" applyNumberFormat="0" applyAlignment="0" applyProtection="0"/>
    <xf numFmtId="2" fontId="148" fillId="0" borderId="342" applyFont="0" applyBorder="0" applyAlignment="0" applyProtection="0">
      <alignment horizontal="right"/>
    </xf>
    <xf numFmtId="0" fontId="29" fillId="0" borderId="257">
      <alignment horizontal="left" vertical="center"/>
    </xf>
    <xf numFmtId="0" fontId="18" fillId="79" borderId="271" applyNumberFormat="0" applyAlignment="0" applyProtection="0"/>
    <xf numFmtId="0" fontId="34" fillId="8" borderId="245" applyNumberFormat="0" applyAlignment="0" applyProtection="0"/>
    <xf numFmtId="0" fontId="2" fillId="37" borderId="258" applyNumberFormat="0" applyFont="0" applyAlignment="0" applyProtection="0">
      <alignment vertical="center"/>
    </xf>
    <xf numFmtId="0" fontId="2" fillId="37" borderId="362" applyNumberFormat="0" applyFont="0" applyAlignment="0" applyProtection="0">
      <alignment vertical="center"/>
    </xf>
    <xf numFmtId="0" fontId="34" fillId="66" borderId="278" applyNumberFormat="0" applyAlignment="0" applyProtection="0"/>
    <xf numFmtId="0" fontId="25" fillId="81" borderId="243" applyNumberFormat="0" applyAlignment="0" applyProtection="0"/>
    <xf numFmtId="0" fontId="34" fillId="8" borderId="299" applyNumberFormat="0" applyAlignment="0" applyProtection="0"/>
    <xf numFmtId="0" fontId="34" fillId="8" borderId="299" applyNumberFormat="0" applyAlignment="0" applyProtection="0"/>
    <xf numFmtId="0" fontId="73" fillId="8" borderId="284" applyNumberFormat="0" applyAlignment="0" applyProtection="0">
      <alignment vertical="center"/>
    </xf>
    <xf numFmtId="0" fontId="73" fillId="8" borderId="314" applyNumberFormat="0" applyAlignment="0" applyProtection="0">
      <alignment vertical="center"/>
    </xf>
    <xf numFmtId="0" fontId="34" fillId="8" borderId="299" applyNumberFormat="0" applyAlignment="0" applyProtection="0"/>
    <xf numFmtId="0" fontId="18" fillId="79" borderId="271" applyNumberFormat="0" applyAlignment="0" applyProtection="0"/>
    <xf numFmtId="0" fontId="34" fillId="8" borderId="352" applyNumberFormat="0" applyAlignment="0" applyProtection="0"/>
    <xf numFmtId="0" fontId="156" fillId="0" borderId="0"/>
    <xf numFmtId="0" fontId="74" fillId="29" borderId="317" applyNumberFormat="0" applyAlignment="0" applyProtection="0">
      <alignment vertical="center"/>
    </xf>
    <xf numFmtId="0" fontId="46" fillId="29" borderId="274" applyNumberFormat="0" applyAlignment="0" applyProtection="0"/>
    <xf numFmtId="0" fontId="34" fillId="8" borderId="245" applyNumberFormat="0" applyAlignment="0" applyProtection="0"/>
    <xf numFmtId="0" fontId="18" fillId="79" borderId="371" applyNumberFormat="0" applyAlignment="0" applyProtection="0"/>
    <xf numFmtId="43" fontId="3" fillId="0" borderId="0" applyFont="0" applyFill="0" applyBorder="0" applyAlignment="0" applyProtection="0"/>
    <xf numFmtId="0" fontId="29" fillId="0" borderId="219">
      <alignment horizontal="left" vertical="center"/>
    </xf>
    <xf numFmtId="0" fontId="29" fillId="0" borderId="219">
      <alignment horizontal="left" vertical="center"/>
    </xf>
    <xf numFmtId="0" fontId="29" fillId="0" borderId="219">
      <alignment horizontal="left" vertical="center"/>
    </xf>
    <xf numFmtId="0" fontId="82" fillId="29" borderId="371" applyNumberFormat="0" applyAlignment="0" applyProtection="0">
      <alignment vertical="center"/>
    </xf>
    <xf numFmtId="0" fontId="34" fillId="8" borderId="352" applyNumberFormat="0" applyAlignment="0" applyProtection="0"/>
    <xf numFmtId="0" fontId="34" fillId="66" borderId="218" applyNumberFormat="0" applyAlignment="0" applyProtection="0"/>
    <xf numFmtId="0" fontId="34" fillId="66" borderId="218" applyNumberFormat="0" applyAlignment="0" applyProtection="0"/>
    <xf numFmtId="0" fontId="34" fillId="66" borderId="218" applyNumberFormat="0" applyAlignment="0" applyProtection="0"/>
    <xf numFmtId="0" fontId="74" fillId="29" borderId="238" applyNumberFormat="0" applyAlignment="0" applyProtection="0">
      <alignment vertical="center"/>
    </xf>
    <xf numFmtId="0" fontId="73" fillId="8" borderId="235" applyNumberFormat="0" applyAlignment="0" applyProtection="0">
      <alignment vertical="center"/>
    </xf>
    <xf numFmtId="0" fontId="34" fillId="8" borderId="284" applyNumberFormat="0" applyAlignment="0" applyProtection="0"/>
    <xf numFmtId="0" fontId="34" fillId="8" borderId="299" applyNumberFormat="0" applyAlignment="0" applyProtection="0"/>
    <xf numFmtId="0" fontId="18" fillId="79" borderId="271" applyNumberFormat="0" applyAlignment="0" applyProtection="0"/>
    <xf numFmtId="0" fontId="18" fillId="79" borderId="325" applyNumberFormat="0" applyAlignment="0" applyProtection="0"/>
    <xf numFmtId="0" fontId="24" fillId="0" borderId="267" applyNumberFormat="0" applyFill="0" applyAlignment="0" applyProtection="0"/>
    <xf numFmtId="0" fontId="74" fillId="29" borderId="287" applyNumberFormat="0" applyAlignment="0" applyProtection="0">
      <alignment vertical="center"/>
    </xf>
    <xf numFmtId="0" fontId="2" fillId="37" borderId="301" applyNumberFormat="0" applyFont="0" applyAlignment="0" applyProtection="0">
      <alignment vertical="center"/>
    </xf>
    <xf numFmtId="0" fontId="34" fillId="8" borderId="284" applyNumberFormat="0" applyAlignment="0" applyProtection="0"/>
    <xf numFmtId="43" fontId="3" fillId="0" borderId="0" applyFont="0" applyFill="0" applyBorder="0" applyAlignment="0" applyProtection="0"/>
    <xf numFmtId="2" fontId="148" fillId="0" borderId="342" applyFont="0" applyBorder="0" applyAlignment="0" applyProtection="0">
      <alignment horizontal="right"/>
    </xf>
    <xf numFmtId="0" fontId="2" fillId="37" borderId="335" applyNumberFormat="0" applyFont="0" applyAlignment="0" applyProtection="0">
      <alignment vertical="center"/>
    </xf>
    <xf numFmtId="0" fontId="73" fillId="8" borderId="371" applyNumberFormat="0" applyAlignment="0" applyProtection="0">
      <alignment vertical="center"/>
    </xf>
    <xf numFmtId="0" fontId="25" fillId="81" borderId="258" applyNumberFormat="0" applyAlignment="0" applyProtection="0"/>
    <xf numFmtId="0" fontId="74" fillId="29" borderId="287" applyNumberFormat="0" applyAlignment="0" applyProtection="0">
      <alignment vertical="center"/>
    </xf>
    <xf numFmtId="0" fontId="46" fillId="79" borderId="374" applyNumberFormat="0" applyAlignment="0" applyProtection="0"/>
    <xf numFmtId="0" fontId="29" fillId="0" borderId="242">
      <alignment horizontal="left" vertical="center"/>
    </xf>
    <xf numFmtId="0" fontId="29" fillId="0" borderId="254">
      <alignment horizontal="left" vertical="center"/>
    </xf>
    <xf numFmtId="0" fontId="156" fillId="0" borderId="0"/>
    <xf numFmtId="0" fontId="82" fillId="29" borderId="263" applyNumberFormat="0" applyAlignment="0" applyProtection="0">
      <alignment vertical="center"/>
    </xf>
    <xf numFmtId="0" fontId="7" fillId="37" borderId="237" applyNumberFormat="0" applyFont="0" applyAlignment="0" applyProtection="0"/>
    <xf numFmtId="0" fontId="34" fillId="66" borderId="271" applyNumberFormat="0" applyAlignment="0" applyProtection="0"/>
    <xf numFmtId="0" fontId="25" fillId="81" borderId="243" applyNumberFormat="0" applyAlignment="0" applyProtection="0"/>
    <xf numFmtId="0" fontId="74" fillId="29" borderId="238" applyNumberFormat="0" applyAlignment="0" applyProtection="0">
      <alignment vertical="center"/>
    </xf>
    <xf numFmtId="0" fontId="73" fillId="8" borderId="235" applyNumberFormat="0" applyAlignment="0" applyProtection="0">
      <alignment vertical="center"/>
    </xf>
    <xf numFmtId="0" fontId="2" fillId="37" borderId="237" applyNumberFormat="0" applyFont="0" applyAlignment="0" applyProtection="0">
      <alignment vertical="center"/>
    </xf>
    <xf numFmtId="0" fontId="34" fillId="8" borderId="235" applyNumberFormat="0" applyAlignment="0" applyProtection="0"/>
    <xf numFmtId="0" fontId="29" fillId="0" borderId="344">
      <alignment horizontal="left" vertical="center"/>
    </xf>
    <xf numFmtId="0" fontId="34" fillId="8" borderId="299" applyNumberFormat="0" applyAlignment="0" applyProtection="0"/>
    <xf numFmtId="0" fontId="29" fillId="0" borderId="304">
      <alignment horizontal="left" vertical="center"/>
    </xf>
    <xf numFmtId="0" fontId="29" fillId="0" borderId="311">
      <alignment horizontal="left" vertical="center"/>
    </xf>
    <xf numFmtId="0" fontId="18" fillId="79" borderId="241" applyNumberFormat="0" applyAlignment="0" applyProtection="0"/>
    <xf numFmtId="0" fontId="34" fillId="8" borderId="271" applyNumberFormat="0" applyAlignment="0" applyProtection="0"/>
    <xf numFmtId="0" fontId="29" fillId="0" borderId="230">
      <alignment horizontal="left" vertical="center"/>
    </xf>
    <xf numFmtId="0" fontId="29" fillId="0" borderId="283">
      <alignment horizontal="left" vertical="center"/>
    </xf>
    <xf numFmtId="0" fontId="34" fillId="8" borderId="371" applyNumberFormat="0" applyAlignment="0" applyProtection="0"/>
    <xf numFmtId="0" fontId="34" fillId="8" borderId="284" applyNumberFormat="0" applyAlignment="0" applyProtection="0"/>
    <xf numFmtId="0" fontId="25" fillId="81" borderId="220" applyNumberFormat="0" applyAlignment="0" applyProtection="0"/>
    <xf numFmtId="0" fontId="25" fillId="81" borderId="220" applyNumberFormat="0" applyAlignment="0" applyProtection="0"/>
    <xf numFmtId="0" fontId="25" fillId="81" borderId="220" applyNumberFormat="0" applyAlignment="0" applyProtection="0"/>
    <xf numFmtId="0" fontId="46" fillId="79" borderId="221" applyNumberFormat="0" applyAlignment="0" applyProtection="0"/>
    <xf numFmtId="0" fontId="46" fillId="79" borderId="221" applyNumberFormat="0" applyAlignment="0" applyProtection="0"/>
    <xf numFmtId="0" fontId="46" fillId="79" borderId="221" applyNumberFormat="0" applyAlignment="0" applyProtection="0"/>
    <xf numFmtId="0" fontId="24" fillId="0" borderId="341" applyNumberFormat="0" applyFill="0" applyAlignment="0" applyProtection="0"/>
    <xf numFmtId="0" fontId="24" fillId="0" borderId="275" applyNumberFormat="0" applyFill="0" applyAlignment="0" applyProtection="0"/>
    <xf numFmtId="0" fontId="74" fillId="29" borderId="336" applyNumberFormat="0" applyAlignment="0" applyProtection="0">
      <alignment vertical="center"/>
    </xf>
    <xf numFmtId="0" fontId="34" fillId="8" borderId="235" applyNumberFormat="0" applyAlignment="0" applyProtection="0"/>
    <xf numFmtId="0" fontId="34" fillId="66" borderId="329" applyNumberFormat="0" applyAlignment="0" applyProtection="0"/>
    <xf numFmtId="0" fontId="34" fillId="8" borderId="224" applyNumberFormat="0" applyAlignment="0" applyProtection="0"/>
    <xf numFmtId="0" fontId="34" fillId="8" borderId="224" applyNumberFormat="0" applyAlignment="0" applyProtection="0"/>
    <xf numFmtId="0" fontId="82" fillId="29" borderId="224" applyNumberFormat="0" applyAlignment="0" applyProtection="0">
      <alignment vertical="center"/>
    </xf>
    <xf numFmtId="0" fontId="18" fillId="79" borderId="278" applyNumberFormat="0" applyAlignment="0" applyProtection="0"/>
    <xf numFmtId="0" fontId="34" fillId="8" borderId="314" applyNumberFormat="0" applyAlignment="0" applyProtection="0"/>
    <xf numFmtId="0" fontId="34" fillId="8" borderId="271" applyNumberFormat="0" applyAlignment="0" applyProtection="0"/>
    <xf numFmtId="0" fontId="24" fillId="0" borderId="303" applyNumberFormat="0" applyFill="0" applyAlignment="0" applyProtection="0"/>
    <xf numFmtId="0" fontId="29" fillId="0" borderId="326">
      <alignment horizontal="left" vertical="center"/>
    </xf>
    <xf numFmtId="0" fontId="86" fillId="0" borderId="384" applyNumberFormat="0" applyFill="0" applyAlignment="0" applyProtection="0">
      <alignment vertical="center"/>
    </xf>
    <xf numFmtId="0" fontId="2" fillId="37" borderId="316" applyNumberFormat="0" applyFont="0" applyAlignment="0" applyProtection="0">
      <alignment vertical="center"/>
    </xf>
    <xf numFmtId="0" fontId="25" fillId="81" borderId="273" applyNumberFormat="0" applyAlignment="0" applyProtection="0"/>
    <xf numFmtId="0" fontId="74" fillId="29" borderId="363" applyNumberFormat="0" applyAlignment="0" applyProtection="0">
      <alignment vertical="center"/>
    </xf>
    <xf numFmtId="0" fontId="34" fillId="8" borderId="314" applyNumberFormat="0" applyAlignment="0" applyProtection="0"/>
    <xf numFmtId="0" fontId="25" fillId="81" borderId="243" applyNumberFormat="0" applyAlignment="0" applyProtection="0"/>
    <xf numFmtId="0" fontId="74" fillId="29" borderId="336" applyNumberFormat="0" applyAlignment="0" applyProtection="0">
      <alignment vertical="center"/>
    </xf>
    <xf numFmtId="0" fontId="34" fillId="8" borderId="263" applyNumberFormat="0" applyAlignment="0" applyProtection="0"/>
    <xf numFmtId="0" fontId="34" fillId="8" borderId="314" applyNumberFormat="0" applyAlignment="0" applyProtection="0"/>
    <xf numFmtId="0" fontId="46" fillId="79" borderId="313" applyNumberFormat="0" applyAlignment="0" applyProtection="0"/>
    <xf numFmtId="0" fontId="46" fillId="79" borderId="294" applyNumberFormat="0" applyAlignment="0" applyProtection="0"/>
    <xf numFmtId="0" fontId="29" fillId="0" borderId="236">
      <alignment horizontal="left" vertical="center"/>
    </xf>
    <xf numFmtId="0" fontId="34" fillId="8" borderId="235" applyNumberFormat="0" applyAlignment="0" applyProtection="0"/>
    <xf numFmtId="0" fontId="34" fillId="8" borderId="284" applyNumberFormat="0" applyAlignment="0" applyProtection="0"/>
    <xf numFmtId="0" fontId="25" fillId="81" borderId="265" applyNumberFormat="0" applyAlignment="0" applyProtection="0"/>
    <xf numFmtId="0" fontId="86" fillId="0" borderId="239" applyNumberFormat="0" applyFill="0" applyAlignment="0" applyProtection="0">
      <alignment vertical="center"/>
    </xf>
    <xf numFmtId="0" fontId="46" fillId="79" borderId="281" applyNumberFormat="0" applyAlignment="0" applyProtection="0"/>
    <xf numFmtId="0" fontId="25" fillId="81" borderId="226" applyNumberFormat="0" applyAlignment="0" applyProtection="0"/>
    <xf numFmtId="0" fontId="18" fillId="79" borderId="314" applyNumberFormat="0" applyAlignment="0" applyProtection="0"/>
    <xf numFmtId="0" fontId="25" fillId="81" borderId="327" applyNumberFormat="0" applyAlignment="0" applyProtection="0"/>
    <xf numFmtId="0" fontId="34" fillId="8" borderId="261" applyNumberFormat="0" applyAlignment="0" applyProtection="0"/>
    <xf numFmtId="0" fontId="18" fillId="79" borderId="261" applyNumberFormat="0" applyAlignment="0" applyProtection="0"/>
    <xf numFmtId="0" fontId="34" fillId="66" borderId="299" applyNumberFormat="0" applyAlignment="0" applyProtection="0"/>
    <xf numFmtId="0" fontId="34" fillId="8" borderId="371" applyNumberFormat="0" applyAlignment="0" applyProtection="0"/>
    <xf numFmtId="0" fontId="34" fillId="8" borderId="284" applyNumberFormat="0" applyAlignment="0" applyProtection="0"/>
    <xf numFmtId="0" fontId="46" fillId="79" borderId="309" applyNumberFormat="0" applyAlignment="0" applyProtection="0"/>
    <xf numFmtId="0" fontId="34" fillId="8" borderId="245" applyNumberFormat="0" applyAlignment="0" applyProtection="0"/>
    <xf numFmtId="0" fontId="1" fillId="0" borderId="0"/>
    <xf numFmtId="41"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ill="0" applyBorder="0" applyAlignment="0" applyProtection="0"/>
    <xf numFmtId="43" fontId="1" fillId="0" borderId="0" applyFont="0" applyFill="0" applyBorder="0" applyAlignment="0" applyProtection="0"/>
    <xf numFmtId="0" fontId="34" fillId="8" borderId="263" applyNumberFormat="0" applyAlignment="0" applyProtection="0"/>
    <xf numFmtId="0" fontId="34" fillId="8" borderId="213" applyNumberFormat="0" applyAlignment="0" applyProtection="0"/>
    <xf numFmtId="0" fontId="34" fillId="8" borderId="213" applyNumberFormat="0" applyAlignment="0" applyProtection="0"/>
    <xf numFmtId="0" fontId="34" fillId="8" borderId="213" applyNumberFormat="0" applyAlignment="0" applyProtection="0"/>
    <xf numFmtId="0" fontId="34" fillId="8" borderId="213" applyNumberFormat="0" applyAlignment="0" applyProtection="0"/>
    <xf numFmtId="0" fontId="34" fillId="8" borderId="213" applyNumberFormat="0" applyAlignment="0" applyProtection="0"/>
    <xf numFmtId="0" fontId="34" fillId="8" borderId="213" applyNumberFormat="0" applyAlignment="0" applyProtection="0"/>
    <xf numFmtId="0" fontId="25" fillId="81" borderId="308" applyNumberFormat="0" applyAlignment="0" applyProtection="0"/>
    <xf numFmtId="0" fontId="73" fillId="8" borderId="235" applyNumberFormat="0" applyAlignment="0" applyProtection="0">
      <alignment vertical="center"/>
    </xf>
    <xf numFmtId="0" fontId="24" fillId="0" borderId="239" applyNumberFormat="0" applyFill="0" applyAlignment="0" applyProtection="0"/>
    <xf numFmtId="0" fontId="18" fillId="79" borderId="333" applyNumberFormat="0" applyAlignment="0" applyProtection="0"/>
    <xf numFmtId="0" fontId="34" fillId="8" borderId="271" applyNumberFormat="0" applyAlignment="0" applyProtection="0"/>
    <xf numFmtId="0" fontId="25" fillId="81" borderId="293" applyNumberFormat="0" applyAlignment="0" applyProtection="0"/>
    <xf numFmtId="0" fontId="46" fillId="29" borderId="259" applyNumberFormat="0" applyAlignment="0" applyProtection="0"/>
    <xf numFmtId="0" fontId="34" fillId="66" borderId="241" applyNumberFormat="0" applyAlignment="0" applyProtection="0"/>
    <xf numFmtId="0" fontId="18" fillId="79" borderId="231" applyNumberFormat="0" applyAlignment="0" applyProtection="0"/>
    <xf numFmtId="0" fontId="29" fillId="0" borderId="232">
      <alignment horizontal="left" vertical="center"/>
    </xf>
    <xf numFmtId="0" fontId="74" fillId="29" borderId="374" applyNumberFormat="0" applyAlignment="0" applyProtection="0">
      <alignment vertical="center"/>
    </xf>
    <xf numFmtId="0" fontId="2" fillId="37" borderId="316" applyNumberFormat="0" applyFont="0" applyAlignment="0" applyProtection="0">
      <alignment vertical="center"/>
    </xf>
    <xf numFmtId="0" fontId="24" fillId="0" borderId="349" applyNumberFormat="0" applyFill="0" applyAlignment="0" applyProtection="0"/>
    <xf numFmtId="0" fontId="18" fillId="29" borderId="284" applyNumberFormat="0" applyAlignment="0" applyProtection="0"/>
    <xf numFmtId="0" fontId="82" fillId="29" borderId="261" applyNumberFormat="0" applyAlignment="0" applyProtection="0">
      <alignment vertical="center"/>
    </xf>
    <xf numFmtId="0" fontId="73" fillId="8" borderId="284" applyNumberFormat="0" applyAlignment="0" applyProtection="0">
      <alignment vertical="center"/>
    </xf>
    <xf numFmtId="0" fontId="46" fillId="79" borderId="244" applyNumberFormat="0" applyAlignment="0" applyProtection="0"/>
    <xf numFmtId="0" fontId="29" fillId="0" borderId="242">
      <alignment horizontal="left" vertical="center"/>
    </xf>
    <xf numFmtId="0" fontId="34" fillId="8" borderId="299" applyNumberFormat="0" applyAlignment="0" applyProtection="0"/>
    <xf numFmtId="2" fontId="148" fillId="0" borderId="229" applyFont="0" applyBorder="0" applyAlignment="0" applyProtection="0">
      <alignment horizontal="right"/>
    </xf>
    <xf numFmtId="0" fontId="29" fillId="0" borderId="269">
      <alignment horizontal="left" vertical="center"/>
    </xf>
    <xf numFmtId="0" fontId="74" fillId="29" borderId="348" applyNumberFormat="0" applyAlignment="0" applyProtection="0">
      <alignment vertical="center"/>
    </xf>
    <xf numFmtId="0" fontId="29" fillId="0" borderId="232">
      <alignment horizontal="left" vertical="center"/>
    </xf>
    <xf numFmtId="0" fontId="73" fillId="8" borderId="299" applyNumberFormat="0" applyAlignment="0" applyProtection="0">
      <alignment vertical="center"/>
    </xf>
    <xf numFmtId="0" fontId="34" fillId="66" borderId="291" applyNumberFormat="0" applyAlignment="0" applyProtection="0"/>
    <xf numFmtId="0" fontId="3" fillId="0" borderId="0"/>
    <xf numFmtId="0" fontId="34" fillId="8" borderId="371" applyNumberFormat="0" applyAlignment="0" applyProtection="0"/>
    <xf numFmtId="0" fontId="74" fillId="29" borderId="274" applyNumberFormat="0" applyAlignment="0" applyProtection="0">
      <alignment vertical="center"/>
    </xf>
    <xf numFmtId="0" fontId="34" fillId="8" borderId="235" applyNumberFormat="0" applyAlignment="0" applyProtection="0"/>
    <xf numFmtId="0" fontId="7" fillId="37" borderId="215" applyNumberFormat="0" applyFont="0" applyAlignment="0" applyProtection="0"/>
    <xf numFmtId="0" fontId="46" fillId="29" borderId="216" applyNumberFormat="0" applyAlignment="0" applyProtection="0"/>
    <xf numFmtId="0" fontId="34" fillId="8" borderId="333" applyNumberFormat="0" applyAlignment="0" applyProtection="0"/>
    <xf numFmtId="0" fontId="73" fillId="8" borderId="333" applyNumberFormat="0" applyAlignment="0" applyProtection="0">
      <alignment vertical="center"/>
    </xf>
    <xf numFmtId="0" fontId="24" fillId="0" borderId="217" applyNumberFormat="0" applyFill="0" applyAlignment="0" applyProtection="0"/>
    <xf numFmtId="0" fontId="2" fillId="37" borderId="215" applyNumberFormat="0" applyFont="0" applyAlignment="0" applyProtection="0">
      <alignment vertical="center"/>
    </xf>
    <xf numFmtId="0" fontId="73" fillId="8" borderId="213" applyNumberFormat="0" applyAlignment="0" applyProtection="0">
      <alignment vertical="center"/>
    </xf>
    <xf numFmtId="0" fontId="74" fillId="29" borderId="216" applyNumberFormat="0" applyAlignment="0" applyProtection="0">
      <alignment vertical="center"/>
    </xf>
    <xf numFmtId="2" fontId="148" fillId="0" borderId="222" applyFont="0" applyBorder="0" applyAlignment="0" applyProtection="0">
      <alignment horizontal="right"/>
    </xf>
    <xf numFmtId="0" fontId="82" fillId="29" borderId="213" applyNumberFormat="0" applyAlignment="0" applyProtection="0">
      <alignment vertical="center"/>
    </xf>
    <xf numFmtId="0" fontId="86" fillId="0" borderId="217" applyNumberFormat="0" applyFill="0" applyAlignment="0" applyProtection="0">
      <alignment vertical="center"/>
    </xf>
    <xf numFmtId="9" fontId="3" fillId="0" borderId="0" applyFont="0" applyFill="0" applyBorder="0" applyAlignment="0" applyProtection="0"/>
    <xf numFmtId="0" fontId="86" fillId="0" borderId="260" applyNumberFormat="0" applyFill="0" applyAlignment="0" applyProtection="0">
      <alignment vertical="center"/>
    </xf>
    <xf numFmtId="0" fontId="1" fillId="0" borderId="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73" fillId="8" borderId="261" applyNumberFormat="0" applyAlignment="0" applyProtection="0">
      <alignment vertical="center"/>
    </xf>
    <xf numFmtId="0" fontId="34" fillId="8" borderId="333" applyNumberFormat="0" applyAlignment="0" applyProtection="0"/>
    <xf numFmtId="0" fontId="34" fillId="66" borderId="261" applyNumberFormat="0" applyAlignment="0" applyProtection="0"/>
    <xf numFmtId="0" fontId="25" fillId="81" borderId="369" applyNumberFormat="0" applyAlignment="0" applyProtection="0"/>
    <xf numFmtId="0" fontId="82" fillId="29" borderId="376" applyNumberFormat="0" applyAlignment="0" applyProtection="0">
      <alignment vertical="center"/>
    </xf>
    <xf numFmtId="0" fontId="1" fillId="0" borderId="0"/>
    <xf numFmtId="0" fontId="46" fillId="79" borderId="287" applyNumberFormat="0" applyAlignment="0" applyProtection="0"/>
    <xf numFmtId="0" fontId="18" fillId="79" borderId="338" applyNumberFormat="0" applyAlignment="0" applyProtection="0"/>
    <xf numFmtId="0" fontId="1" fillId="0" borderId="0"/>
    <xf numFmtId="9" fontId="1" fillId="0" borderId="0" applyFont="0" applyFill="0" applyBorder="0" applyAlignment="0" applyProtection="0"/>
    <xf numFmtId="0" fontId="34" fillId="66" borderId="338" applyNumberFormat="0" applyAlignment="0" applyProtection="0"/>
    <xf numFmtId="0" fontId="46" fillId="79" borderId="298" applyNumberFormat="0" applyAlignment="0" applyProtection="0"/>
    <xf numFmtId="0" fontId="46" fillId="79" borderId="244" applyNumberFormat="0" applyAlignment="0" applyProtection="0"/>
    <xf numFmtId="0" fontId="29" fillId="0" borderId="223">
      <alignment horizontal="left" vertical="center"/>
    </xf>
    <xf numFmtId="0" fontId="34" fillId="8" borderId="224" applyNumberFormat="0" applyAlignment="0" applyProtection="0"/>
    <xf numFmtId="0" fontId="34" fillId="8" borderId="224" applyNumberFormat="0" applyAlignment="0" applyProtection="0"/>
    <xf numFmtId="0" fontId="34" fillId="8" borderId="224" applyNumberFormat="0" applyAlignment="0" applyProtection="0"/>
    <xf numFmtId="0" fontId="34" fillId="8" borderId="224" applyNumberFormat="0" applyAlignment="0" applyProtection="0"/>
    <xf numFmtId="0" fontId="34" fillId="8" borderId="224" applyNumberFormat="0" applyAlignment="0" applyProtection="0"/>
    <xf numFmtId="0" fontId="34" fillId="8" borderId="224" applyNumberFormat="0" applyAlignment="0" applyProtection="0"/>
    <xf numFmtId="43" fontId="3" fillId="0" borderId="0" applyFont="0" applyFill="0" applyBorder="0" applyAlignment="0" applyProtection="0"/>
    <xf numFmtId="0" fontId="34" fillId="8" borderId="271" applyNumberFormat="0" applyAlignment="0" applyProtection="0"/>
    <xf numFmtId="0" fontId="34" fillId="8" borderId="299" applyNumberFormat="0" applyAlignment="0" applyProtection="0"/>
    <xf numFmtId="0" fontId="34" fillId="8" borderId="235" applyNumberFormat="0" applyAlignment="0" applyProtection="0"/>
    <xf numFmtId="0" fontId="29" fillId="0" borderId="272">
      <alignment horizontal="left" vertical="center"/>
    </xf>
    <xf numFmtId="0" fontId="24" fillId="0" borderId="337" applyNumberFormat="0" applyFill="0" applyAlignment="0" applyProtection="0"/>
    <xf numFmtId="0" fontId="73" fillId="8" borderId="299" applyNumberFormat="0" applyAlignment="0" applyProtection="0">
      <alignment vertical="center"/>
    </xf>
    <xf numFmtId="0" fontId="46" fillId="29" borderId="238" applyNumberFormat="0" applyAlignment="0" applyProtection="0"/>
    <xf numFmtId="0" fontId="18" fillId="79" borderId="333" applyNumberFormat="0" applyAlignment="0" applyProtection="0"/>
    <xf numFmtId="0" fontId="34" fillId="8" borderId="284" applyNumberFormat="0" applyAlignment="0" applyProtection="0"/>
    <xf numFmtId="0" fontId="34" fillId="8" borderId="245" applyNumberFormat="0" applyAlignment="0" applyProtection="0"/>
    <xf numFmtId="0" fontId="46" fillId="79" borderId="281" applyNumberFormat="0" applyAlignment="0" applyProtection="0"/>
    <xf numFmtId="0" fontId="34" fillId="8" borderId="299" applyNumberFormat="0" applyAlignment="0" applyProtection="0"/>
    <xf numFmtId="0" fontId="3" fillId="0" borderId="0"/>
    <xf numFmtId="0" fontId="3" fillId="0" borderId="0"/>
    <xf numFmtId="0" fontId="2" fillId="37" borderId="237" applyNumberFormat="0" applyFont="0" applyAlignment="0" applyProtection="0">
      <alignment vertical="center"/>
    </xf>
    <xf numFmtId="0" fontId="24" fillId="0" borderId="239" applyNumberFormat="0" applyFill="0" applyAlignment="0" applyProtection="0"/>
    <xf numFmtId="0" fontId="149" fillId="0" borderId="270" applyNumberFormat="0" applyFont="0">
      <alignment horizontal="center" vertical="center"/>
    </xf>
    <xf numFmtId="0" fontId="34" fillId="66" borderId="371" applyNumberFormat="0" applyAlignment="0" applyProtection="0"/>
    <xf numFmtId="0" fontId="25" fillId="81" borderId="273" applyNumberFormat="0" applyAlignment="0" applyProtection="0"/>
    <xf numFmtId="0" fontId="74" fillId="29" borderId="378" applyNumberFormat="0" applyAlignment="0" applyProtection="0">
      <alignment vertical="center"/>
    </xf>
    <xf numFmtId="0" fontId="46" fillId="79" borderId="383" applyNumberFormat="0" applyAlignment="0" applyProtection="0"/>
    <xf numFmtId="0" fontId="73" fillId="8" borderId="381" applyNumberFormat="0" applyAlignment="0" applyProtection="0">
      <alignment vertical="center"/>
    </xf>
    <xf numFmtId="0" fontId="34" fillId="66" borderId="338" applyNumberFormat="0" applyAlignment="0" applyProtection="0"/>
    <xf numFmtId="0" fontId="2" fillId="37" borderId="247" applyNumberFormat="0" applyFont="0" applyAlignment="0" applyProtection="0">
      <alignment vertical="center"/>
    </xf>
    <xf numFmtId="43" fontId="3" fillId="0" borderId="0" applyFont="0" applyFill="0" applyBorder="0" applyAlignment="0" applyProtection="0"/>
    <xf numFmtId="0" fontId="7" fillId="37" borderId="226" applyNumberFormat="0" applyFont="0" applyAlignment="0" applyProtection="0"/>
    <xf numFmtId="0" fontId="46" fillId="29" borderId="227" applyNumberFormat="0" applyAlignment="0" applyProtection="0"/>
    <xf numFmtId="0" fontId="34" fillId="66" borderId="295" applyNumberFormat="0" applyAlignment="0" applyProtection="0"/>
    <xf numFmtId="0" fontId="2" fillId="37" borderId="247" applyNumberFormat="0" applyFont="0" applyAlignment="0" applyProtection="0">
      <alignment vertical="center"/>
    </xf>
    <xf numFmtId="0" fontId="25" fillId="81" borderId="280" applyNumberFormat="0" applyAlignment="0" applyProtection="0"/>
    <xf numFmtId="0" fontId="86" fillId="0" borderId="267" applyNumberFormat="0" applyFill="0" applyAlignment="0" applyProtection="0">
      <alignment vertical="center"/>
    </xf>
    <xf numFmtId="0" fontId="24" fillId="0" borderId="228" applyNumberFormat="0" applyFill="0" applyAlignment="0" applyProtection="0"/>
    <xf numFmtId="0" fontId="2" fillId="37" borderId="226" applyNumberFormat="0" applyFont="0" applyAlignment="0" applyProtection="0">
      <alignment vertical="center"/>
    </xf>
    <xf numFmtId="0" fontId="73" fillId="8" borderId="224" applyNumberFormat="0" applyAlignment="0" applyProtection="0">
      <alignment vertical="center"/>
    </xf>
    <xf numFmtId="0" fontId="74" fillId="29" borderId="227" applyNumberFormat="0" applyAlignment="0" applyProtection="0">
      <alignment vertical="center"/>
    </xf>
    <xf numFmtId="43" fontId="3" fillId="0" borderId="0" applyFont="0" applyFill="0" applyBorder="0" applyAlignment="0" applyProtection="0"/>
    <xf numFmtId="0" fontId="82" fillId="29" borderId="224" applyNumberFormat="0" applyAlignment="0" applyProtection="0">
      <alignment vertical="center"/>
    </xf>
    <xf numFmtId="0" fontId="86" fillId="0" borderId="228" applyNumberFormat="0" applyFill="0" applyAlignment="0" applyProtection="0">
      <alignment vertical="center"/>
    </xf>
    <xf numFmtId="43" fontId="3" fillId="0" borderId="0" applyFont="0" applyFill="0" applyBorder="0" applyAlignment="0" applyProtection="0"/>
    <xf numFmtId="0" fontId="18" fillId="29" borderId="224" applyNumberFormat="0" applyAlignment="0" applyProtection="0"/>
    <xf numFmtId="43" fontId="3" fillId="0" borderId="0" applyFont="0" applyFill="0" applyBorder="0" applyAlignment="0" applyProtection="0"/>
    <xf numFmtId="0" fontId="29" fillId="0" borderId="223">
      <alignment horizontal="left" vertical="center"/>
    </xf>
    <xf numFmtId="0" fontId="18" fillId="79" borderId="253" applyNumberFormat="0" applyAlignment="0" applyProtection="0"/>
    <xf numFmtId="0" fontId="34" fillId="8" borderId="224" applyNumberFormat="0" applyAlignment="0" applyProtection="0"/>
    <xf numFmtId="0" fontId="34" fillId="8" borderId="224" applyNumberFormat="0" applyAlignment="0" applyProtection="0"/>
    <xf numFmtId="0" fontId="34" fillId="8" borderId="224" applyNumberFormat="0" applyAlignment="0" applyProtection="0"/>
    <xf numFmtId="0" fontId="34" fillId="8" borderId="224" applyNumberFormat="0" applyAlignment="0" applyProtection="0"/>
    <xf numFmtId="0" fontId="34" fillId="8" borderId="224" applyNumberFormat="0" applyAlignment="0" applyProtection="0"/>
    <xf numFmtId="0" fontId="34" fillId="8" borderId="299" applyNumberFormat="0" applyAlignment="0" applyProtection="0"/>
    <xf numFmtId="0" fontId="2" fillId="37" borderId="316" applyNumberFormat="0" applyFont="0" applyAlignment="0" applyProtection="0">
      <alignment vertical="center"/>
    </xf>
    <xf numFmtId="0" fontId="24" fillId="0" borderId="228" applyNumberFormat="0" applyFill="0" applyAlignment="0" applyProtection="0"/>
    <xf numFmtId="0" fontId="2" fillId="37" borderId="226" applyNumberFormat="0" applyFont="0" applyAlignment="0" applyProtection="0">
      <alignment vertical="center"/>
    </xf>
    <xf numFmtId="0" fontId="73" fillId="8" borderId="224" applyNumberFormat="0" applyAlignment="0" applyProtection="0">
      <alignment vertical="center"/>
    </xf>
    <xf numFmtId="0" fontId="74" fillId="29" borderId="227" applyNumberFormat="0" applyAlignment="0" applyProtection="0">
      <alignment vertical="center"/>
    </xf>
    <xf numFmtId="0" fontId="82" fillId="29" borderId="224" applyNumberFormat="0" applyAlignment="0" applyProtection="0">
      <alignment vertical="center"/>
    </xf>
    <xf numFmtId="0" fontId="86" fillId="0" borderId="228" applyNumberFormat="0" applyFill="0" applyAlignment="0" applyProtection="0">
      <alignment vertical="center"/>
    </xf>
    <xf numFmtId="9" fontId="156" fillId="0" borderId="0" applyFont="0" applyFill="0" applyBorder="0" applyAlignment="0" applyProtection="0"/>
    <xf numFmtId="0" fontId="34" fillId="8" borderId="235" applyNumberFormat="0" applyAlignment="0" applyProtection="0"/>
    <xf numFmtId="0" fontId="7" fillId="37" borderId="265" applyNumberFormat="0" applyFont="0" applyAlignment="0" applyProtection="0"/>
    <xf numFmtId="0" fontId="34" fillId="8" borderId="245" applyNumberFormat="0" applyAlignment="0" applyProtection="0"/>
    <xf numFmtId="0" fontId="25" fillId="81" borderId="354" applyNumberFormat="0" applyAlignment="0" applyProtection="0"/>
    <xf numFmtId="0" fontId="29" fillId="0" borderId="296">
      <alignment horizontal="left" vertical="center"/>
    </xf>
    <xf numFmtId="0" fontId="34" fillId="8" borderId="245" applyNumberFormat="0" applyAlignment="0" applyProtection="0"/>
    <xf numFmtId="0" fontId="34" fillId="8" borderId="345" applyNumberFormat="0" applyAlignment="0" applyProtection="0"/>
    <xf numFmtId="0" fontId="1" fillId="0" borderId="0"/>
    <xf numFmtId="0" fontId="46" fillId="79" borderId="238" applyNumberFormat="0" applyAlignment="0" applyProtection="0"/>
    <xf numFmtId="0" fontId="34" fillId="8" borderId="271" applyNumberFormat="0" applyAlignment="0" applyProtection="0"/>
    <xf numFmtId="0" fontId="46" fillId="29" borderId="248" applyNumberFormat="0" applyAlignment="0" applyProtection="0"/>
    <xf numFmtId="0" fontId="18" fillId="29" borderId="360" applyNumberFormat="0" applyAlignment="0" applyProtection="0"/>
    <xf numFmtId="0" fontId="25" fillId="81" borderId="258" applyNumberFormat="0" applyAlignment="0" applyProtection="0"/>
    <xf numFmtId="0" fontId="25" fillId="81" borderId="280" applyNumberFormat="0" applyAlignment="0" applyProtection="0"/>
    <xf numFmtId="0" fontId="24" fillId="0" borderId="260" applyNumberFormat="0" applyFill="0" applyAlignment="0" applyProtection="0"/>
    <xf numFmtId="0" fontId="25" fillId="81" borderId="247" applyNumberFormat="0" applyAlignment="0" applyProtection="0"/>
    <xf numFmtId="0" fontId="46" fillId="79" borderId="259" applyNumberFormat="0" applyAlignment="0" applyProtection="0"/>
    <xf numFmtId="43" fontId="3" fillId="0" borderId="0" applyFont="0" applyFill="0" applyBorder="0" applyAlignment="0" applyProtection="0"/>
    <xf numFmtId="0" fontId="34" fillId="8" borderId="235" applyNumberFormat="0" applyAlignment="0" applyProtection="0"/>
    <xf numFmtId="0" fontId="29" fillId="0" borderId="300">
      <alignment horizontal="left" vertical="center"/>
    </xf>
    <xf numFmtId="0" fontId="34" fillId="8" borderId="263" applyNumberFormat="0" applyAlignment="0" applyProtection="0"/>
    <xf numFmtId="0" fontId="2" fillId="37" borderId="301" applyNumberFormat="0" applyFont="0" applyAlignment="0" applyProtection="0">
      <alignment vertical="center"/>
    </xf>
    <xf numFmtId="0" fontId="46" fillId="29" borderId="302" applyNumberFormat="0" applyAlignment="0" applyProtection="0"/>
    <xf numFmtId="0" fontId="29" fillId="0" borderId="330">
      <alignment horizontal="left" vertical="center"/>
    </xf>
    <xf numFmtId="2" fontId="148" fillId="0" borderId="229" applyFont="0" applyBorder="0" applyAlignment="0" applyProtection="0">
      <alignment horizontal="right"/>
    </xf>
    <xf numFmtId="0" fontId="34" fillId="8" borderId="345" applyNumberFormat="0" applyAlignment="0" applyProtection="0"/>
    <xf numFmtId="0" fontId="29" fillId="0" borderId="242">
      <alignment horizontal="left" vertical="center"/>
    </xf>
    <xf numFmtId="0" fontId="34" fillId="8" borderId="360" applyNumberFormat="0" applyAlignment="0" applyProtection="0"/>
    <xf numFmtId="0" fontId="29" fillId="0" borderId="230">
      <alignment horizontal="left" vertical="center"/>
    </xf>
    <xf numFmtId="0" fontId="46" fillId="79" borderId="313" applyNumberFormat="0" applyAlignment="0" applyProtection="0"/>
    <xf numFmtId="0" fontId="34" fillId="8" borderId="284" applyNumberFormat="0" applyAlignment="0" applyProtection="0"/>
    <xf numFmtId="0" fontId="34" fillId="66" borderId="295" applyNumberFormat="0" applyAlignment="0" applyProtection="0"/>
    <xf numFmtId="0" fontId="18" fillId="79" borderId="263" applyNumberFormat="0" applyAlignment="0" applyProtection="0"/>
    <xf numFmtId="0" fontId="24" fillId="0" borderId="249" applyNumberFormat="0" applyFill="0" applyAlignment="0" applyProtection="0"/>
    <xf numFmtId="0" fontId="25" fillId="81" borderId="373" applyNumberFormat="0" applyAlignment="0" applyProtection="0"/>
    <xf numFmtId="0" fontId="34" fillId="8" borderId="271" applyNumberFormat="0" applyAlignment="0" applyProtection="0"/>
    <xf numFmtId="0" fontId="34" fillId="8" borderId="314" applyNumberFormat="0" applyAlignment="0" applyProtection="0"/>
    <xf numFmtId="0" fontId="156" fillId="0" borderId="0"/>
    <xf numFmtId="9" fontId="156" fillId="0" borderId="0" applyFont="0" applyFill="0" applyBorder="0" applyAlignment="0" applyProtection="0"/>
    <xf numFmtId="0" fontId="86" fillId="0" borderId="275" applyNumberFormat="0" applyFill="0" applyAlignment="0" applyProtection="0">
      <alignment vertical="center"/>
    </xf>
    <xf numFmtId="0" fontId="34" fillId="8" borderId="245" applyNumberFormat="0" applyAlignment="0" applyProtection="0"/>
    <xf numFmtId="0" fontId="34" fillId="8" borderId="284" applyNumberFormat="0" applyAlignment="0" applyProtection="0"/>
    <xf numFmtId="0" fontId="29" fillId="0" borderId="311">
      <alignment horizontal="left" vertical="center"/>
    </xf>
    <xf numFmtId="0" fontId="34" fillId="66" borderId="284" applyNumberFormat="0" applyAlignment="0" applyProtection="0"/>
    <xf numFmtId="0" fontId="34" fillId="8" borderId="271" applyNumberFormat="0" applyAlignment="0" applyProtection="0"/>
    <xf numFmtId="0" fontId="25" fillId="81" borderId="335" applyNumberFormat="0" applyAlignment="0" applyProtection="0"/>
    <xf numFmtId="0" fontId="46" fillId="79" borderId="313" applyNumberFormat="0" applyAlignment="0" applyProtection="0"/>
    <xf numFmtId="0" fontId="34" fillId="8" borderId="284" applyNumberFormat="0" applyAlignment="0" applyProtection="0"/>
    <xf numFmtId="0" fontId="73" fillId="8" borderId="235" applyNumberFormat="0" applyAlignment="0" applyProtection="0">
      <alignment vertical="center"/>
    </xf>
    <xf numFmtId="0" fontId="74" fillId="29" borderId="238" applyNumberFormat="0" applyAlignment="0" applyProtection="0">
      <alignment vertical="center"/>
    </xf>
    <xf numFmtId="0" fontId="82" fillId="29" borderId="235" applyNumberFormat="0" applyAlignment="0" applyProtection="0">
      <alignment vertical="center"/>
    </xf>
    <xf numFmtId="0" fontId="86" fillId="0" borderId="239" applyNumberFormat="0" applyFill="0" applyAlignment="0" applyProtection="0">
      <alignment vertical="center"/>
    </xf>
    <xf numFmtId="9" fontId="156" fillId="0" borderId="0" applyFont="0" applyFill="0" applyBorder="0" applyAlignment="0" applyProtection="0"/>
    <xf numFmtId="0" fontId="34" fillId="8" borderId="271" applyNumberFormat="0" applyAlignment="0" applyProtection="0"/>
    <xf numFmtId="0" fontId="34" fillId="8" borderId="376" applyNumberFormat="0" applyAlignment="0" applyProtection="0"/>
    <xf numFmtId="0" fontId="82" fillId="29" borderId="314" applyNumberFormat="0" applyAlignment="0" applyProtection="0">
      <alignment vertical="center"/>
    </xf>
    <xf numFmtId="0" fontId="46" fillId="79" borderId="259" applyNumberFormat="0" applyAlignment="0" applyProtection="0"/>
    <xf numFmtId="0" fontId="34" fillId="8" borderId="271" applyNumberFormat="0" applyAlignment="0" applyProtection="0"/>
    <xf numFmtId="0" fontId="7" fillId="37" borderId="301" applyNumberFormat="0" applyFont="0" applyAlignment="0" applyProtection="0"/>
    <xf numFmtId="0" fontId="18" fillId="79" borderId="306" applyNumberFormat="0" applyAlignment="0" applyProtection="0"/>
    <xf numFmtId="0" fontId="25" fillId="81" borderId="258" applyNumberFormat="0" applyAlignment="0" applyProtection="0"/>
    <xf numFmtId="0" fontId="3" fillId="0" borderId="0"/>
    <xf numFmtId="0" fontId="18" fillId="29" borderId="371" applyNumberFormat="0" applyAlignment="0" applyProtection="0"/>
    <xf numFmtId="0" fontId="73" fillId="8" borderId="314" applyNumberFormat="0" applyAlignment="0" applyProtection="0">
      <alignment vertical="center"/>
    </xf>
    <xf numFmtId="0" fontId="34" fillId="8" borderId="333" applyNumberFormat="0" applyAlignment="0" applyProtection="0"/>
    <xf numFmtId="0" fontId="29" fillId="0" borderId="334">
      <alignment horizontal="left" vertical="center"/>
    </xf>
    <xf numFmtId="0" fontId="149" fillId="0" borderId="324" applyNumberFormat="0" applyFont="0">
      <alignment horizontal="center" vertical="center"/>
    </xf>
    <xf numFmtId="0" fontId="34" fillId="8" borderId="271" applyNumberFormat="0" applyAlignment="0" applyProtection="0"/>
    <xf numFmtId="0" fontId="24" fillId="0" borderId="356" applyNumberFormat="0" applyFill="0" applyAlignment="0" applyProtection="0"/>
    <xf numFmtId="0" fontId="18" fillId="79" borderId="295" applyNumberFormat="0" applyAlignment="0" applyProtection="0"/>
    <xf numFmtId="0" fontId="46" fillId="79" borderId="370" applyNumberFormat="0" applyAlignment="0" applyProtection="0"/>
    <xf numFmtId="0" fontId="34" fillId="8" borderId="263" applyNumberFormat="0" applyAlignment="0" applyProtection="0"/>
    <xf numFmtId="0" fontId="34" fillId="8" borderId="263" applyNumberFormat="0" applyAlignment="0" applyProtection="0"/>
    <xf numFmtId="0" fontId="29" fillId="0" borderId="311">
      <alignment horizontal="left" vertical="center"/>
    </xf>
    <xf numFmtId="0" fontId="46" fillId="79" borderId="336" applyNumberFormat="0" applyAlignment="0" applyProtection="0"/>
    <xf numFmtId="0" fontId="7" fillId="37" borderId="247" applyNumberFormat="0" applyFont="0" applyAlignment="0" applyProtection="0"/>
    <xf numFmtId="0" fontId="46" fillId="29" borderId="248" applyNumberFormat="0" applyAlignment="0" applyProtection="0"/>
    <xf numFmtId="0" fontId="82" fillId="29" borderId="299" applyNumberFormat="0" applyAlignment="0" applyProtection="0">
      <alignment vertical="center"/>
    </xf>
    <xf numFmtId="0" fontId="82" fillId="29" borderId="333" applyNumberFormat="0" applyAlignment="0" applyProtection="0">
      <alignment vertical="center"/>
    </xf>
    <xf numFmtId="0" fontId="46" fillId="79" borderId="374" applyNumberFormat="0" applyAlignment="0" applyProtection="0"/>
    <xf numFmtId="0" fontId="24" fillId="0" borderId="249" applyNumberFormat="0" applyFill="0" applyAlignment="0" applyProtection="0"/>
    <xf numFmtId="0" fontId="2" fillId="37" borderId="247" applyNumberFormat="0" applyFont="0" applyAlignment="0" applyProtection="0">
      <alignment vertical="center"/>
    </xf>
    <xf numFmtId="0" fontId="73" fillId="8" borderId="245" applyNumberFormat="0" applyAlignment="0" applyProtection="0">
      <alignment vertical="center"/>
    </xf>
    <xf numFmtId="0" fontId="74" fillId="29" borderId="248" applyNumberFormat="0" applyAlignment="0" applyProtection="0">
      <alignment vertical="center"/>
    </xf>
    <xf numFmtId="2" fontId="148" fillId="0" borderId="250" applyFont="0" applyBorder="0" applyAlignment="0" applyProtection="0">
      <alignment horizontal="right"/>
    </xf>
    <xf numFmtId="0" fontId="82" fillId="29" borderId="245" applyNumberFormat="0" applyAlignment="0" applyProtection="0">
      <alignment vertical="center"/>
    </xf>
    <xf numFmtId="0" fontId="86" fillId="0" borderId="249" applyNumberFormat="0" applyFill="0" applyAlignment="0" applyProtection="0">
      <alignment vertical="center"/>
    </xf>
    <xf numFmtId="0" fontId="18" fillId="29" borderId="245" applyNumberFormat="0" applyAlignment="0" applyProtection="0"/>
    <xf numFmtId="0" fontId="29" fillId="0" borderId="289">
      <alignment horizontal="left" vertical="center"/>
    </xf>
    <xf numFmtId="43" fontId="3" fillId="0" borderId="0" applyFont="0" applyFill="0" applyBorder="0" applyAlignment="0" applyProtection="0"/>
    <xf numFmtId="0" fontId="29" fillId="0" borderId="251">
      <alignment horizontal="left" vertical="center"/>
    </xf>
    <xf numFmtId="0" fontId="74" fillId="29" borderId="266" applyNumberFormat="0" applyAlignment="0" applyProtection="0">
      <alignment vertical="center"/>
    </xf>
    <xf numFmtId="0" fontId="34" fillId="8" borderId="245" applyNumberFormat="0" applyAlignment="0" applyProtection="0"/>
    <xf numFmtId="0" fontId="34" fillId="8" borderId="245" applyNumberFormat="0" applyAlignment="0" applyProtection="0"/>
    <xf numFmtId="0" fontId="34" fillId="8" borderId="245" applyNumberFormat="0" applyAlignment="0" applyProtection="0"/>
    <xf numFmtId="0" fontId="34" fillId="8" borderId="245" applyNumberFormat="0" applyAlignment="0" applyProtection="0"/>
    <xf numFmtId="0" fontId="34" fillId="8" borderId="245" applyNumberFormat="0" applyAlignment="0" applyProtection="0"/>
    <xf numFmtId="0" fontId="24" fillId="0" borderId="249" applyNumberFormat="0" applyFill="0" applyAlignment="0" applyProtection="0"/>
    <xf numFmtId="0" fontId="2" fillId="37" borderId="247" applyNumberFormat="0" applyFont="0" applyAlignment="0" applyProtection="0">
      <alignment vertical="center"/>
    </xf>
    <xf numFmtId="0" fontId="73" fillId="8" borderId="245" applyNumberFormat="0" applyAlignment="0" applyProtection="0">
      <alignment vertical="center"/>
    </xf>
    <xf numFmtId="0" fontId="74" fillId="29" borderId="248" applyNumberFormat="0" applyAlignment="0" applyProtection="0">
      <alignment vertical="center"/>
    </xf>
    <xf numFmtId="0" fontId="82" fillId="29" borderId="245" applyNumberFormat="0" applyAlignment="0" applyProtection="0">
      <alignment vertical="center"/>
    </xf>
    <xf numFmtId="0" fontId="86" fillId="0" borderId="249" applyNumberFormat="0" applyFill="0" applyAlignment="0" applyProtection="0">
      <alignment vertical="center"/>
    </xf>
    <xf numFmtId="9" fontId="156" fillId="0" borderId="0" applyFont="0" applyFill="0" applyBorder="0" applyAlignment="0" applyProtection="0"/>
    <xf numFmtId="0" fontId="2" fillId="37" borderId="316" applyNumberFormat="0" applyFont="0" applyAlignment="0" applyProtection="0">
      <alignment vertical="center"/>
    </xf>
    <xf numFmtId="0" fontId="82" fillId="29" borderId="284" applyNumberFormat="0" applyAlignment="0" applyProtection="0">
      <alignment vertical="center"/>
    </xf>
    <xf numFmtId="0" fontId="25" fillId="81" borderId="335" applyNumberFormat="0" applyAlignment="0" applyProtection="0"/>
    <xf numFmtId="0" fontId="18" fillId="79" borderId="345" applyNumberFormat="0" applyAlignment="0" applyProtection="0"/>
    <xf numFmtId="0" fontId="24" fillId="0" borderId="318" applyNumberFormat="0" applyFill="0" applyAlignment="0" applyProtection="0"/>
    <xf numFmtId="0" fontId="34" fillId="66" borderId="333" applyNumberFormat="0" applyAlignment="0" applyProtection="0"/>
    <xf numFmtId="0" fontId="34" fillId="8" borderId="299" applyNumberFormat="0" applyAlignment="0" applyProtection="0"/>
    <xf numFmtId="0" fontId="34" fillId="8" borderId="263" applyNumberFormat="0" applyAlignment="0" applyProtection="0"/>
    <xf numFmtId="0" fontId="34" fillId="8" borderId="263" applyNumberFormat="0" applyAlignment="0" applyProtection="0"/>
    <xf numFmtId="0" fontId="25" fillId="81" borderId="301" applyNumberFormat="0" applyAlignment="0" applyProtection="0"/>
    <xf numFmtId="0" fontId="46" fillId="79" borderId="336" applyNumberFormat="0" applyAlignment="0" applyProtection="0"/>
    <xf numFmtId="0" fontId="34" fillId="66" borderId="310" applyNumberFormat="0" applyAlignment="0" applyProtection="0"/>
    <xf numFmtId="0" fontId="34" fillId="8" borderId="314" applyNumberFormat="0" applyAlignment="0" applyProtection="0"/>
    <xf numFmtId="0" fontId="34" fillId="8" borderId="299" applyNumberFormat="0" applyAlignment="0" applyProtection="0"/>
    <xf numFmtId="0" fontId="18" fillId="29" borderId="299" applyNumberFormat="0" applyAlignment="0" applyProtection="0"/>
    <xf numFmtId="0" fontId="34" fillId="66" borderId="310" applyNumberFormat="0" applyAlignment="0" applyProtection="0"/>
    <xf numFmtId="0" fontId="34" fillId="8" borderId="345" applyNumberFormat="0" applyAlignment="0" applyProtection="0"/>
    <xf numFmtId="0" fontId="46" fillId="29" borderId="287" applyNumberFormat="0" applyAlignment="0" applyProtection="0"/>
    <xf numFmtId="0" fontId="25" fillId="81" borderId="327" applyNumberFormat="0" applyAlignment="0" applyProtection="0"/>
    <xf numFmtId="0" fontId="34" fillId="8" borderId="360" applyNumberFormat="0" applyAlignment="0" applyProtection="0"/>
    <xf numFmtId="0" fontId="86" fillId="0" borderId="303" applyNumberFormat="0" applyFill="0" applyAlignment="0" applyProtection="0">
      <alignment vertical="center"/>
    </xf>
    <xf numFmtId="0" fontId="34" fillId="66" borderId="367" applyNumberFormat="0" applyAlignment="0" applyProtection="0"/>
    <xf numFmtId="0" fontId="25" fillId="81" borderId="297" applyNumberFormat="0" applyAlignment="0" applyProtection="0"/>
    <xf numFmtId="0" fontId="7" fillId="37" borderId="258" applyNumberFormat="0" applyFont="0" applyAlignment="0" applyProtection="0"/>
    <xf numFmtId="0" fontId="46" fillId="29" borderId="259" applyNumberFormat="0" applyAlignment="0" applyProtection="0"/>
    <xf numFmtId="0" fontId="73" fillId="8" borderId="263" applyNumberFormat="0" applyAlignment="0" applyProtection="0">
      <alignment vertical="center"/>
    </xf>
    <xf numFmtId="0" fontId="2" fillId="37" borderId="265" applyNumberFormat="0" applyFont="0" applyAlignment="0" applyProtection="0">
      <alignment vertical="center"/>
    </xf>
    <xf numFmtId="0" fontId="29" fillId="0" borderId="358">
      <alignment horizontal="left" vertical="center"/>
    </xf>
    <xf numFmtId="0" fontId="24" fillId="0" borderId="260" applyNumberFormat="0" applyFill="0" applyAlignment="0" applyProtection="0"/>
    <xf numFmtId="0" fontId="2" fillId="37" borderId="258" applyNumberFormat="0" applyFont="0" applyAlignment="0" applyProtection="0">
      <alignment vertical="center"/>
    </xf>
    <xf numFmtId="0" fontId="82" fillId="29" borderId="360" applyNumberFormat="0" applyAlignment="0" applyProtection="0">
      <alignment vertical="center"/>
    </xf>
    <xf numFmtId="0" fontId="74" fillId="29" borderId="259" applyNumberFormat="0" applyAlignment="0" applyProtection="0">
      <alignment vertical="center"/>
    </xf>
    <xf numFmtId="0" fontId="34" fillId="8" borderId="314" applyNumberFormat="0" applyAlignment="0" applyProtection="0"/>
    <xf numFmtId="0" fontId="86" fillId="0" borderId="260" applyNumberFormat="0" applyFill="0" applyAlignment="0" applyProtection="0">
      <alignment vertical="center"/>
    </xf>
    <xf numFmtId="0" fontId="7" fillId="37" borderId="286" applyNumberFormat="0" applyFont="0" applyAlignment="0" applyProtection="0"/>
    <xf numFmtId="0" fontId="2" fillId="37" borderId="339" applyNumberFormat="0" applyFont="0" applyAlignment="0" applyProtection="0">
      <alignment vertical="center"/>
    </xf>
    <xf numFmtId="0" fontId="46" fillId="79" borderId="370" applyNumberFormat="0" applyAlignment="0" applyProtection="0"/>
    <xf numFmtId="0" fontId="24" fillId="0" borderId="318" applyNumberFormat="0" applyFill="0" applyAlignment="0" applyProtection="0"/>
    <xf numFmtId="0" fontId="74" fillId="29" borderId="266" applyNumberFormat="0" applyAlignment="0" applyProtection="0">
      <alignment vertical="center"/>
    </xf>
    <xf numFmtId="0" fontId="24" fillId="0" borderId="267" applyNumberFormat="0" applyFill="0" applyAlignment="0" applyProtection="0"/>
    <xf numFmtId="0" fontId="24" fillId="0" borderId="260" applyNumberFormat="0" applyFill="0" applyAlignment="0" applyProtection="0"/>
    <xf numFmtId="0" fontId="2" fillId="37" borderId="258" applyNumberFormat="0" applyFont="0" applyAlignment="0" applyProtection="0">
      <alignment vertical="center"/>
    </xf>
    <xf numFmtId="0" fontId="74" fillId="29" borderId="259" applyNumberFormat="0" applyAlignment="0" applyProtection="0">
      <alignment vertical="center"/>
    </xf>
    <xf numFmtId="0" fontId="86" fillId="0" borderId="260" applyNumberFormat="0" applyFill="0" applyAlignment="0" applyProtection="0">
      <alignment vertical="center"/>
    </xf>
    <xf numFmtId="9" fontId="156" fillId="0" borderId="0" applyFont="0" applyFill="0" applyBorder="0" applyAlignment="0" applyProtection="0"/>
    <xf numFmtId="0" fontId="34" fillId="8" borderId="299" applyNumberFormat="0" applyAlignment="0" applyProtection="0"/>
    <xf numFmtId="0" fontId="74" fillId="29" borderId="302" applyNumberFormat="0" applyAlignment="0" applyProtection="0">
      <alignment vertical="center"/>
    </xf>
    <xf numFmtId="0" fontId="24" fillId="0" borderId="303" applyNumberFormat="0" applyFill="0" applyAlignment="0" applyProtection="0"/>
    <xf numFmtId="0" fontId="34" fillId="8" borderId="314" applyNumberFormat="0" applyAlignment="0" applyProtection="0"/>
    <xf numFmtId="0" fontId="74" fillId="29" borderId="317" applyNumberFormat="0" applyAlignment="0" applyProtection="0">
      <alignment vertical="center"/>
    </xf>
    <xf numFmtId="0" fontId="18" fillId="29" borderId="333" applyNumberFormat="0" applyAlignment="0" applyProtection="0"/>
    <xf numFmtId="0" fontId="46" fillId="79" borderId="336" applyNumberFormat="0" applyAlignment="0" applyProtection="0"/>
    <xf numFmtId="0" fontId="34" fillId="8" borderId="333" applyNumberFormat="0" applyAlignment="0" applyProtection="0"/>
    <xf numFmtId="0" fontId="7" fillId="37" borderId="265" applyNumberFormat="0" applyFont="0" applyAlignment="0" applyProtection="0"/>
    <xf numFmtId="0" fontId="46" fillId="29" borderId="266" applyNumberFormat="0" applyAlignment="0" applyProtection="0"/>
    <xf numFmtId="0" fontId="86" fillId="0" borderId="337" applyNumberFormat="0" applyFill="0" applyAlignment="0" applyProtection="0">
      <alignment vertical="center"/>
    </xf>
    <xf numFmtId="0" fontId="74" fillId="29" borderId="340" applyNumberFormat="0" applyAlignment="0" applyProtection="0">
      <alignment vertical="center"/>
    </xf>
    <xf numFmtId="0" fontId="24" fillId="0" borderId="267" applyNumberFormat="0" applyFill="0" applyAlignment="0" applyProtection="0"/>
    <xf numFmtId="0" fontId="2" fillId="37" borderId="265" applyNumberFormat="0" applyFont="0" applyAlignment="0" applyProtection="0">
      <alignment vertical="center"/>
    </xf>
    <xf numFmtId="0" fontId="73" fillId="8" borderId="263" applyNumberFormat="0" applyAlignment="0" applyProtection="0">
      <alignment vertical="center"/>
    </xf>
    <xf numFmtId="0" fontId="74" fillId="29" borderId="266" applyNumberFormat="0" applyAlignment="0" applyProtection="0">
      <alignment vertical="center"/>
    </xf>
    <xf numFmtId="2" fontId="148" fillId="0" borderId="268" applyFont="0" applyBorder="0" applyAlignment="0" applyProtection="0">
      <alignment horizontal="right"/>
    </xf>
    <xf numFmtId="0" fontId="82" fillId="29" borderId="263" applyNumberFormat="0" applyAlignment="0" applyProtection="0">
      <alignment vertical="center"/>
    </xf>
    <xf numFmtId="0" fontId="86" fillId="0" borderId="267" applyNumberFormat="0" applyFill="0" applyAlignment="0" applyProtection="0">
      <alignment vertical="center"/>
    </xf>
    <xf numFmtId="0" fontId="18" fillId="29" borderId="263" applyNumberFormat="0" applyAlignment="0" applyProtection="0"/>
    <xf numFmtId="0" fontId="46" fillId="79" borderId="309" applyNumberFormat="0" applyAlignment="0" applyProtection="0"/>
    <xf numFmtId="0" fontId="7" fillId="37" borderId="316" applyNumberFormat="0" applyFont="0" applyAlignment="0" applyProtection="0"/>
    <xf numFmtId="0" fontId="29" fillId="0" borderId="269">
      <alignment horizontal="left" vertical="center"/>
    </xf>
    <xf numFmtId="0" fontId="34" fillId="8" borderId="263" applyNumberFormat="0" applyAlignment="0" applyProtection="0"/>
    <xf numFmtId="0" fontId="34" fillId="8" borderId="263" applyNumberFormat="0" applyAlignment="0" applyProtection="0"/>
    <xf numFmtId="0" fontId="34" fillId="8" borderId="263" applyNumberFormat="0" applyAlignment="0" applyProtection="0"/>
    <xf numFmtId="0" fontId="34" fillId="8" borderId="263" applyNumberFormat="0" applyAlignment="0" applyProtection="0"/>
    <xf numFmtId="0" fontId="34" fillId="8" borderId="263" applyNumberFormat="0" applyAlignment="0" applyProtection="0"/>
    <xf numFmtId="0" fontId="24" fillId="0" borderId="267" applyNumberFormat="0" applyFill="0" applyAlignment="0" applyProtection="0"/>
    <xf numFmtId="0" fontId="2" fillId="37" borderId="265" applyNumberFormat="0" applyFont="0" applyAlignment="0" applyProtection="0">
      <alignment vertical="center"/>
    </xf>
    <xf numFmtId="0" fontId="73" fillId="8" borderId="263" applyNumberFormat="0" applyAlignment="0" applyProtection="0">
      <alignment vertical="center"/>
    </xf>
    <xf numFmtId="0" fontId="74" fillId="29" borderId="266" applyNumberFormat="0" applyAlignment="0" applyProtection="0">
      <alignment vertical="center"/>
    </xf>
    <xf numFmtId="0" fontId="82" fillId="29" borderId="263" applyNumberFormat="0" applyAlignment="0" applyProtection="0">
      <alignment vertical="center"/>
    </xf>
    <xf numFmtId="0" fontId="86" fillId="0" borderId="267" applyNumberFormat="0" applyFill="0" applyAlignment="0" applyProtection="0">
      <alignment vertical="center"/>
    </xf>
    <xf numFmtId="9" fontId="156" fillId="0" borderId="0" applyFont="0" applyFill="0" applyBorder="0" applyAlignment="0" applyProtection="0"/>
    <xf numFmtId="0" fontId="29" fillId="0" borderId="292">
      <alignment horizontal="left" vertical="center"/>
    </xf>
    <xf numFmtId="0" fontId="34" fillId="8" borderId="271" applyNumberFormat="0" applyAlignment="0" applyProtection="0"/>
    <xf numFmtId="0" fontId="34" fillId="8" borderId="360" applyNumberFormat="0" applyAlignment="0" applyProtection="0"/>
    <xf numFmtId="0" fontId="24" fillId="0" borderId="303" applyNumberFormat="0" applyFill="0" applyAlignment="0" applyProtection="0"/>
    <xf numFmtId="0" fontId="34" fillId="8" borderId="333" applyNumberFormat="0" applyAlignment="0" applyProtection="0"/>
    <xf numFmtId="0" fontId="46" fillId="79" borderId="309" applyNumberFormat="0" applyAlignment="0" applyProtection="0"/>
    <xf numFmtId="0" fontId="25" fillId="81" borderId="297" applyNumberFormat="0" applyAlignment="0" applyProtection="0"/>
    <xf numFmtId="0" fontId="18" fillId="79" borderId="325" applyNumberFormat="0" applyAlignment="0" applyProtection="0"/>
    <xf numFmtId="0" fontId="34" fillId="8" borderId="284" applyNumberFormat="0" applyAlignment="0" applyProtection="0"/>
    <xf numFmtId="0" fontId="34" fillId="8" borderId="284" applyNumberFormat="0" applyAlignment="0" applyProtection="0"/>
    <xf numFmtId="0" fontId="25" fillId="81" borderId="308" applyNumberFormat="0" applyAlignment="0" applyProtection="0"/>
    <xf numFmtId="0" fontId="34" fillId="8" borderId="299" applyNumberFormat="0" applyAlignment="0" applyProtection="0"/>
    <xf numFmtId="0" fontId="86" fillId="0" borderId="303" applyNumberFormat="0" applyFill="0" applyAlignment="0" applyProtection="0">
      <alignment vertical="center"/>
    </xf>
    <xf numFmtId="2" fontId="148" fillId="0" borderId="380" applyFont="0" applyBorder="0" applyAlignment="0" applyProtection="0">
      <alignment horizontal="right"/>
    </xf>
    <xf numFmtId="0" fontId="3" fillId="0" borderId="0"/>
    <xf numFmtId="0" fontId="86" fillId="0" borderId="341" applyNumberFormat="0" applyFill="0" applyAlignment="0" applyProtection="0">
      <alignment vertical="center"/>
    </xf>
    <xf numFmtId="0" fontId="18" fillId="79" borderId="325" applyNumberFormat="0" applyAlignment="0" applyProtection="0"/>
    <xf numFmtId="0" fontId="46" fillId="79" borderId="363" applyNumberFormat="0" applyAlignment="0" applyProtection="0"/>
    <xf numFmtId="0" fontId="7" fillId="37" borderId="377" applyNumberFormat="0" applyFont="0" applyAlignment="0" applyProtection="0"/>
    <xf numFmtId="0" fontId="34" fillId="8" borderId="333" applyNumberFormat="0" applyAlignment="0" applyProtection="0"/>
    <xf numFmtId="0" fontId="25" fillId="81" borderId="335" applyNumberFormat="0" applyAlignment="0" applyProtection="0"/>
    <xf numFmtId="0" fontId="7" fillId="37" borderId="273" applyNumberFormat="0" applyFont="0" applyAlignment="0" applyProtection="0"/>
    <xf numFmtId="0" fontId="46" fillId="29" borderId="274" applyNumberFormat="0" applyAlignment="0" applyProtection="0"/>
    <xf numFmtId="0" fontId="74" fillId="29" borderId="355" applyNumberFormat="0" applyAlignment="0" applyProtection="0">
      <alignment vertical="center"/>
    </xf>
    <xf numFmtId="0" fontId="34" fillId="66" borderId="306" applyNumberFormat="0" applyAlignment="0" applyProtection="0"/>
    <xf numFmtId="0" fontId="24" fillId="0" borderId="275" applyNumberFormat="0" applyFill="0" applyAlignment="0" applyProtection="0"/>
    <xf numFmtId="0" fontId="2" fillId="37" borderId="273" applyNumberFormat="0" applyFont="0" applyAlignment="0" applyProtection="0">
      <alignment vertical="center"/>
    </xf>
    <xf numFmtId="0" fontId="73" fillId="8" borderId="271" applyNumberFormat="0" applyAlignment="0" applyProtection="0">
      <alignment vertical="center"/>
    </xf>
    <xf numFmtId="0" fontId="74" fillId="29" borderId="274" applyNumberFormat="0" applyAlignment="0" applyProtection="0">
      <alignment vertical="center"/>
    </xf>
    <xf numFmtId="2" fontId="148" fillId="0" borderId="276" applyFont="0" applyBorder="0" applyAlignment="0" applyProtection="0">
      <alignment horizontal="right"/>
    </xf>
    <xf numFmtId="0" fontId="82" fillId="29" borderId="271" applyNumberFormat="0" applyAlignment="0" applyProtection="0">
      <alignment vertical="center"/>
    </xf>
    <xf numFmtId="0" fontId="86" fillId="0" borderId="275" applyNumberFormat="0" applyFill="0" applyAlignment="0" applyProtection="0">
      <alignment vertical="center"/>
    </xf>
    <xf numFmtId="0" fontId="18" fillId="29" borderId="271" applyNumberFormat="0" applyAlignment="0" applyProtection="0"/>
    <xf numFmtId="0" fontId="2" fillId="37" borderId="362" applyNumberFormat="0" applyFont="0" applyAlignment="0" applyProtection="0">
      <alignment vertical="center"/>
    </xf>
    <xf numFmtId="0" fontId="34" fillId="8" borderId="314" applyNumberFormat="0" applyAlignment="0" applyProtection="0"/>
    <xf numFmtId="0" fontId="29" fillId="0" borderId="277">
      <alignment horizontal="left" vertical="center"/>
    </xf>
    <xf numFmtId="0" fontId="24" fillId="0" borderId="288" applyNumberFormat="0" applyFill="0" applyAlignment="0" applyProtection="0"/>
    <xf numFmtId="0" fontId="34" fillId="8" borderId="271" applyNumberFormat="0" applyAlignment="0" applyProtection="0"/>
    <xf numFmtId="0" fontId="34" fillId="8" borderId="271" applyNumberFormat="0" applyAlignment="0" applyProtection="0"/>
    <xf numFmtId="0" fontId="34" fillId="8" borderId="271" applyNumberFormat="0" applyAlignment="0" applyProtection="0"/>
    <xf numFmtId="0" fontId="34" fillId="8" borderId="271" applyNumberFormat="0" applyAlignment="0" applyProtection="0"/>
    <xf numFmtId="0" fontId="34" fillId="8" borderId="271" applyNumberFormat="0" applyAlignment="0" applyProtection="0"/>
    <xf numFmtId="0" fontId="29" fillId="0" borderId="315">
      <alignment horizontal="left" vertical="center"/>
    </xf>
    <xf numFmtId="0" fontId="3" fillId="0" borderId="0"/>
    <xf numFmtId="0" fontId="24" fillId="0" borderId="275" applyNumberFormat="0" applyFill="0" applyAlignment="0" applyProtection="0"/>
    <xf numFmtId="0" fontId="2" fillId="37" borderId="273" applyNumberFormat="0" applyFont="0" applyAlignment="0" applyProtection="0">
      <alignment vertical="center"/>
    </xf>
    <xf numFmtId="0" fontId="73" fillId="8" borderId="271" applyNumberFormat="0" applyAlignment="0" applyProtection="0">
      <alignment vertical="center"/>
    </xf>
    <xf numFmtId="0" fontId="74" fillId="29" borderId="274" applyNumberFormat="0" applyAlignment="0" applyProtection="0">
      <alignment vertical="center"/>
    </xf>
    <xf numFmtId="0" fontId="82" fillId="29" borderId="271" applyNumberFormat="0" applyAlignment="0" applyProtection="0">
      <alignment vertical="center"/>
    </xf>
    <xf numFmtId="0" fontId="86" fillId="0" borderId="275" applyNumberFormat="0" applyFill="0" applyAlignment="0" applyProtection="0">
      <alignment vertical="center"/>
    </xf>
    <xf numFmtId="9" fontId="3" fillId="0" borderId="0" applyFont="0" applyFill="0" applyBorder="0" applyAlignment="0" applyProtection="0"/>
    <xf numFmtId="0" fontId="34" fillId="8" borderId="381" applyNumberFormat="0" applyAlignment="0" applyProtection="0"/>
    <xf numFmtId="0" fontId="25" fillId="81" borderId="312" applyNumberFormat="0" applyAlignment="0" applyProtection="0"/>
    <xf numFmtId="0" fontId="34" fillId="8" borderId="314" applyNumberFormat="0" applyAlignment="0" applyProtection="0"/>
    <xf numFmtId="0" fontId="18" fillId="29" borderId="352" applyNumberFormat="0" applyAlignment="0" applyProtection="0"/>
    <xf numFmtId="0" fontId="82" fillId="29" borderId="352" applyNumberFormat="0" applyAlignment="0" applyProtection="0">
      <alignment vertical="center"/>
    </xf>
    <xf numFmtId="0" fontId="34" fillId="8" borderId="371" applyNumberFormat="0" applyAlignment="0" applyProtection="0"/>
    <xf numFmtId="0" fontId="46" fillId="79" borderId="374" applyNumberFormat="0" applyAlignment="0" applyProtection="0"/>
    <xf numFmtId="2" fontId="148" fillId="0" borderId="365" applyFont="0" applyBorder="0" applyAlignment="0" applyProtection="0">
      <alignment horizontal="right"/>
    </xf>
    <xf numFmtId="0" fontId="34" fillId="8" borderId="314" applyNumberFormat="0" applyAlignment="0" applyProtection="0"/>
    <xf numFmtId="0" fontId="7" fillId="37" borderId="335" applyNumberFormat="0" applyFont="0" applyAlignment="0" applyProtection="0"/>
    <xf numFmtId="0" fontId="29" fillId="0" borderId="368">
      <alignment horizontal="left" vertical="center"/>
    </xf>
    <xf numFmtId="0" fontId="18" fillId="79" borderId="333" applyNumberFormat="0" applyAlignment="0" applyProtection="0"/>
    <xf numFmtId="0" fontId="34" fillId="66" borderId="306" applyNumberFormat="0" applyAlignment="0" applyProtection="0"/>
    <xf numFmtId="0" fontId="18" fillId="79" borderId="295" applyNumberFormat="0" applyAlignment="0" applyProtection="0"/>
    <xf numFmtId="0" fontId="34" fillId="66" borderId="329" applyNumberFormat="0" applyAlignment="0" applyProtection="0"/>
    <xf numFmtId="0" fontId="86" fillId="0" borderId="318" applyNumberFormat="0" applyFill="0" applyAlignment="0" applyProtection="0">
      <alignment vertical="center"/>
    </xf>
    <xf numFmtId="0" fontId="46" fillId="79" borderId="355" applyNumberFormat="0" applyAlignment="0" applyProtection="0"/>
    <xf numFmtId="0" fontId="34" fillId="66" borderId="345" applyNumberFormat="0" applyAlignment="0" applyProtection="0"/>
    <xf numFmtId="0" fontId="18" fillId="29" borderId="299" applyNumberFormat="0" applyAlignment="0" applyProtection="0"/>
    <xf numFmtId="0" fontId="25" fillId="81" borderId="335" applyNumberFormat="0" applyAlignment="0" applyProtection="0"/>
    <xf numFmtId="0" fontId="7" fillId="37" borderId="286" applyNumberFormat="0" applyFont="0" applyAlignment="0" applyProtection="0"/>
    <xf numFmtId="0" fontId="46" fillId="29" borderId="287" applyNumberFormat="0" applyAlignment="0" applyProtection="0"/>
    <xf numFmtId="0" fontId="86" fillId="0" borderId="318" applyNumberFormat="0" applyFill="0" applyAlignment="0" applyProtection="0">
      <alignment vertical="center"/>
    </xf>
    <xf numFmtId="0" fontId="24" fillId="0" borderId="288" applyNumberFormat="0" applyFill="0" applyAlignment="0" applyProtection="0"/>
    <xf numFmtId="0" fontId="2" fillId="37" borderId="286" applyNumberFormat="0" applyFont="0" applyAlignment="0" applyProtection="0">
      <alignment vertical="center"/>
    </xf>
    <xf numFmtId="0" fontId="73" fillId="8" borderId="284" applyNumberFormat="0" applyAlignment="0" applyProtection="0">
      <alignment vertical="center"/>
    </xf>
    <xf numFmtId="0" fontId="74" fillId="29" borderId="287" applyNumberFormat="0" applyAlignment="0" applyProtection="0">
      <alignment vertical="center"/>
    </xf>
    <xf numFmtId="2" fontId="148" fillId="0" borderId="282" applyFont="0" applyBorder="0" applyAlignment="0" applyProtection="0">
      <alignment horizontal="right"/>
    </xf>
    <xf numFmtId="0" fontId="82" fillId="29" borderId="284" applyNumberFormat="0" applyAlignment="0" applyProtection="0">
      <alignment vertical="center"/>
    </xf>
    <xf numFmtId="0" fontId="86" fillId="0" borderId="288" applyNumberFormat="0" applyFill="0" applyAlignment="0" applyProtection="0">
      <alignment vertical="center"/>
    </xf>
    <xf numFmtId="0" fontId="18" fillId="29" borderId="284" applyNumberFormat="0" applyAlignment="0" applyProtection="0"/>
    <xf numFmtId="0" fontId="2" fillId="37" borderId="377" applyNumberFormat="0" applyFont="0" applyAlignment="0" applyProtection="0">
      <alignment vertical="center"/>
    </xf>
    <xf numFmtId="0" fontId="25" fillId="81" borderId="369" applyNumberFormat="0" applyAlignment="0" applyProtection="0"/>
    <xf numFmtId="0" fontId="29" fillId="0" borderId="283">
      <alignment horizontal="left" vertical="center"/>
    </xf>
    <xf numFmtId="0" fontId="46" fillId="29" borderId="363" applyNumberFormat="0" applyAlignment="0" applyProtection="0"/>
    <xf numFmtId="0" fontId="34" fillId="8" borderId="284" applyNumberFormat="0" applyAlignment="0" applyProtection="0"/>
    <xf numFmtId="0" fontId="34" fillId="8" borderId="284" applyNumberFormat="0" applyAlignment="0" applyProtection="0"/>
    <xf numFmtId="0" fontId="34" fillId="8" borderId="284" applyNumberFormat="0" applyAlignment="0" applyProtection="0"/>
    <xf numFmtId="0" fontId="34" fillId="8" borderId="284" applyNumberFormat="0" applyAlignment="0" applyProtection="0"/>
    <xf numFmtId="0" fontId="34" fillId="8" borderId="284" applyNumberFormat="0" applyAlignment="0" applyProtection="0"/>
    <xf numFmtId="0" fontId="34" fillId="8" borderId="376" applyNumberFormat="0" applyAlignment="0" applyProtection="0"/>
    <xf numFmtId="0" fontId="24" fillId="0" borderId="288" applyNumberFormat="0" applyFill="0" applyAlignment="0" applyProtection="0"/>
    <xf numFmtId="0" fontId="2" fillId="37" borderId="286" applyNumberFormat="0" applyFont="0" applyAlignment="0" applyProtection="0">
      <alignment vertical="center"/>
    </xf>
    <xf numFmtId="0" fontId="73" fillId="8" borderId="284" applyNumberFormat="0" applyAlignment="0" applyProtection="0">
      <alignment vertical="center"/>
    </xf>
    <xf numFmtId="0" fontId="74" fillId="29" borderId="287" applyNumberFormat="0" applyAlignment="0" applyProtection="0">
      <alignment vertical="center"/>
    </xf>
    <xf numFmtId="0" fontId="82" fillId="29" borderId="284" applyNumberFormat="0" applyAlignment="0" applyProtection="0">
      <alignment vertical="center"/>
    </xf>
    <xf numFmtId="0" fontId="86" fillId="0" borderId="288" applyNumberFormat="0" applyFill="0" applyAlignment="0" applyProtection="0">
      <alignment vertical="center"/>
    </xf>
    <xf numFmtId="9" fontId="3" fillId="0" borderId="0" applyFont="0" applyFill="0" applyBorder="0" applyAlignment="0" applyProtection="0"/>
    <xf numFmtId="0" fontId="3" fillId="0" borderId="0"/>
    <xf numFmtId="0" fontId="2" fillId="37" borderId="335" applyNumberFormat="0" applyFont="0" applyAlignment="0" applyProtection="0">
      <alignment vertical="center"/>
    </xf>
    <xf numFmtId="0" fontId="34" fillId="8" borderId="376" applyNumberFormat="0" applyAlignment="0" applyProtection="0"/>
    <xf numFmtId="0" fontId="34" fillId="8" borderId="299" applyNumberFormat="0" applyAlignment="0" applyProtection="0"/>
    <xf numFmtId="9" fontId="3" fillId="0" borderId="0" applyFont="0" applyFill="0" applyBorder="0" applyAlignment="0" applyProtection="0"/>
    <xf numFmtId="0" fontId="18" fillId="79" borderId="360" applyNumberFormat="0" applyAlignment="0" applyProtection="0"/>
    <xf numFmtId="43" fontId="3" fillId="0" borderId="0" applyFont="0" applyFill="0" applyBorder="0" applyAlignment="0" applyProtection="0"/>
    <xf numFmtId="0" fontId="29" fillId="0" borderId="296">
      <alignment horizontal="left" vertical="center"/>
    </xf>
    <xf numFmtId="0" fontId="73" fillId="8" borderId="314" applyNumberFormat="0" applyAlignment="0" applyProtection="0">
      <alignment vertical="center"/>
    </xf>
    <xf numFmtId="0" fontId="34" fillId="66" borderId="367" applyNumberFormat="0" applyAlignment="0" applyProtection="0"/>
    <xf numFmtId="0" fontId="34" fillId="8" borderId="360" applyNumberFormat="0" applyAlignment="0" applyProtection="0"/>
    <xf numFmtId="0" fontId="34" fillId="8" borderId="299" applyNumberFormat="0" applyAlignment="0" applyProtection="0"/>
    <xf numFmtId="0" fontId="34" fillId="8" borderId="299" applyNumberFormat="0" applyAlignment="0" applyProtection="0"/>
    <xf numFmtId="0" fontId="24" fillId="0" borderId="318" applyNumberFormat="0" applyFill="0" applyAlignment="0" applyProtection="0"/>
    <xf numFmtId="0" fontId="34" fillId="66" borderId="325" applyNumberFormat="0" applyAlignment="0" applyProtection="0"/>
    <xf numFmtId="0" fontId="29" fillId="0" borderId="307">
      <alignment horizontal="left" vertical="center"/>
    </xf>
    <xf numFmtId="0" fontId="34" fillId="8" borderId="314" applyNumberFormat="0" applyAlignment="0" applyProtection="0"/>
    <xf numFmtId="0" fontId="29" fillId="0" borderId="372">
      <alignment horizontal="left" vertical="center"/>
    </xf>
    <xf numFmtId="0" fontId="86" fillId="0" borderId="349" applyNumberFormat="0" applyFill="0" applyAlignment="0" applyProtection="0">
      <alignment vertical="center"/>
    </xf>
    <xf numFmtId="0" fontId="2" fillId="37" borderId="373" applyNumberFormat="0" applyFont="0" applyAlignment="0" applyProtection="0">
      <alignment vertical="center"/>
    </xf>
    <xf numFmtId="0" fontId="34" fillId="8" borderId="352" applyNumberFormat="0" applyAlignment="0" applyProtection="0"/>
    <xf numFmtId="0" fontId="29" fillId="0" borderId="372">
      <alignment horizontal="left" vertical="center"/>
    </xf>
    <xf numFmtId="0" fontId="73" fillId="8" borderId="314" applyNumberFormat="0" applyAlignment="0" applyProtection="0">
      <alignment vertical="center"/>
    </xf>
    <xf numFmtId="0" fontId="73" fillId="8" borderId="345" applyNumberFormat="0" applyAlignment="0" applyProtection="0">
      <alignment vertical="center"/>
    </xf>
    <xf numFmtId="0" fontId="34" fillId="66" borderId="325" applyNumberFormat="0" applyAlignment="0" applyProtection="0"/>
    <xf numFmtId="0" fontId="82" fillId="29" borderId="314" applyNumberFormat="0" applyAlignment="0" applyProtection="0">
      <alignment vertical="center"/>
    </xf>
    <xf numFmtId="0" fontId="34" fillId="8" borderId="345" applyNumberFormat="0" applyAlignment="0" applyProtection="0"/>
    <xf numFmtId="0" fontId="46" fillId="79" borderId="328" applyNumberFormat="0" applyAlignment="0" applyProtection="0"/>
    <xf numFmtId="0" fontId="34" fillId="66" borderId="333" applyNumberFormat="0" applyAlignment="0" applyProtection="0"/>
    <xf numFmtId="0" fontId="73" fillId="8" borderId="299" applyNumberFormat="0" applyAlignment="0" applyProtection="0">
      <alignment vertical="center"/>
    </xf>
    <xf numFmtId="0" fontId="86" fillId="0" borderId="379" applyNumberFormat="0" applyFill="0" applyAlignment="0" applyProtection="0">
      <alignment vertical="center"/>
    </xf>
    <xf numFmtId="0" fontId="24" fillId="0" borderId="356" applyNumberFormat="0" applyFill="0" applyAlignment="0" applyProtection="0"/>
    <xf numFmtId="9" fontId="3" fillId="0" borderId="0" applyFont="0" applyFill="0" applyBorder="0" applyAlignment="0" applyProtection="0"/>
    <xf numFmtId="0" fontId="86" fillId="0" borderId="375" applyNumberFormat="0" applyFill="0" applyAlignment="0" applyProtection="0">
      <alignment vertical="center"/>
    </xf>
    <xf numFmtId="43" fontId="3" fillId="0" borderId="0" applyFont="0" applyFill="0" applyBorder="0" applyAlignment="0" applyProtection="0"/>
    <xf numFmtId="0" fontId="34" fillId="8" borderId="360" applyNumberFormat="0" applyAlignment="0" applyProtection="0"/>
    <xf numFmtId="0" fontId="29" fillId="0" borderId="351">
      <alignment horizontal="left" vertical="center"/>
    </xf>
    <xf numFmtId="0" fontId="46" fillId="29" borderId="302" applyNumberFormat="0" applyAlignment="0" applyProtection="0"/>
    <xf numFmtId="0" fontId="34" fillId="8" borderId="352" applyNumberFormat="0" applyAlignment="0" applyProtection="0"/>
    <xf numFmtId="0" fontId="18" fillId="79" borderId="306" applyNumberFormat="0" applyAlignment="0" applyProtection="0"/>
    <xf numFmtId="0" fontId="29" fillId="0" borderId="323">
      <alignment horizontal="left" vertical="center"/>
    </xf>
    <xf numFmtId="0" fontId="34" fillId="8" borderId="352" applyNumberFormat="0" applyAlignment="0" applyProtection="0"/>
    <xf numFmtId="0" fontId="2" fillId="37" borderId="347" applyNumberFormat="0" applyFont="0" applyAlignment="0" applyProtection="0">
      <alignment vertical="center"/>
    </xf>
    <xf numFmtId="0" fontId="74" fillId="29" borderId="302" applyNumberFormat="0" applyAlignment="0" applyProtection="0">
      <alignment vertical="center"/>
    </xf>
    <xf numFmtId="0" fontId="2" fillId="37" borderId="301" applyNumberFormat="0" applyFont="0" applyAlignment="0" applyProtection="0">
      <alignment vertical="center"/>
    </xf>
    <xf numFmtId="0" fontId="73" fillId="8" borderId="299" applyNumberFormat="0" applyAlignment="0" applyProtection="0">
      <alignment vertical="center"/>
    </xf>
    <xf numFmtId="0" fontId="74" fillId="29" borderId="302" applyNumberFormat="0" applyAlignment="0" applyProtection="0">
      <alignment vertical="center"/>
    </xf>
    <xf numFmtId="0" fontId="82" fillId="29" borderId="299" applyNumberFormat="0" applyAlignment="0" applyProtection="0">
      <alignment vertical="center"/>
    </xf>
    <xf numFmtId="0" fontId="86" fillId="0" borderId="303" applyNumberFormat="0" applyFill="0" applyAlignment="0" applyProtection="0">
      <alignment vertical="center"/>
    </xf>
    <xf numFmtId="9" fontId="3" fillId="0" borderId="0" applyFont="0" applyFill="0" applyBorder="0" applyAlignment="0" applyProtection="0"/>
    <xf numFmtId="0" fontId="34" fillId="66" borderId="381" applyNumberFormat="0" applyAlignment="0" applyProtection="0"/>
    <xf numFmtId="0" fontId="82" fillId="29" borderId="345" applyNumberFormat="0" applyAlignment="0" applyProtection="0">
      <alignment vertical="center"/>
    </xf>
    <xf numFmtId="0" fontId="34" fillId="8" borderId="333" applyNumberFormat="0" applyAlignment="0" applyProtection="0"/>
    <xf numFmtId="0" fontId="82" fillId="29" borderId="314" applyNumberFormat="0" applyAlignment="0" applyProtection="0">
      <alignment vertical="center"/>
    </xf>
    <xf numFmtId="43" fontId="3" fillId="0" borderId="0" applyFont="0" applyFill="0" applyBorder="0" applyAlignment="0" applyProtection="0"/>
    <xf numFmtId="0" fontId="46" fillId="79" borderId="328" applyNumberFormat="0" applyAlignment="0" applyProtection="0"/>
    <xf numFmtId="0" fontId="86" fillId="0" borderId="318" applyNumberFormat="0" applyFill="0" applyAlignment="0" applyProtection="0">
      <alignment vertical="center"/>
    </xf>
    <xf numFmtId="0" fontId="34" fillId="8" borderId="314" applyNumberFormat="0" applyAlignment="0" applyProtection="0"/>
    <xf numFmtId="0" fontId="34" fillId="8" borderId="314" applyNumberFormat="0" applyAlignment="0" applyProtection="0"/>
    <xf numFmtId="0" fontId="29" fillId="0" borderId="350">
      <alignment horizontal="left" vertical="center"/>
    </xf>
    <xf numFmtId="0" fontId="25" fillId="81" borderId="382" applyNumberFormat="0" applyAlignment="0" applyProtection="0"/>
    <xf numFmtId="0" fontId="34" fillId="8" borderId="371" applyNumberFormat="0" applyAlignment="0" applyProtection="0"/>
    <xf numFmtId="0" fontId="46" fillId="79" borderId="336" applyNumberFormat="0" applyAlignment="0" applyProtection="0"/>
    <xf numFmtId="0" fontId="18" fillId="79" borderId="371" applyNumberFormat="0" applyAlignment="0" applyProtection="0"/>
    <xf numFmtId="0" fontId="29" fillId="0" borderId="386">
      <alignment horizontal="left" vertical="center"/>
    </xf>
    <xf numFmtId="0" fontId="34" fillId="8" borderId="360" applyNumberFormat="0" applyAlignment="0" applyProtection="0"/>
    <xf numFmtId="0" fontId="34" fillId="66" borderId="329" applyNumberFormat="0" applyAlignment="0" applyProtection="0"/>
    <xf numFmtId="0" fontId="34" fillId="8" borderId="314" applyNumberFormat="0" applyAlignment="0" applyProtection="0"/>
    <xf numFmtId="0" fontId="34" fillId="8" borderId="314" applyNumberFormat="0" applyAlignment="0" applyProtection="0"/>
    <xf numFmtId="0" fontId="86" fillId="0" borderId="318" applyNumberFormat="0" applyFill="0" applyAlignment="0" applyProtection="0">
      <alignment vertical="center"/>
    </xf>
    <xf numFmtId="0" fontId="34" fillId="8" borderId="338" applyNumberFormat="0" applyAlignment="0" applyProtection="0"/>
    <xf numFmtId="0" fontId="34" fillId="8" borderId="352" applyNumberFormat="0" applyAlignment="0" applyProtection="0"/>
    <xf numFmtId="0" fontId="34" fillId="8" borderId="338" applyNumberFormat="0" applyAlignment="0" applyProtection="0"/>
    <xf numFmtId="0" fontId="7" fillId="37" borderId="362" applyNumberFormat="0" applyFont="0" applyAlignment="0" applyProtection="0"/>
    <xf numFmtId="0" fontId="29" fillId="0" borderId="334">
      <alignment horizontal="left" vertical="center"/>
    </xf>
    <xf numFmtId="0" fontId="73" fillId="8" borderId="352" applyNumberFormat="0" applyAlignment="0" applyProtection="0">
      <alignment vertical="center"/>
    </xf>
    <xf numFmtId="0" fontId="34" fillId="66" borderId="314" applyNumberFormat="0" applyAlignment="0" applyProtection="0"/>
    <xf numFmtId="0" fontId="3" fillId="0" borderId="0"/>
    <xf numFmtId="9" fontId="3" fillId="0" borderId="0" applyFont="0" applyFill="0" applyBorder="0" applyAlignment="0" applyProtection="0"/>
    <xf numFmtId="0" fontId="34" fillId="8" borderId="360" applyNumberFormat="0" applyAlignment="0" applyProtection="0"/>
    <xf numFmtId="0" fontId="82" fillId="29" borderId="314" applyNumberFormat="0" applyAlignment="0" applyProtection="0">
      <alignment vertical="center"/>
    </xf>
    <xf numFmtId="0" fontId="34" fillId="8" borderId="345" applyNumberFormat="0" applyAlignment="0" applyProtection="0"/>
    <xf numFmtId="0" fontId="18" fillId="29" borderId="314" applyNumberFormat="0" applyAlignment="0" applyProtection="0"/>
    <xf numFmtId="0" fontId="34" fillId="8" borderId="333" applyNumberFormat="0" applyAlignment="0" applyProtection="0"/>
    <xf numFmtId="9" fontId="3" fillId="0" borderId="0" applyFont="0" applyFill="0" applyBorder="0" applyAlignment="0" applyProtection="0"/>
    <xf numFmtId="0" fontId="34" fillId="8" borderId="333" applyNumberFormat="0" applyAlignment="0" applyProtection="0"/>
    <xf numFmtId="0" fontId="34" fillId="66" borderId="381" applyNumberFormat="0" applyAlignment="0" applyProtection="0"/>
    <xf numFmtId="0" fontId="34" fillId="8" borderId="333" applyNumberFormat="0" applyAlignment="0" applyProtection="0"/>
    <xf numFmtId="0" fontId="82" fillId="29" borderId="352" applyNumberFormat="0" applyAlignment="0" applyProtection="0">
      <alignment vertical="center"/>
    </xf>
    <xf numFmtId="0" fontId="34" fillId="66" borderId="333" applyNumberFormat="0" applyAlignment="0" applyProtection="0"/>
    <xf numFmtId="0" fontId="34" fillId="8" borderId="360" applyNumberFormat="0" applyAlignment="0" applyProtection="0"/>
    <xf numFmtId="0" fontId="29" fillId="0" borderId="346">
      <alignment horizontal="left" vertical="center"/>
    </xf>
    <xf numFmtId="0" fontId="73" fillId="8" borderId="333" applyNumberFormat="0" applyAlignment="0" applyProtection="0">
      <alignment vertical="center"/>
    </xf>
    <xf numFmtId="0" fontId="34" fillId="8" borderId="352" applyNumberFormat="0" applyAlignment="0" applyProtection="0"/>
    <xf numFmtId="0" fontId="25" fillId="81" borderId="331" applyNumberFormat="0" applyAlignment="0" applyProtection="0"/>
    <xf numFmtId="0" fontId="25" fillId="81" borderId="331" applyNumberFormat="0" applyAlignment="0" applyProtection="0"/>
    <xf numFmtId="0" fontId="25" fillId="81" borderId="331" applyNumberFormat="0" applyAlignment="0" applyProtection="0"/>
    <xf numFmtId="0" fontId="46" fillId="79" borderId="332" applyNumberFormat="0" applyAlignment="0" applyProtection="0"/>
    <xf numFmtId="0" fontId="46" fillId="79" borderId="332" applyNumberFormat="0" applyAlignment="0" applyProtection="0"/>
    <xf numFmtId="0" fontId="46" fillId="79" borderId="332" applyNumberFormat="0" applyAlignment="0" applyProtection="0"/>
    <xf numFmtId="0" fontId="73" fillId="8" borderId="360" applyNumberFormat="0" applyAlignment="0" applyProtection="0">
      <alignment vertical="center"/>
    </xf>
    <xf numFmtId="0" fontId="34" fillId="8" borderId="360" applyNumberFormat="0" applyAlignment="0" applyProtection="0"/>
    <xf numFmtId="0" fontId="34" fillId="8" borderId="360" applyNumberFormat="0" applyAlignment="0" applyProtection="0"/>
    <xf numFmtId="0" fontId="29" fillId="0" borderId="386">
      <alignment horizontal="left" vertical="center"/>
    </xf>
    <xf numFmtId="0" fontId="46" fillId="79" borderId="348" applyNumberFormat="0" applyAlignment="0" applyProtection="0"/>
    <xf numFmtId="0" fontId="18" fillId="79" borderId="338" applyNumberFormat="0" applyAlignment="0" applyProtection="0"/>
    <xf numFmtId="0" fontId="73" fillId="8" borderId="376" applyNumberFormat="0" applyAlignment="0" applyProtection="0">
      <alignment vertical="center"/>
    </xf>
    <xf numFmtId="0" fontId="25" fillId="81" borderId="339" applyNumberFormat="0" applyAlignment="0" applyProtection="0"/>
    <xf numFmtId="0" fontId="25" fillId="81" borderId="339" applyNumberFormat="0" applyAlignment="0" applyProtection="0"/>
    <xf numFmtId="0" fontId="24" fillId="0" borderId="337" applyNumberFormat="0" applyFill="0" applyAlignment="0" applyProtection="0"/>
    <xf numFmtId="0" fontId="34" fillId="8" borderId="360" applyNumberFormat="0" applyAlignment="0" applyProtection="0"/>
    <xf numFmtId="0" fontId="3" fillId="0" borderId="0"/>
    <xf numFmtId="0" fontId="24" fillId="0" borderId="379" applyNumberFormat="0" applyFill="0" applyAlignment="0" applyProtection="0"/>
    <xf numFmtId="0" fontId="29" fillId="0" borderId="353">
      <alignment horizontal="left" vertical="center"/>
    </xf>
    <xf numFmtId="0" fontId="149" fillId="0" borderId="359" applyNumberFormat="0" applyFont="0">
      <alignment horizontal="center" vertical="center"/>
    </xf>
    <xf numFmtId="0" fontId="34" fillId="8" borderId="345" applyNumberFormat="0" applyAlignment="0" applyProtection="0"/>
    <xf numFmtId="0" fontId="46" fillId="29" borderId="340" applyNumberFormat="0" applyAlignment="0" applyProtection="0"/>
    <xf numFmtId="0" fontId="7" fillId="37" borderId="339" applyNumberFormat="0" applyFont="0" applyAlignment="0" applyProtection="0"/>
    <xf numFmtId="0" fontId="34" fillId="66" borderId="352" applyNumberFormat="0" applyAlignment="0" applyProtection="0"/>
    <xf numFmtId="0" fontId="34" fillId="8" borderId="338" applyNumberFormat="0" applyAlignment="0" applyProtection="0"/>
    <xf numFmtId="0" fontId="34" fillId="8" borderId="338" applyNumberFormat="0" applyAlignment="0" applyProtection="0"/>
    <xf numFmtId="0" fontId="34" fillId="8" borderId="338" applyNumberFormat="0" applyAlignment="0" applyProtection="0"/>
    <xf numFmtId="0" fontId="86" fillId="0" borderId="364" applyNumberFormat="0" applyFill="0" applyAlignment="0" applyProtection="0">
      <alignment vertical="center"/>
    </xf>
    <xf numFmtId="0" fontId="34" fillId="8" borderId="360" applyNumberFormat="0" applyAlignment="0" applyProtection="0"/>
    <xf numFmtId="0" fontId="29" fillId="0" borderId="350">
      <alignment horizontal="left" vertical="center"/>
    </xf>
    <xf numFmtId="0" fontId="34" fillId="66" borderId="338" applyNumberFormat="0" applyAlignment="0" applyProtection="0"/>
    <xf numFmtId="0" fontId="34" fillId="66" borderId="371" applyNumberFormat="0" applyAlignment="0" applyProtection="0"/>
    <xf numFmtId="43" fontId="3" fillId="0" borderId="0" applyFont="0" applyFill="0" applyBorder="0" applyAlignment="0" applyProtection="0"/>
    <xf numFmtId="0" fontId="34" fillId="8" borderId="381" applyNumberFormat="0" applyAlignment="0" applyProtection="0"/>
    <xf numFmtId="0" fontId="46" fillId="79" borderId="383" applyNumberFormat="0" applyAlignment="0" applyProtection="0"/>
    <xf numFmtId="0" fontId="18" fillId="79" borderId="352" applyNumberFormat="0" applyAlignment="0" applyProtection="0"/>
    <xf numFmtId="0" fontId="34" fillId="8" borderId="333" applyNumberFormat="0" applyAlignment="0" applyProtection="0"/>
    <xf numFmtId="0" fontId="34" fillId="8" borderId="333" applyNumberFormat="0" applyAlignment="0" applyProtection="0"/>
    <xf numFmtId="0" fontId="29" fillId="0" borderId="346">
      <alignment horizontal="left" vertical="center"/>
    </xf>
    <xf numFmtId="0" fontId="86" fillId="0" borderId="337" applyNumberFormat="0" applyFill="0" applyAlignment="0" applyProtection="0">
      <alignment vertical="center"/>
    </xf>
    <xf numFmtId="0" fontId="34" fillId="66" borderId="367" applyNumberFormat="0" applyAlignment="0" applyProtection="0"/>
    <xf numFmtId="0" fontId="29" fillId="0" borderId="334">
      <alignment horizontal="left" vertical="center"/>
    </xf>
    <xf numFmtId="0" fontId="18" fillId="79" borderId="338" applyNumberFormat="0" applyAlignment="0" applyProtection="0"/>
    <xf numFmtId="0" fontId="34" fillId="66" borderId="333" applyNumberFormat="0" applyAlignment="0" applyProtection="0"/>
    <xf numFmtId="0" fontId="25" fillId="81" borderId="362" applyNumberFormat="0" applyAlignment="0" applyProtection="0"/>
    <xf numFmtId="0" fontId="24" fillId="0" borderId="364" applyNumberFormat="0" applyFill="0" applyAlignment="0" applyProtection="0"/>
    <xf numFmtId="0" fontId="3" fillId="0" borderId="0"/>
    <xf numFmtId="9" fontId="3" fillId="0" borderId="0" applyFont="0" applyFill="0" applyBorder="0" applyAlignment="0" applyProtection="0"/>
    <xf numFmtId="0" fontId="18" fillId="29" borderId="333" applyNumberFormat="0" applyAlignment="0" applyProtection="0"/>
    <xf numFmtId="0" fontId="34" fillId="8" borderId="345" applyNumberFormat="0" applyAlignment="0" applyProtection="0"/>
    <xf numFmtId="0" fontId="82" fillId="29" borderId="333" applyNumberFormat="0" applyAlignment="0" applyProtection="0">
      <alignment vertical="center"/>
    </xf>
    <xf numFmtId="0" fontId="73" fillId="8" borderId="352" applyNumberFormat="0" applyAlignment="0" applyProtection="0">
      <alignment vertical="center"/>
    </xf>
    <xf numFmtId="0" fontId="46" fillId="79" borderId="383" applyNumberFormat="0" applyAlignment="0" applyProtection="0"/>
    <xf numFmtId="43" fontId="3" fillId="0" borderId="0" applyFont="0" applyFill="0" applyBorder="0" applyAlignment="0" applyProtection="0"/>
    <xf numFmtId="0" fontId="34" fillId="8" borderId="371" applyNumberFormat="0" applyAlignment="0" applyProtection="0"/>
    <xf numFmtId="0" fontId="82" fillId="29" borderId="333" applyNumberFormat="0" applyAlignment="0" applyProtection="0">
      <alignment vertical="center"/>
    </xf>
    <xf numFmtId="0" fontId="86" fillId="0" borderId="337" applyNumberFormat="0" applyFill="0" applyAlignment="0" applyProtection="0">
      <alignment vertical="center"/>
    </xf>
    <xf numFmtId="9" fontId="3" fillId="0" borderId="0" applyFont="0" applyFill="0" applyBorder="0" applyAlignment="0" applyProtection="0"/>
    <xf numFmtId="0" fontId="74" fillId="29" borderId="355" applyNumberFormat="0" applyAlignment="0" applyProtection="0">
      <alignment vertical="center"/>
    </xf>
    <xf numFmtId="0" fontId="18" fillId="79" borderId="367" applyNumberFormat="0" applyAlignment="0" applyProtection="0"/>
    <xf numFmtId="0" fontId="7" fillId="37" borderId="382" applyNumberFormat="0" applyFont="0" applyAlignment="0" applyProtection="0"/>
    <xf numFmtId="0" fontId="34" fillId="8" borderId="360" applyNumberFormat="0" applyAlignment="0" applyProtection="0"/>
    <xf numFmtId="0" fontId="34" fillId="8" borderId="352" applyNumberFormat="0" applyAlignment="0" applyProtection="0"/>
    <xf numFmtId="0" fontId="7" fillId="37" borderId="347" applyNumberFormat="0" applyFont="0" applyAlignment="0" applyProtection="0"/>
    <xf numFmtId="0" fontId="46" fillId="29" borderId="348" applyNumberFormat="0" applyAlignment="0" applyProtection="0"/>
    <xf numFmtId="0" fontId="24" fillId="0" borderId="349" applyNumberFormat="0" applyFill="0" applyAlignment="0" applyProtection="0"/>
    <xf numFmtId="0" fontId="2" fillId="37" borderId="347" applyNumberFormat="0" applyFont="0" applyAlignment="0" applyProtection="0">
      <alignment vertical="center"/>
    </xf>
    <xf numFmtId="0" fontId="73" fillId="8" borderId="345" applyNumberFormat="0" applyAlignment="0" applyProtection="0">
      <alignment vertical="center"/>
    </xf>
    <xf numFmtId="0" fontId="74" fillId="29" borderId="348" applyNumberFormat="0" applyAlignment="0" applyProtection="0">
      <alignment vertical="center"/>
    </xf>
    <xf numFmtId="0" fontId="82" fillId="29" borderId="345" applyNumberFormat="0" applyAlignment="0" applyProtection="0">
      <alignment vertical="center"/>
    </xf>
    <xf numFmtId="0" fontId="86" fillId="0" borderId="349" applyNumberFormat="0" applyFill="0" applyAlignment="0" applyProtection="0">
      <alignment vertical="center"/>
    </xf>
    <xf numFmtId="0" fontId="18" fillId="29" borderId="345" applyNumberFormat="0" applyAlignment="0" applyProtection="0"/>
    <xf numFmtId="0" fontId="29" fillId="0" borderId="351">
      <alignment horizontal="left" vertical="center"/>
    </xf>
    <xf numFmtId="0" fontId="34" fillId="8" borderId="345" applyNumberFormat="0" applyAlignment="0" applyProtection="0"/>
    <xf numFmtId="0" fontId="34" fillId="8" borderId="345" applyNumberFormat="0" applyAlignment="0" applyProtection="0"/>
    <xf numFmtId="0" fontId="34" fillId="8" borderId="345" applyNumberFormat="0" applyAlignment="0" applyProtection="0"/>
    <xf numFmtId="0" fontId="34" fillId="8" borderId="345" applyNumberFormat="0" applyAlignment="0" applyProtection="0"/>
    <xf numFmtId="0" fontId="34" fillId="8" borderId="345" applyNumberFormat="0" applyAlignment="0" applyProtection="0"/>
    <xf numFmtId="0" fontId="24" fillId="0" borderId="349" applyNumberFormat="0" applyFill="0" applyAlignment="0" applyProtection="0"/>
    <xf numFmtId="0" fontId="2" fillId="37" borderId="347" applyNumberFormat="0" applyFont="0" applyAlignment="0" applyProtection="0">
      <alignment vertical="center"/>
    </xf>
    <xf numFmtId="0" fontId="73" fillId="8" borderId="345" applyNumberFormat="0" applyAlignment="0" applyProtection="0">
      <alignment vertical="center"/>
    </xf>
    <xf numFmtId="0" fontId="74" fillId="29" borderId="348" applyNumberFormat="0" applyAlignment="0" applyProtection="0">
      <alignment vertical="center"/>
    </xf>
    <xf numFmtId="0" fontId="82" fillId="29" borderId="345" applyNumberFormat="0" applyAlignment="0" applyProtection="0">
      <alignment vertical="center"/>
    </xf>
    <xf numFmtId="0" fontId="86" fillId="0" borderId="349" applyNumberFormat="0" applyFill="0" applyAlignment="0" applyProtection="0">
      <alignment vertical="center"/>
    </xf>
    <xf numFmtId="9" fontId="3" fillId="0" borderId="0" applyFont="0" applyFill="0" applyBorder="0" applyAlignment="0" applyProtection="0"/>
    <xf numFmtId="0" fontId="46" fillId="29" borderId="355" applyNumberFormat="0" applyAlignment="0" applyProtection="0"/>
    <xf numFmtId="0" fontId="34" fillId="66" borderId="381" applyNumberFormat="0" applyAlignment="0" applyProtection="0"/>
    <xf numFmtId="0" fontId="24" fillId="0" borderId="375" applyNumberFormat="0" applyFill="0" applyAlignment="0" applyProtection="0"/>
    <xf numFmtId="0" fontId="2" fillId="37" borderId="354" applyNumberFormat="0" applyFont="0" applyAlignment="0" applyProtection="0">
      <alignment vertical="center"/>
    </xf>
    <xf numFmtId="0" fontId="46" fillId="29" borderId="378" applyNumberFormat="0" applyAlignment="0" applyProtection="0"/>
    <xf numFmtId="0" fontId="34" fillId="66" borderId="360" applyNumberFormat="0" applyAlignment="0" applyProtection="0"/>
    <xf numFmtId="0" fontId="34" fillId="66" borderId="371" applyNumberFormat="0" applyAlignment="0" applyProtection="0"/>
    <xf numFmtId="0" fontId="86" fillId="0" borderId="364" applyNumberFormat="0" applyFill="0" applyAlignment="0" applyProtection="0">
      <alignment vertical="center"/>
    </xf>
    <xf numFmtId="0" fontId="34" fillId="8" borderId="352" applyNumberFormat="0" applyAlignment="0" applyProtection="0"/>
    <xf numFmtId="0" fontId="34" fillId="8" borderId="352" applyNumberFormat="0" applyAlignment="0" applyProtection="0"/>
    <xf numFmtId="0" fontId="34" fillId="8" borderId="352" applyNumberFormat="0" applyAlignment="0" applyProtection="0"/>
    <xf numFmtId="0" fontId="34" fillId="8" borderId="352" applyNumberFormat="0" applyAlignment="0" applyProtection="0"/>
    <xf numFmtId="0" fontId="34" fillId="8" borderId="352" applyNumberFormat="0" applyAlignment="0" applyProtection="0"/>
    <xf numFmtId="0" fontId="34" fillId="8" borderId="352" applyNumberFormat="0" applyAlignment="0" applyProtection="0"/>
    <xf numFmtId="0" fontId="34" fillId="8" borderId="376" applyNumberFormat="0" applyAlignment="0" applyProtection="0"/>
    <xf numFmtId="0" fontId="34" fillId="8" borderId="360" applyNumberFormat="0" applyAlignment="0" applyProtection="0"/>
    <xf numFmtId="0" fontId="34" fillId="8" borderId="360" applyNumberFormat="0" applyAlignment="0" applyProtection="0"/>
    <xf numFmtId="0" fontId="2" fillId="37" borderId="382" applyNumberFormat="0" applyFont="0" applyAlignment="0" applyProtection="0">
      <alignment vertical="center"/>
    </xf>
    <xf numFmtId="0" fontId="7" fillId="37" borderId="354" applyNumberFormat="0" applyFont="0" applyAlignment="0" applyProtection="0"/>
    <xf numFmtId="0" fontId="46" fillId="29" borderId="355" applyNumberFormat="0" applyAlignment="0" applyProtection="0"/>
    <xf numFmtId="0" fontId="29" fillId="0" borderId="372">
      <alignment horizontal="left" vertical="center"/>
    </xf>
    <xf numFmtId="0" fontId="24" fillId="0" borderId="356" applyNumberFormat="0" applyFill="0" applyAlignment="0" applyProtection="0"/>
    <xf numFmtId="0" fontId="2" fillId="37" borderId="354" applyNumberFormat="0" applyFont="0" applyAlignment="0" applyProtection="0">
      <alignment vertical="center"/>
    </xf>
    <xf numFmtId="0" fontId="73" fillId="8" borderId="352" applyNumberFormat="0" applyAlignment="0" applyProtection="0">
      <alignment vertical="center"/>
    </xf>
    <xf numFmtId="0" fontId="74" fillId="29" borderId="355" applyNumberFormat="0" applyAlignment="0" applyProtection="0">
      <alignment vertical="center"/>
    </xf>
    <xf numFmtId="0" fontId="82" fillId="29" borderId="352" applyNumberFormat="0" applyAlignment="0" applyProtection="0">
      <alignment vertical="center"/>
    </xf>
    <xf numFmtId="0" fontId="86" fillId="0" borderId="356" applyNumberFormat="0" applyFill="0" applyAlignment="0" applyProtection="0">
      <alignment vertical="center"/>
    </xf>
    <xf numFmtId="0" fontId="18" fillId="29" borderId="352" applyNumberFormat="0" applyAlignment="0" applyProtection="0"/>
    <xf numFmtId="2" fontId="148" fillId="0" borderId="385" applyFont="0" applyBorder="0" applyAlignment="0" applyProtection="0">
      <alignment horizontal="right"/>
    </xf>
    <xf numFmtId="0" fontId="24" fillId="0" borderId="384" applyNumberFormat="0" applyFill="0" applyAlignment="0" applyProtection="0"/>
    <xf numFmtId="0" fontId="82" fillId="29" borderId="360" applyNumberFormat="0" applyAlignment="0" applyProtection="0">
      <alignment vertical="center"/>
    </xf>
    <xf numFmtId="0" fontId="25" fillId="81" borderId="373" applyNumberFormat="0" applyAlignment="0" applyProtection="0"/>
    <xf numFmtId="0" fontId="34" fillId="8" borderId="352" applyNumberFormat="0" applyAlignment="0" applyProtection="0"/>
    <xf numFmtId="0" fontId="34" fillId="8" borderId="352" applyNumberFormat="0" applyAlignment="0" applyProtection="0"/>
    <xf numFmtId="0" fontId="34" fillId="8" borderId="352" applyNumberFormat="0" applyAlignment="0" applyProtection="0"/>
    <xf numFmtId="0" fontId="34" fillId="8" borderId="352" applyNumberFormat="0" applyAlignment="0" applyProtection="0"/>
    <xf numFmtId="0" fontId="34" fillId="8" borderId="352" applyNumberFormat="0" applyAlignment="0" applyProtection="0"/>
    <xf numFmtId="0" fontId="24" fillId="0" borderId="356" applyNumberFormat="0" applyFill="0" applyAlignment="0" applyProtection="0"/>
    <xf numFmtId="0" fontId="2" fillId="37" borderId="354" applyNumberFormat="0" applyFont="0" applyAlignment="0" applyProtection="0">
      <alignment vertical="center"/>
    </xf>
    <xf numFmtId="0" fontId="73" fillId="8" borderId="352" applyNumberFormat="0" applyAlignment="0" applyProtection="0">
      <alignment vertical="center"/>
    </xf>
    <xf numFmtId="0" fontId="74" fillId="29" borderId="355" applyNumberFormat="0" applyAlignment="0" applyProtection="0">
      <alignment vertical="center"/>
    </xf>
    <xf numFmtId="0" fontId="82" fillId="29" borderId="352" applyNumberFormat="0" applyAlignment="0" applyProtection="0">
      <alignment vertical="center"/>
    </xf>
    <xf numFmtId="0" fontId="86" fillId="0" borderId="356" applyNumberFormat="0" applyFill="0" applyAlignment="0" applyProtection="0">
      <alignment vertical="center"/>
    </xf>
    <xf numFmtId="9" fontId="3" fillId="0" borderId="0" applyFont="0" applyFill="0" applyBorder="0" applyAlignment="0" applyProtection="0"/>
    <xf numFmtId="0" fontId="18" fillId="79" borderId="371" applyNumberFormat="0" applyAlignment="0" applyProtection="0"/>
    <xf numFmtId="0" fontId="82" fillId="29" borderId="381" applyNumberFormat="0" applyAlignment="0" applyProtection="0">
      <alignment vertical="center"/>
    </xf>
    <xf numFmtId="0" fontId="7" fillId="37" borderId="362" applyNumberFormat="0" applyFont="0" applyAlignment="0" applyProtection="0"/>
    <xf numFmtId="0" fontId="46" fillId="29" borderId="363" applyNumberFormat="0" applyAlignment="0" applyProtection="0"/>
    <xf numFmtId="0" fontId="18" fillId="79" borderId="381" applyNumberFormat="0" applyAlignment="0" applyProtection="0"/>
    <xf numFmtId="0" fontId="24" fillId="0" borderId="364" applyNumberFormat="0" applyFill="0" applyAlignment="0" applyProtection="0"/>
    <xf numFmtId="0" fontId="2" fillId="37" borderId="362" applyNumberFormat="0" applyFont="0" applyAlignment="0" applyProtection="0">
      <alignment vertical="center"/>
    </xf>
    <xf numFmtId="0" fontId="73" fillId="8" borderId="360" applyNumberFormat="0" applyAlignment="0" applyProtection="0">
      <alignment vertical="center"/>
    </xf>
    <xf numFmtId="0" fontId="74" fillId="29" borderId="363" applyNumberFormat="0" applyAlignment="0" applyProtection="0">
      <alignment vertical="center"/>
    </xf>
    <xf numFmtId="2" fontId="148" fillId="0" borderId="365" applyFont="0" applyBorder="0" applyAlignment="0" applyProtection="0">
      <alignment horizontal="right"/>
    </xf>
    <xf numFmtId="0" fontId="82" fillId="29" borderId="360" applyNumberFormat="0" applyAlignment="0" applyProtection="0">
      <alignment vertical="center"/>
    </xf>
    <xf numFmtId="0" fontId="86" fillId="0" borderId="364" applyNumberFormat="0" applyFill="0" applyAlignment="0" applyProtection="0">
      <alignment vertical="center"/>
    </xf>
    <xf numFmtId="0" fontId="18" fillId="29" borderId="360" applyNumberFormat="0" applyAlignment="0" applyProtection="0"/>
    <xf numFmtId="0" fontId="29" fillId="0" borderId="366">
      <alignment horizontal="left" vertical="center"/>
    </xf>
    <xf numFmtId="0" fontId="34" fillId="8" borderId="360" applyNumberFormat="0" applyAlignment="0" applyProtection="0"/>
    <xf numFmtId="0" fontId="34" fillId="8" borderId="360" applyNumberFormat="0" applyAlignment="0" applyProtection="0"/>
    <xf numFmtId="0" fontId="34" fillId="8" borderId="360" applyNumberFormat="0" applyAlignment="0" applyProtection="0"/>
    <xf numFmtId="0" fontId="34" fillId="8" borderId="360" applyNumberFormat="0" applyAlignment="0" applyProtection="0"/>
    <xf numFmtId="0" fontId="34" fillId="8" borderId="360" applyNumberFormat="0" applyAlignment="0" applyProtection="0"/>
    <xf numFmtId="0" fontId="24" fillId="0" borderId="364" applyNumberFormat="0" applyFill="0" applyAlignment="0" applyProtection="0"/>
    <xf numFmtId="0" fontId="2" fillId="37" borderId="362" applyNumberFormat="0" applyFont="0" applyAlignment="0" applyProtection="0">
      <alignment vertical="center"/>
    </xf>
    <xf numFmtId="0" fontId="73" fillId="8" borderId="360" applyNumberFormat="0" applyAlignment="0" applyProtection="0">
      <alignment vertical="center"/>
    </xf>
    <xf numFmtId="0" fontId="74" fillId="29" borderId="363" applyNumberFormat="0" applyAlignment="0" applyProtection="0">
      <alignment vertical="center"/>
    </xf>
    <xf numFmtId="0" fontId="82" fillId="29" borderId="360" applyNumberFormat="0" applyAlignment="0" applyProtection="0">
      <alignment vertical="center"/>
    </xf>
    <xf numFmtId="0" fontId="86" fillId="0" borderId="364" applyNumberFormat="0" applyFill="0" applyAlignment="0" applyProtection="0">
      <alignment vertical="center"/>
    </xf>
    <xf numFmtId="9" fontId="3" fillId="0" borderId="0" applyFont="0" applyFill="0" applyBorder="0" applyAlignment="0" applyProtection="0"/>
    <xf numFmtId="0" fontId="34" fillId="8" borderId="371" applyNumberFormat="0" applyAlignment="0" applyProtection="0"/>
    <xf numFmtId="0" fontId="34" fillId="8" borderId="381" applyNumberFormat="0" applyAlignment="0" applyProtection="0"/>
    <xf numFmtId="0" fontId="34" fillId="8" borderId="381" applyNumberFormat="0" applyAlignment="0" applyProtection="0"/>
    <xf numFmtId="0" fontId="34" fillId="8" borderId="381" applyNumberFormat="0" applyAlignment="0" applyProtection="0"/>
    <xf numFmtId="0" fontId="7" fillId="37" borderId="373" applyNumberFormat="0" applyFont="0" applyAlignment="0" applyProtection="0"/>
    <xf numFmtId="0" fontId="46" fillId="29" borderId="374" applyNumberFormat="0" applyAlignment="0" applyProtection="0"/>
    <xf numFmtId="0" fontId="24" fillId="0" borderId="375" applyNumberFormat="0" applyFill="0" applyAlignment="0" applyProtection="0"/>
    <xf numFmtId="0" fontId="2" fillId="37" borderId="373" applyNumberFormat="0" applyFont="0" applyAlignment="0" applyProtection="0">
      <alignment vertical="center"/>
    </xf>
    <xf numFmtId="0" fontId="73" fillId="8" borderId="371" applyNumberFormat="0" applyAlignment="0" applyProtection="0">
      <alignment vertical="center"/>
    </xf>
    <xf numFmtId="0" fontId="74" fillId="29" borderId="374" applyNumberFormat="0" applyAlignment="0" applyProtection="0">
      <alignment vertical="center"/>
    </xf>
    <xf numFmtId="2" fontId="148" fillId="0" borderId="380" applyFont="0" applyBorder="0" applyAlignment="0" applyProtection="0">
      <alignment horizontal="right"/>
    </xf>
    <xf numFmtId="0" fontId="82" fillId="29" borderId="371" applyNumberFormat="0" applyAlignment="0" applyProtection="0">
      <alignment vertical="center"/>
    </xf>
    <xf numFmtId="0" fontId="86" fillId="0" borderId="375" applyNumberFormat="0" applyFill="0" applyAlignment="0" applyProtection="0">
      <alignment vertical="center"/>
    </xf>
    <xf numFmtId="0" fontId="18" fillId="29" borderId="371" applyNumberFormat="0" applyAlignment="0" applyProtection="0"/>
    <xf numFmtId="0" fontId="34" fillId="8" borderId="371" applyNumberFormat="0" applyAlignment="0" applyProtection="0"/>
    <xf numFmtId="0" fontId="34" fillId="8" borderId="371" applyNumberFormat="0" applyAlignment="0" applyProtection="0"/>
    <xf numFmtId="0" fontId="34" fillId="8" borderId="371" applyNumberFormat="0" applyAlignment="0" applyProtection="0"/>
    <xf numFmtId="0" fontId="34" fillId="8" borderId="371" applyNumberFormat="0" applyAlignment="0" applyProtection="0"/>
    <xf numFmtId="0" fontId="34" fillId="8" borderId="371" applyNumberFormat="0" applyAlignment="0" applyProtection="0"/>
    <xf numFmtId="0" fontId="24" fillId="0" borderId="375" applyNumberFormat="0" applyFill="0" applyAlignment="0" applyProtection="0"/>
    <xf numFmtId="0" fontId="2" fillId="37" borderId="373" applyNumberFormat="0" applyFont="0" applyAlignment="0" applyProtection="0">
      <alignment vertical="center"/>
    </xf>
    <xf numFmtId="0" fontId="73" fillId="8" borderId="371" applyNumberFormat="0" applyAlignment="0" applyProtection="0">
      <alignment vertical="center"/>
    </xf>
    <xf numFmtId="0" fontId="74" fillId="29" borderId="374" applyNumberFormat="0" applyAlignment="0" applyProtection="0">
      <alignment vertical="center"/>
    </xf>
    <xf numFmtId="0" fontId="82" fillId="29" borderId="371" applyNumberFormat="0" applyAlignment="0" applyProtection="0">
      <alignment vertical="center"/>
    </xf>
    <xf numFmtId="0" fontId="86" fillId="0" borderId="375" applyNumberFormat="0" applyFill="0" applyAlignment="0" applyProtection="0">
      <alignment vertical="center"/>
    </xf>
    <xf numFmtId="9" fontId="3" fillId="0" borderId="0" applyFont="0" applyFill="0" applyBorder="0" applyAlignment="0" applyProtection="0"/>
    <xf numFmtId="0" fontId="29" fillId="0" borderId="387">
      <alignment horizontal="left" vertical="center"/>
    </xf>
    <xf numFmtId="9" fontId="3" fillId="0" borderId="0" applyFont="0" applyFill="0" applyBorder="0" applyAlignment="0" applyProtection="0"/>
    <xf numFmtId="0" fontId="3" fillId="0" borderId="0"/>
    <xf numFmtId="0" fontId="34" fillId="8" borderId="399" applyNumberFormat="0" applyAlignment="0" applyProtection="0"/>
    <xf numFmtId="0" fontId="34" fillId="66" borderId="399" applyNumberFormat="0" applyAlignment="0" applyProtection="0"/>
    <xf numFmtId="0" fontId="86" fillId="0" borderId="392" applyNumberFormat="0" applyFill="0" applyAlignment="0" applyProtection="0">
      <alignment vertical="center"/>
    </xf>
    <xf numFmtId="43" fontId="3" fillId="0" borderId="0" applyFont="0" applyFill="0" applyBorder="0" applyAlignment="0" applyProtection="0"/>
    <xf numFmtId="0" fontId="82" fillId="29" borderId="406" applyNumberFormat="0" applyAlignment="0" applyProtection="0">
      <alignment vertical="center"/>
    </xf>
    <xf numFmtId="0" fontId="34" fillId="8" borderId="388" applyNumberFormat="0" applyAlignment="0" applyProtection="0"/>
    <xf numFmtId="0" fontId="34" fillId="8" borderId="406" applyNumberFormat="0" applyAlignment="0" applyProtection="0"/>
    <xf numFmtId="0" fontId="34" fillId="8" borderId="399" applyNumberFormat="0" applyAlignment="0" applyProtection="0"/>
    <xf numFmtId="0" fontId="74" fillId="29" borderId="391" applyNumberFormat="0" applyAlignment="0" applyProtection="0">
      <alignment vertical="center"/>
    </xf>
    <xf numFmtId="0" fontId="86" fillId="0" borderId="392" applyNumberFormat="0" applyFill="0" applyAlignment="0" applyProtection="0">
      <alignment vertical="center"/>
    </xf>
    <xf numFmtId="0" fontId="34" fillId="8" borderId="399" applyNumberFormat="0" applyAlignment="0" applyProtection="0"/>
    <xf numFmtId="0" fontId="18" fillId="29" borderId="399" applyNumberFormat="0" applyAlignment="0" applyProtection="0"/>
    <xf numFmtId="0" fontId="34" fillId="8" borderId="406" applyNumberFormat="0" applyAlignment="0" applyProtection="0"/>
    <xf numFmtId="0" fontId="46" fillId="79" borderId="409" applyNumberFormat="0" applyAlignment="0" applyProtection="0"/>
    <xf numFmtId="0" fontId="74" fillId="29" borderId="409" applyNumberFormat="0" applyAlignment="0" applyProtection="0">
      <alignment vertical="center"/>
    </xf>
    <xf numFmtId="0" fontId="74" fillId="29" borderId="402" applyNumberFormat="0" applyAlignment="0" applyProtection="0">
      <alignment vertical="center"/>
    </xf>
    <xf numFmtId="0" fontId="34" fillId="8" borderId="406" applyNumberFormat="0" applyAlignment="0" applyProtection="0"/>
    <xf numFmtId="0" fontId="34" fillId="8" borderId="388" applyNumberFormat="0" applyAlignment="0" applyProtection="0"/>
    <xf numFmtId="0" fontId="34" fillId="8" borderId="388" applyNumberFormat="0" applyAlignment="0" applyProtection="0"/>
    <xf numFmtId="0" fontId="34" fillId="8" borderId="388" applyNumberFormat="0" applyAlignment="0" applyProtection="0"/>
    <xf numFmtId="0" fontId="46" fillId="29" borderId="391" applyNumberFormat="0" applyAlignment="0" applyProtection="0"/>
    <xf numFmtId="0" fontId="34" fillId="8" borderId="399" applyNumberFormat="0" applyAlignment="0" applyProtection="0"/>
    <xf numFmtId="0" fontId="34" fillId="8" borderId="399" applyNumberFormat="0" applyAlignment="0" applyProtection="0"/>
    <xf numFmtId="43" fontId="3" fillId="0" borderId="0" applyFill="0" applyBorder="0" applyAlignment="0"/>
    <xf numFmtId="43" fontId="3" fillId="0" borderId="0" applyFill="0" applyBorder="0" applyAlignment="0"/>
    <xf numFmtId="43" fontId="3" fillId="0" borderId="0" applyFont="0" applyFill="0" applyBorder="0" applyAlignment="0" applyProtection="0"/>
    <xf numFmtId="0" fontId="74" fillId="29" borderId="409" applyNumberFormat="0" applyAlignment="0" applyProtection="0">
      <alignment vertical="center"/>
    </xf>
    <xf numFmtId="0" fontId="86" fillId="0" borderId="403" applyNumberFormat="0" applyFill="0" applyAlignment="0" applyProtection="0">
      <alignment vertical="center"/>
    </xf>
    <xf numFmtId="0" fontId="29" fillId="0" borderId="414">
      <alignment horizontal="left" vertical="center"/>
    </xf>
    <xf numFmtId="0" fontId="34" fillId="8" borderId="388" applyNumberFormat="0" applyAlignment="0" applyProtection="0"/>
    <xf numFmtId="0" fontId="34" fillId="8" borderId="399" applyNumberFormat="0" applyAlignment="0" applyProtection="0"/>
    <xf numFmtId="0" fontId="46" fillId="79" borderId="398" applyNumberFormat="0" applyAlignment="0" applyProtection="0"/>
    <xf numFmtId="0" fontId="73" fillId="8" borderId="406" applyNumberFormat="0" applyAlignment="0" applyProtection="0">
      <alignment vertical="center"/>
    </xf>
    <xf numFmtId="0" fontId="29" fillId="0" borderId="400">
      <alignment horizontal="left" vertical="center"/>
    </xf>
    <xf numFmtId="0" fontId="82" fillId="29" borderId="388" applyNumberFormat="0" applyAlignment="0" applyProtection="0">
      <alignment vertical="center"/>
    </xf>
    <xf numFmtId="0" fontId="25" fillId="81" borderId="397" applyNumberFormat="0" applyAlignment="0" applyProtection="0"/>
    <xf numFmtId="0" fontId="74" fillId="29" borderId="391" applyNumberFormat="0" applyAlignment="0" applyProtection="0">
      <alignment vertical="center"/>
    </xf>
    <xf numFmtId="0" fontId="34" fillId="8" borderId="388" applyNumberFormat="0" applyAlignment="0" applyProtection="0"/>
    <xf numFmtId="0" fontId="25" fillId="81" borderId="415" applyNumberFormat="0" applyAlignment="0" applyProtection="0"/>
    <xf numFmtId="0" fontId="24" fillId="0" borderId="403" applyNumberFormat="0" applyFill="0" applyAlignment="0" applyProtection="0"/>
    <xf numFmtId="0" fontId="73" fillId="8" borderId="406" applyNumberFormat="0" applyAlignment="0" applyProtection="0">
      <alignment vertical="center"/>
    </xf>
    <xf numFmtId="0" fontId="82" fillId="29" borderId="388" applyNumberFormat="0" applyAlignment="0" applyProtection="0">
      <alignment vertical="center"/>
    </xf>
    <xf numFmtId="0" fontId="3" fillId="0" borderId="0"/>
    <xf numFmtId="0" fontId="7" fillId="37" borderId="408" applyNumberFormat="0" applyFont="0" applyAlignment="0" applyProtection="0"/>
    <xf numFmtId="0" fontId="24" fillId="0" borderId="392" applyNumberFormat="0" applyFill="0" applyAlignment="0" applyProtection="0"/>
    <xf numFmtId="0" fontId="2" fillId="37" borderId="401" applyNumberFormat="0" applyFont="0" applyAlignment="0" applyProtection="0">
      <alignment vertical="center"/>
    </xf>
    <xf numFmtId="0" fontId="73" fillId="8" borderId="388" applyNumberFormat="0" applyAlignment="0" applyProtection="0">
      <alignment vertical="center"/>
    </xf>
    <xf numFmtId="43" fontId="3" fillId="0" borderId="0" applyFont="0" applyFill="0" applyBorder="0" applyAlignment="0" applyProtection="0"/>
    <xf numFmtId="0" fontId="73" fillId="8" borderId="399" applyNumberFormat="0" applyAlignment="0" applyProtection="0">
      <alignment vertical="center"/>
    </xf>
    <xf numFmtId="0" fontId="29" fillId="0" borderId="396">
      <alignment horizontal="left" vertical="center"/>
    </xf>
    <xf numFmtId="0" fontId="18" fillId="79" borderId="413" applyNumberFormat="0" applyAlignment="0" applyProtection="0"/>
    <xf numFmtId="0" fontId="34" fillId="8" borderId="388" applyNumberFormat="0" applyAlignment="0" applyProtection="0"/>
    <xf numFmtId="0" fontId="86" fillId="0" borderId="392" applyNumberFormat="0" applyFill="0" applyAlignment="0" applyProtection="0">
      <alignment vertical="center"/>
    </xf>
    <xf numFmtId="0" fontId="29" fillId="0" borderId="404">
      <alignment horizontal="left" vertical="center"/>
    </xf>
    <xf numFmtId="0" fontId="82" fillId="29" borderId="399" applyNumberFormat="0" applyAlignment="0" applyProtection="0">
      <alignment vertical="center"/>
    </xf>
    <xf numFmtId="0" fontId="2" fillId="37" borderId="390" applyNumberFormat="0" applyFont="0" applyAlignment="0" applyProtection="0">
      <alignment vertical="center"/>
    </xf>
    <xf numFmtId="0" fontId="74" fillId="29" borderId="391" applyNumberFormat="0" applyAlignment="0" applyProtection="0">
      <alignment vertical="center"/>
    </xf>
    <xf numFmtId="0" fontId="82" fillId="29" borderId="388" applyNumberFormat="0" applyAlignment="0" applyProtection="0">
      <alignment vertical="center"/>
    </xf>
    <xf numFmtId="0" fontId="34" fillId="8" borderId="406" applyNumberFormat="0" applyAlignment="0" applyProtection="0"/>
    <xf numFmtId="0" fontId="18" fillId="29" borderId="381" applyNumberFormat="0" applyAlignment="0" applyProtection="0"/>
    <xf numFmtId="0" fontId="34" fillId="66" borderId="395" applyNumberFormat="0" applyAlignment="0" applyProtection="0"/>
    <xf numFmtId="0" fontId="34" fillId="8" borderId="406" applyNumberFormat="0" applyAlignment="0" applyProtection="0"/>
    <xf numFmtId="0" fontId="34" fillId="8" borderId="406" applyNumberFormat="0" applyAlignment="0" applyProtection="0"/>
    <xf numFmtId="0" fontId="29" fillId="0" borderId="411">
      <alignment horizontal="left" vertical="center"/>
    </xf>
    <xf numFmtId="0" fontId="25" fillId="81" borderId="415" applyNumberFormat="0" applyAlignment="0" applyProtection="0"/>
    <xf numFmtId="0" fontId="34" fillId="8" borderId="406" applyNumberFormat="0" applyAlignment="0" applyProtection="0"/>
    <xf numFmtId="0" fontId="3" fillId="0" borderId="0"/>
    <xf numFmtId="0" fontId="86" fillId="0" borderId="410" applyNumberFormat="0" applyFill="0" applyAlignment="0" applyProtection="0">
      <alignment vertical="center"/>
    </xf>
    <xf numFmtId="0" fontId="74" fillId="29" borderId="402" applyNumberFormat="0" applyAlignment="0" applyProtection="0">
      <alignment vertical="center"/>
    </xf>
    <xf numFmtId="0" fontId="34" fillId="8" borderId="399" applyNumberFormat="0" applyAlignment="0" applyProtection="0"/>
    <xf numFmtId="0" fontId="7" fillId="37" borderId="390" applyNumberFormat="0" applyFont="0" applyAlignment="0" applyProtection="0"/>
    <xf numFmtId="0" fontId="29" fillId="0" borderId="414">
      <alignment horizontal="left" vertical="center"/>
    </xf>
    <xf numFmtId="0" fontId="18" fillId="79" borderId="413" applyNumberFormat="0" applyAlignment="0" applyProtection="0"/>
    <xf numFmtId="43" fontId="3" fillId="0" borderId="0" applyFont="0" applyFill="0" applyBorder="0" applyAlignment="0" applyProtection="0"/>
    <xf numFmtId="0" fontId="24" fillId="0" borderId="410" applyNumberFormat="0" applyFill="0" applyAlignment="0" applyProtection="0"/>
    <xf numFmtId="0" fontId="7" fillId="37" borderId="401" applyNumberFormat="0" applyFont="0" applyAlignment="0" applyProtection="0"/>
    <xf numFmtId="0" fontId="7" fillId="37" borderId="390" applyNumberFormat="0" applyFont="0" applyAlignment="0" applyProtection="0"/>
    <xf numFmtId="0" fontId="34" fillId="8" borderId="399" applyNumberFormat="0" applyAlignment="0" applyProtection="0"/>
    <xf numFmtId="0" fontId="34" fillId="8" borderId="399" applyNumberFormat="0" applyAlignment="0" applyProtection="0"/>
    <xf numFmtId="2" fontId="148" fillId="0" borderId="393" applyFont="0" applyBorder="0" applyAlignment="0" applyProtection="0">
      <alignment horizontal="right"/>
    </xf>
    <xf numFmtId="0" fontId="3" fillId="0" borderId="0"/>
    <xf numFmtId="43" fontId="3" fillId="0" borderId="0" applyFont="0" applyFill="0" applyBorder="0" applyAlignment="0" applyProtection="0"/>
    <xf numFmtId="0" fontId="46" fillId="29" borderId="409" applyNumberFormat="0" applyAlignment="0" applyProtection="0"/>
    <xf numFmtId="0" fontId="34" fillId="8" borderId="399" applyNumberFormat="0" applyAlignment="0" applyProtection="0"/>
    <xf numFmtId="0" fontId="34" fillId="8" borderId="399" applyNumberFormat="0" applyAlignment="0" applyProtection="0"/>
    <xf numFmtId="0" fontId="18" fillId="79" borderId="406" applyNumberFormat="0" applyAlignment="0" applyProtection="0"/>
    <xf numFmtId="0" fontId="2" fillId="37" borderId="408" applyNumberFormat="0" applyFont="0" applyAlignment="0" applyProtection="0">
      <alignment vertical="center"/>
    </xf>
    <xf numFmtId="0" fontId="18" fillId="29" borderId="388" applyNumberFormat="0" applyAlignment="0" applyProtection="0"/>
    <xf numFmtId="0" fontId="34" fillId="66" borderId="406" applyNumberFormat="0" applyAlignment="0" applyProtection="0"/>
    <xf numFmtId="0" fontId="25" fillId="81" borderId="401" applyNumberFormat="0" applyAlignment="0" applyProtection="0"/>
    <xf numFmtId="0" fontId="24" fillId="0" borderId="392" applyNumberFormat="0" applyFill="0" applyAlignment="0" applyProtection="0"/>
    <xf numFmtId="0" fontId="34" fillId="8" borderId="406" applyNumberFormat="0" applyAlignment="0" applyProtection="0"/>
    <xf numFmtId="43" fontId="3" fillId="0" borderId="0" applyFill="0" applyBorder="0" applyAlignment="0"/>
    <xf numFmtId="43" fontId="3" fillId="0" borderId="0" applyFill="0" applyBorder="0" applyAlignment="0"/>
    <xf numFmtId="43" fontId="3" fillId="0" borderId="0" applyFill="0" applyBorder="0" applyAlignment="0"/>
    <xf numFmtId="0" fontId="18" fillId="79" borderId="395" applyNumberFormat="0" applyAlignment="0" applyProtection="0"/>
    <xf numFmtId="0" fontId="18" fillId="79" borderId="395" applyNumberFormat="0" applyAlignment="0" applyProtection="0"/>
    <xf numFmtId="0" fontId="18" fillId="79" borderId="395" applyNumberFormat="0" applyAlignment="0" applyProtection="0"/>
    <xf numFmtId="43" fontId="3" fillId="0" borderId="0" applyFill="0" applyBorder="0" applyAlignment="0"/>
    <xf numFmtId="43" fontId="3" fillId="0" borderId="0" applyFill="0" applyBorder="0" applyAlignment="0"/>
    <xf numFmtId="43" fontId="3" fillId="0" borderId="0" applyFill="0" applyBorder="0" applyAlignment="0"/>
    <xf numFmtId="0" fontId="18" fillId="79" borderId="388" applyNumberFormat="0" applyAlignment="0" applyProtection="0"/>
    <xf numFmtId="0" fontId="18" fillId="79" borderId="388" applyNumberFormat="0" applyAlignment="0" applyProtection="0"/>
    <xf numFmtId="0" fontId="18" fillId="79" borderId="388" applyNumberFormat="0" applyAlignment="0" applyProtection="0"/>
    <xf numFmtId="0" fontId="2" fillId="37" borderId="401" applyNumberFormat="0" applyFont="0" applyAlignment="0" applyProtection="0">
      <alignment vertical="center"/>
    </xf>
    <xf numFmtId="0" fontId="29" fillId="0" borderId="396">
      <alignment horizontal="left" vertical="center"/>
    </xf>
    <xf numFmtId="0" fontId="29" fillId="0" borderId="396">
      <alignment horizontal="left" vertical="center"/>
    </xf>
    <xf numFmtId="0" fontId="2" fillId="37" borderId="408" applyNumberFormat="0" applyFont="0" applyAlignment="0" applyProtection="0">
      <alignment vertical="center"/>
    </xf>
    <xf numFmtId="0" fontId="34" fillId="66" borderId="395" applyNumberFormat="0" applyAlignment="0" applyProtection="0"/>
    <xf numFmtId="0" fontId="86" fillId="0" borderId="410" applyNumberFormat="0" applyFill="0" applyAlignment="0" applyProtection="0">
      <alignment vertical="center"/>
    </xf>
    <xf numFmtId="0" fontId="34" fillId="8" borderId="406" applyNumberFormat="0" applyAlignment="0" applyProtection="0"/>
    <xf numFmtId="0" fontId="29" fillId="0" borderId="414">
      <alignment horizontal="left" vertical="center"/>
    </xf>
    <xf numFmtId="0" fontId="46" fillId="79" borderId="398" applyNumberFormat="0" applyAlignment="0" applyProtection="0"/>
    <xf numFmtId="0" fontId="46" fillId="79" borderId="416" applyNumberFormat="0" applyAlignment="0" applyProtection="0"/>
    <xf numFmtId="0" fontId="46" fillId="79" borderId="416" applyNumberFormat="0" applyAlignment="0" applyProtection="0"/>
    <xf numFmtId="0" fontId="46" fillId="79" borderId="416" applyNumberFormat="0" applyAlignment="0" applyProtection="0"/>
    <xf numFmtId="0" fontId="34" fillId="66" borderId="413" applyNumberFormat="0" applyAlignment="0" applyProtection="0"/>
    <xf numFmtId="0" fontId="29" fillId="0" borderId="394">
      <alignment horizontal="left" vertical="center"/>
    </xf>
    <xf numFmtId="0" fontId="34" fillId="8" borderId="388" applyNumberFormat="0" applyAlignment="0" applyProtection="0"/>
    <xf numFmtId="0" fontId="34" fillId="8" borderId="388" applyNumberFormat="0" applyAlignment="0" applyProtection="0"/>
    <xf numFmtId="0" fontId="34" fillId="8" borderId="388" applyNumberFormat="0" applyAlignment="0" applyProtection="0"/>
    <xf numFmtId="0" fontId="34" fillId="8" borderId="388" applyNumberFormat="0" applyAlignment="0" applyProtection="0"/>
    <xf numFmtId="0" fontId="2" fillId="37" borderId="390" applyNumberFormat="0" applyFont="0" applyAlignment="0" applyProtection="0">
      <alignment vertical="center"/>
    </xf>
    <xf numFmtId="0" fontId="29" fillId="0" borderId="389">
      <alignment horizontal="left" vertical="center"/>
    </xf>
    <xf numFmtId="0" fontId="29" fillId="0" borderId="389">
      <alignment horizontal="left" vertical="center"/>
    </xf>
    <xf numFmtId="0" fontId="29" fillId="0" borderId="389">
      <alignment horizontal="left" vertical="center"/>
    </xf>
    <xf numFmtId="0" fontId="34" fillId="66" borderId="388" applyNumberFormat="0" applyAlignment="0" applyProtection="0"/>
    <xf numFmtId="0" fontId="34" fillId="66" borderId="388" applyNumberFormat="0" applyAlignment="0" applyProtection="0"/>
    <xf numFmtId="0" fontId="34" fillId="66" borderId="388" applyNumberFormat="0" applyAlignment="0" applyProtection="0"/>
    <xf numFmtId="0" fontId="34" fillId="8" borderId="399" applyNumberFormat="0" applyAlignment="0" applyProtection="0"/>
    <xf numFmtId="0" fontId="34" fillId="8" borderId="388" applyNumberFormat="0" applyAlignment="0" applyProtection="0"/>
    <xf numFmtId="0" fontId="34" fillId="8" borderId="388" applyNumberFormat="0" applyAlignment="0" applyProtection="0"/>
    <xf numFmtId="0" fontId="18" fillId="29" borderId="406" applyNumberFormat="0" applyAlignment="0" applyProtection="0"/>
    <xf numFmtId="0" fontId="34" fillId="8" borderId="406" applyNumberFormat="0" applyAlignment="0" applyProtection="0"/>
    <xf numFmtId="0" fontId="34" fillId="8" borderId="399" applyNumberFormat="0" applyAlignment="0" applyProtection="0"/>
    <xf numFmtId="0" fontId="34" fillId="8" borderId="399" applyNumberFormat="0" applyAlignment="0" applyProtection="0"/>
    <xf numFmtId="0" fontId="34" fillId="8" borderId="388" applyNumberFormat="0" applyAlignment="0" applyProtection="0"/>
    <xf numFmtId="0" fontId="34" fillId="8" borderId="388" applyNumberFormat="0" applyAlignment="0" applyProtection="0"/>
    <xf numFmtId="0" fontId="25" fillId="81" borderId="397" applyNumberFormat="0" applyAlignment="0" applyProtection="0"/>
    <xf numFmtId="0" fontId="25" fillId="81" borderId="390" applyNumberFormat="0" applyAlignment="0" applyProtection="0"/>
    <xf numFmtId="0" fontId="25" fillId="81" borderId="390" applyNumberFormat="0" applyAlignment="0" applyProtection="0"/>
    <xf numFmtId="0" fontId="25" fillId="81" borderId="390" applyNumberFormat="0" applyAlignment="0" applyProtection="0"/>
    <xf numFmtId="0" fontId="46" fillId="79" borderId="391" applyNumberFormat="0" applyAlignment="0" applyProtection="0"/>
    <xf numFmtId="0" fontId="46" fillId="79" borderId="391" applyNumberFormat="0" applyAlignment="0" applyProtection="0"/>
    <xf numFmtId="0" fontId="46" fillId="79" borderId="391" applyNumberFormat="0" applyAlignment="0" applyProtection="0"/>
    <xf numFmtId="0" fontId="34" fillId="8" borderId="406" applyNumberFormat="0" applyAlignment="0" applyProtection="0"/>
    <xf numFmtId="0" fontId="34" fillId="8" borderId="406" applyNumberFormat="0" applyAlignment="0" applyProtection="0"/>
    <xf numFmtId="0" fontId="24" fillId="0" borderId="392" applyNumberFormat="0" applyFill="0" applyAlignment="0" applyProtection="0"/>
    <xf numFmtId="0" fontId="2" fillId="37" borderId="390" applyNumberFormat="0" applyFont="0" applyAlignment="0" applyProtection="0">
      <alignment vertical="center"/>
    </xf>
    <xf numFmtId="2" fontId="148" fillId="0" borderId="393" applyFont="0" applyBorder="0" applyAlignment="0" applyProtection="0">
      <alignment horizontal="right"/>
    </xf>
    <xf numFmtId="9" fontId="3" fillId="0" borderId="0" applyFont="0" applyFill="0" applyBorder="0" applyAlignment="0" applyProtection="0"/>
    <xf numFmtId="2" fontId="148" fillId="0" borderId="405" applyFont="0" applyBorder="0" applyAlignment="0" applyProtection="0">
      <alignment horizontal="right"/>
    </xf>
    <xf numFmtId="0" fontId="34" fillId="66" borderId="395" applyNumberFormat="0" applyAlignment="0" applyProtection="0"/>
    <xf numFmtId="0" fontId="46" fillId="29" borderId="402" applyNumberFormat="0" applyAlignment="0" applyProtection="0"/>
    <xf numFmtId="0" fontId="73" fillId="8" borderId="399" applyNumberFormat="0" applyAlignment="0" applyProtection="0">
      <alignment vertical="center"/>
    </xf>
    <xf numFmtId="0" fontId="86" fillId="0" borderId="403" applyNumberFormat="0" applyFill="0" applyAlignment="0" applyProtection="0">
      <alignment vertical="center"/>
    </xf>
    <xf numFmtId="0" fontId="34" fillId="8" borderId="406" applyNumberFormat="0" applyAlignment="0" applyProtection="0"/>
    <xf numFmtId="0" fontId="82" fillId="29" borderId="399" applyNumberFormat="0" applyAlignment="0" applyProtection="0">
      <alignment vertical="center"/>
    </xf>
    <xf numFmtId="0" fontId="24" fillId="0" borderId="410" applyNumberFormat="0" applyFill="0" applyAlignment="0" applyProtection="0"/>
    <xf numFmtId="0" fontId="34" fillId="8" borderId="406" applyNumberFormat="0" applyAlignment="0" applyProtection="0"/>
    <xf numFmtId="0" fontId="46" fillId="79" borderId="402" applyNumberFormat="0" applyAlignment="0" applyProtection="0"/>
    <xf numFmtId="41"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ill="0" applyBorder="0" applyAlignment="0" applyProtection="0"/>
    <xf numFmtId="43" fontId="1" fillId="0" borderId="0" applyFont="0" applyFill="0" applyBorder="0" applyAlignment="0" applyProtection="0"/>
    <xf numFmtId="0" fontId="73" fillId="8" borderId="388" applyNumberFormat="0" applyAlignment="0" applyProtection="0">
      <alignment vertical="center"/>
    </xf>
    <xf numFmtId="0" fontId="34" fillId="8" borderId="381" applyNumberFormat="0" applyAlignment="0" applyProtection="0"/>
    <xf numFmtId="0" fontId="34" fillId="8" borderId="381" applyNumberFormat="0" applyAlignment="0" applyProtection="0"/>
    <xf numFmtId="0" fontId="34" fillId="8" borderId="381" applyNumberFormat="0" applyAlignment="0" applyProtection="0"/>
    <xf numFmtId="0" fontId="34" fillId="8" borderId="381" applyNumberFormat="0" applyAlignment="0" applyProtection="0"/>
    <xf numFmtId="0" fontId="34" fillId="8" borderId="381" applyNumberFormat="0" applyAlignment="0" applyProtection="0"/>
    <xf numFmtId="0" fontId="34" fillId="8" borderId="381" applyNumberFormat="0" applyAlignment="0" applyProtection="0"/>
    <xf numFmtId="0" fontId="34" fillId="66" borderId="413" applyNumberFormat="0" applyAlignment="0" applyProtection="0"/>
    <xf numFmtId="0" fontId="29" fillId="0" borderId="407">
      <alignment horizontal="left" vertical="center"/>
    </xf>
    <xf numFmtId="0" fontId="34" fillId="8" borderId="406" applyNumberFormat="0" applyAlignment="0" applyProtection="0"/>
    <xf numFmtId="0" fontId="34" fillId="8" borderId="399" applyNumberFormat="0" applyAlignment="0" applyProtection="0"/>
    <xf numFmtId="0" fontId="34" fillId="8" borderId="406" applyNumberFormat="0" applyAlignment="0" applyProtection="0"/>
    <xf numFmtId="0" fontId="18" fillId="79" borderId="399" applyNumberFormat="0" applyAlignment="0" applyProtection="0"/>
    <xf numFmtId="0" fontId="34" fillId="66" borderId="413" applyNumberFormat="0" applyAlignment="0" applyProtection="0"/>
    <xf numFmtId="0" fontId="34" fillId="8" borderId="399" applyNumberFormat="0" applyAlignment="0" applyProtection="0"/>
    <xf numFmtId="0" fontId="25" fillId="81" borderId="397" applyNumberFormat="0" applyAlignment="0" applyProtection="0"/>
    <xf numFmtId="0" fontId="46" fillId="29" borderId="391" applyNumberFormat="0" applyAlignment="0" applyProtection="0"/>
    <xf numFmtId="0" fontId="7" fillId="37" borderId="382" applyNumberFormat="0" applyFont="0" applyAlignment="0" applyProtection="0"/>
    <xf numFmtId="0" fontId="46" fillId="29" borderId="383" applyNumberFormat="0" applyAlignment="0" applyProtection="0"/>
    <xf numFmtId="0" fontId="24" fillId="0" borderId="403" applyNumberFormat="0" applyFill="0" applyAlignment="0" applyProtection="0"/>
    <xf numFmtId="0" fontId="24" fillId="0" borderId="384" applyNumberFormat="0" applyFill="0" applyAlignment="0" applyProtection="0"/>
    <xf numFmtId="0" fontId="2" fillId="37" borderId="382" applyNumberFormat="0" applyFont="0" applyAlignment="0" applyProtection="0">
      <alignment vertical="center"/>
    </xf>
    <xf numFmtId="0" fontId="73" fillId="8" borderId="381" applyNumberFormat="0" applyAlignment="0" applyProtection="0">
      <alignment vertical="center"/>
    </xf>
    <xf numFmtId="0" fontId="74" fillId="29" borderId="383" applyNumberFormat="0" applyAlignment="0" applyProtection="0">
      <alignment vertical="center"/>
    </xf>
    <xf numFmtId="2" fontId="148" fillId="0" borderId="385" applyFont="0" applyBorder="0" applyAlignment="0" applyProtection="0">
      <alignment horizontal="right"/>
    </xf>
    <xf numFmtId="0" fontId="82" fillId="29" borderId="381" applyNumberFormat="0" applyAlignment="0" applyProtection="0">
      <alignment vertical="center"/>
    </xf>
    <xf numFmtId="0" fontId="86" fillId="0" borderId="384" applyNumberFormat="0" applyFill="0" applyAlignment="0" applyProtection="0">
      <alignment vertical="center"/>
    </xf>
    <xf numFmtId="9" fontId="3" fillId="0" borderId="0" applyFont="0" applyFill="0" applyBorder="0" applyAlignment="0" applyProtection="0"/>
    <xf numFmtId="0" fontId="34" fillId="8" borderId="406" applyNumberFormat="0" applyAlignment="0" applyProtection="0"/>
    <xf numFmtId="0" fontId="46" fillId="79" borderId="398" applyNumberFormat="0" applyAlignment="0" applyProtection="0"/>
    <xf numFmtId="43" fontId="1" fillId="0" borderId="0" applyFont="0" applyFill="0" applyBorder="0" applyAlignment="0" applyProtection="0"/>
    <xf numFmtId="0" fontId="34" fillId="8" borderId="388" applyNumberFormat="0" applyAlignment="0" applyProtection="0"/>
    <xf numFmtId="0" fontId="34" fillId="8" borderId="388" applyNumberFormat="0" applyAlignment="0" applyProtection="0"/>
    <xf numFmtId="0" fontId="25" fillId="81" borderId="408" applyNumberFormat="0" applyAlignment="0" applyProtection="0"/>
    <xf numFmtId="0" fontId="25" fillId="81" borderId="415" applyNumberFormat="0" applyAlignment="0" applyProtection="0"/>
    <xf numFmtId="0" fontId="82" fillId="29" borderId="406" applyNumberFormat="0" applyAlignment="0" applyProtection="0">
      <alignment vertical="center"/>
    </xf>
    <xf numFmtId="0" fontId="18" fillId="79" borderId="413" applyNumberFormat="0" applyAlignment="0" applyProtection="0"/>
    <xf numFmtId="0" fontId="34" fillId="8" borderId="399" applyNumberFormat="0" applyAlignment="0" applyProtection="0"/>
    <xf numFmtId="2" fontId="148" fillId="0" borderId="127" applyFont="0" applyBorder="0" applyAlignment="0" applyProtection="0">
      <alignment horizontal="right"/>
    </xf>
    <xf numFmtId="0" fontId="3" fillId="0" borderId="0"/>
    <xf numFmtId="9" fontId="3" fillId="0" borderId="0" applyFont="0" applyFill="0" applyBorder="0" applyAlignment="0" applyProtection="0"/>
    <xf numFmtId="0" fontId="73" fillId="8" borderId="388" applyNumberFormat="0" applyAlignment="0" applyProtection="0">
      <alignment vertical="center"/>
    </xf>
    <xf numFmtId="0" fontId="7" fillId="37" borderId="401" applyNumberFormat="0" applyFont="0" applyAlignment="0" applyProtection="0"/>
    <xf numFmtId="0" fontId="46" fillId="29" borderId="402" applyNumberFormat="0" applyAlignment="0" applyProtection="0"/>
    <xf numFmtId="0" fontId="24" fillId="0" borderId="403" applyNumberFormat="0" applyFill="0" applyAlignment="0" applyProtection="0"/>
    <xf numFmtId="0" fontId="2" fillId="37" borderId="401" applyNumberFormat="0" applyFont="0" applyAlignment="0" applyProtection="0">
      <alignment vertical="center"/>
    </xf>
    <xf numFmtId="0" fontId="73" fillId="8" borderId="399" applyNumberFormat="0" applyAlignment="0" applyProtection="0">
      <alignment vertical="center"/>
    </xf>
    <xf numFmtId="0" fontId="74" fillId="29" borderId="402" applyNumberFormat="0" applyAlignment="0" applyProtection="0">
      <alignment vertical="center"/>
    </xf>
    <xf numFmtId="2" fontId="148" fillId="0" borderId="405" applyFont="0" applyBorder="0" applyAlignment="0" applyProtection="0">
      <alignment horizontal="right"/>
    </xf>
    <xf numFmtId="0" fontId="82" fillId="29" borderId="399" applyNumberFormat="0" applyAlignment="0" applyProtection="0">
      <alignment vertical="center"/>
    </xf>
    <xf numFmtId="0" fontId="86" fillId="0" borderId="403" applyNumberFormat="0" applyFill="0" applyAlignment="0" applyProtection="0">
      <alignment vertical="center"/>
    </xf>
    <xf numFmtId="9" fontId="3" fillId="0" borderId="0" applyFont="0" applyFill="0" applyBorder="0" applyAlignment="0" applyProtection="0"/>
    <xf numFmtId="2" fontId="148" fillId="0" borderId="412" applyFont="0" applyBorder="0" applyAlignment="0" applyProtection="0">
      <alignment horizontal="right"/>
    </xf>
    <xf numFmtId="0" fontId="7" fillId="37" borderId="408" applyNumberFormat="0" applyFont="0" applyAlignment="0" applyProtection="0"/>
    <xf numFmtId="0" fontId="46" fillId="29" borderId="409" applyNumberFormat="0" applyAlignment="0" applyProtection="0"/>
    <xf numFmtId="0" fontId="24" fillId="0" borderId="410" applyNumberFormat="0" applyFill="0" applyAlignment="0" applyProtection="0"/>
    <xf numFmtId="0" fontId="2" fillId="37" borderId="408" applyNumberFormat="0" applyFont="0" applyAlignment="0" applyProtection="0">
      <alignment vertical="center"/>
    </xf>
    <xf numFmtId="0" fontId="73" fillId="8" borderId="406" applyNumberFormat="0" applyAlignment="0" applyProtection="0">
      <alignment vertical="center"/>
    </xf>
    <xf numFmtId="0" fontId="74" fillId="29" borderId="409" applyNumberFormat="0" applyAlignment="0" applyProtection="0">
      <alignment vertical="center"/>
    </xf>
    <xf numFmtId="2" fontId="148" fillId="0" borderId="412" applyFont="0" applyBorder="0" applyAlignment="0" applyProtection="0">
      <alignment horizontal="right"/>
    </xf>
    <xf numFmtId="0" fontId="82" fillId="29" borderId="406" applyNumberFormat="0" applyAlignment="0" applyProtection="0">
      <alignment vertical="center"/>
    </xf>
    <xf numFmtId="0" fontId="86" fillId="0" borderId="410" applyNumberFormat="0" applyFill="0" applyAlignment="0" applyProtection="0">
      <alignment vertical="center"/>
    </xf>
    <xf numFmtId="9" fontId="3" fillId="0" borderId="0" applyFont="0" applyFill="0" applyBorder="0" applyAlignment="0" applyProtection="0"/>
    <xf numFmtId="0" fontId="158" fillId="0" borderId="0"/>
    <xf numFmtId="43" fontId="3" fillId="0" borderId="0" applyFont="0" applyFill="0" applyBorder="0" applyAlignment="0" applyProtection="0"/>
    <xf numFmtId="43" fontId="3" fillId="0" borderId="0" applyFill="0" applyBorder="0" applyAlignment="0"/>
    <xf numFmtId="43" fontId="3" fillId="0" borderId="0" applyFill="0" applyBorder="0" applyAlignment="0"/>
    <xf numFmtId="0" fontId="74" fillId="29" borderId="416" applyNumberFormat="0" applyAlignment="0" applyProtection="0">
      <alignment vertical="center"/>
    </xf>
    <xf numFmtId="0" fontId="34" fillId="8" borderId="417" applyNumberFormat="0" applyAlignment="0" applyProtection="0"/>
    <xf numFmtId="0" fontId="34" fillId="8" borderId="417" applyNumberFormat="0" applyAlignment="0" applyProtection="0"/>
    <xf numFmtId="0" fontId="34" fillId="8" borderId="417" applyNumberFormat="0" applyAlignment="0" applyProtection="0"/>
    <xf numFmtId="0" fontId="34" fillId="8" borderId="417" applyNumberFormat="0" applyAlignment="0" applyProtection="0"/>
    <xf numFmtId="0" fontId="34" fillId="8" borderId="417" applyNumberFormat="0" applyAlignment="0" applyProtection="0"/>
    <xf numFmtId="0" fontId="34" fillId="8" borderId="417" applyNumberFormat="0" applyAlignment="0" applyProtection="0"/>
    <xf numFmtId="0" fontId="7" fillId="37" borderId="418" applyNumberFormat="0" applyFont="0" applyAlignment="0" applyProtection="0"/>
    <xf numFmtId="0" fontId="46" fillId="29" borderId="419" applyNumberFormat="0" applyAlignment="0" applyProtection="0"/>
    <xf numFmtId="0" fontId="24" fillId="0" borderId="420" applyNumberFormat="0" applyFill="0" applyAlignment="0" applyProtection="0"/>
    <xf numFmtId="0" fontId="2" fillId="37" borderId="418" applyNumberFormat="0" applyFont="0" applyAlignment="0" applyProtection="0">
      <alignment vertical="center"/>
    </xf>
    <xf numFmtId="0" fontId="73" fillId="8" borderId="417" applyNumberFormat="0" applyAlignment="0" applyProtection="0">
      <alignment vertical="center"/>
    </xf>
    <xf numFmtId="0" fontId="74" fillId="29" borderId="419" applyNumberFormat="0" applyAlignment="0" applyProtection="0">
      <alignment vertical="center"/>
    </xf>
    <xf numFmtId="0" fontId="82" fillId="29" borderId="417" applyNumberFormat="0" applyAlignment="0" applyProtection="0">
      <alignment vertical="center"/>
    </xf>
    <xf numFmtId="0" fontId="86" fillId="0" borderId="420" applyNumberFormat="0" applyFill="0" applyAlignment="0" applyProtection="0">
      <alignment vertical="center"/>
    </xf>
    <xf numFmtId="2" fontId="148" fillId="0" borderId="421" applyFont="0" applyBorder="0" applyAlignment="0" applyProtection="0">
      <alignment horizontal="right"/>
    </xf>
    <xf numFmtId="43" fontId="3" fillId="0" borderId="0" applyFill="0" applyBorder="0" applyAlignment="0"/>
    <xf numFmtId="43" fontId="3" fillId="0" borderId="0" applyFill="0" applyBorder="0" applyAlignment="0"/>
    <xf numFmtId="43" fontId="3" fillId="0" borderId="0" applyFill="0" applyBorder="0" applyAlignment="0"/>
    <xf numFmtId="43" fontId="3" fillId="0" borderId="0" applyFill="0" applyBorder="0" applyAlignment="0"/>
    <xf numFmtId="43" fontId="3" fillId="0" borderId="0" applyFill="0" applyBorder="0" applyAlignment="0"/>
    <xf numFmtId="43" fontId="3" fillId="0" borderId="0" applyFill="0" applyBorder="0" applyAlignment="0"/>
    <xf numFmtId="0" fontId="18" fillId="79" borderId="422" applyNumberFormat="0" applyAlignment="0" applyProtection="0"/>
    <xf numFmtId="0" fontId="18" fillId="79" borderId="422" applyNumberFormat="0" applyAlignment="0" applyProtection="0"/>
    <xf numFmtId="0" fontId="18" fillId="79" borderId="422" applyNumberFormat="0" applyAlignment="0" applyProtection="0"/>
    <xf numFmtId="0" fontId="29" fillId="0" borderId="423">
      <alignment horizontal="left" vertical="center"/>
    </xf>
    <xf numFmtId="0" fontId="29" fillId="0" borderId="423">
      <alignment horizontal="left" vertical="center"/>
    </xf>
    <xf numFmtId="0" fontId="29" fillId="0" borderId="423">
      <alignment horizontal="left" vertical="center"/>
    </xf>
    <xf numFmtId="0" fontId="34" fillId="66" borderId="422" applyNumberFormat="0" applyAlignment="0" applyProtection="0"/>
    <xf numFmtId="0" fontId="34" fillId="66" borderId="422" applyNumberFormat="0" applyAlignment="0" applyProtection="0"/>
    <xf numFmtId="0" fontId="34" fillId="66" borderId="422" applyNumberFormat="0" applyAlignment="0" applyProtection="0"/>
    <xf numFmtId="0" fontId="25" fillId="81" borderId="424" applyNumberFormat="0" applyAlignment="0" applyProtection="0"/>
    <xf numFmtId="0" fontId="25" fillId="81" borderId="424" applyNumberFormat="0" applyAlignment="0" applyProtection="0"/>
    <xf numFmtId="0" fontId="25" fillId="81" borderId="424" applyNumberFormat="0" applyAlignment="0" applyProtection="0"/>
    <xf numFmtId="0" fontId="46" fillId="79" borderId="425" applyNumberFormat="0" applyAlignment="0" applyProtection="0"/>
    <xf numFmtId="0" fontId="46" fillId="79" borderId="425" applyNumberFormat="0" applyAlignment="0" applyProtection="0"/>
    <xf numFmtId="0" fontId="46" fillId="79" borderId="425" applyNumberFormat="0" applyAlignment="0" applyProtection="0"/>
    <xf numFmtId="0" fontId="18" fillId="29" borderId="417" applyNumberFormat="0" applyAlignment="0" applyProtection="0"/>
    <xf numFmtId="41"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ill="0" applyBorder="0" applyAlignment="0" applyProtection="0"/>
    <xf numFmtId="43" fontId="1" fillId="0" borderId="0" applyFont="0" applyFill="0" applyBorder="0" applyAlignment="0" applyProtection="0"/>
    <xf numFmtId="0" fontId="29" fillId="0" borderId="411">
      <alignment horizontal="left" vertical="center"/>
    </xf>
    <xf numFmtId="0" fontId="29" fillId="0" borderId="411">
      <alignment horizontal="left" vertical="center"/>
    </xf>
    <xf numFmtId="0" fontId="34" fillId="8" borderId="417" applyNumberFormat="0" applyAlignment="0" applyProtection="0"/>
    <xf numFmtId="0" fontId="34" fillId="8" borderId="417" applyNumberFormat="0" applyAlignment="0" applyProtection="0"/>
    <xf numFmtId="0" fontId="34" fillId="8" borderId="417" applyNumberFormat="0" applyAlignment="0" applyProtection="0"/>
    <xf numFmtId="0" fontId="34" fillId="8" borderId="417" applyNumberFormat="0" applyAlignment="0" applyProtection="0"/>
    <xf numFmtId="0" fontId="34" fillId="8" borderId="417" applyNumberFormat="0" applyAlignment="0" applyProtection="0"/>
    <xf numFmtId="0" fontId="34" fillId="8" borderId="417" applyNumberFormat="0" applyAlignment="0" applyProtection="0"/>
    <xf numFmtId="0" fontId="34" fillId="8" borderId="417" applyNumberFormat="0" applyAlignment="0" applyProtection="0"/>
    <xf numFmtId="0" fontId="34" fillId="8" borderId="417" applyNumberFormat="0" applyAlignment="0" applyProtection="0"/>
    <xf numFmtId="0" fontId="34" fillId="8" borderId="417" applyNumberFormat="0" applyAlignment="0" applyProtection="0"/>
    <xf numFmtId="0" fontId="34" fillId="8" borderId="417" applyNumberFormat="0" applyAlignment="0" applyProtection="0"/>
    <xf numFmtId="0" fontId="34" fillId="8" borderId="417" applyNumberFormat="0" applyAlignment="0" applyProtection="0"/>
    <xf numFmtId="0" fontId="7" fillId="37" borderId="418" applyNumberFormat="0" applyFont="0" applyAlignment="0" applyProtection="0"/>
    <xf numFmtId="0" fontId="46" fillId="29" borderId="419" applyNumberFormat="0" applyAlignment="0" applyProtection="0"/>
    <xf numFmtId="0" fontId="24" fillId="0" borderId="420" applyNumberFormat="0" applyFill="0" applyAlignment="0" applyProtection="0"/>
    <xf numFmtId="0" fontId="24" fillId="0" borderId="420" applyNumberFormat="0" applyFill="0" applyAlignment="0" applyProtection="0"/>
    <xf numFmtId="0" fontId="2" fillId="37" borderId="418" applyNumberFormat="0" applyFont="0" applyAlignment="0" applyProtection="0">
      <alignment vertical="center"/>
    </xf>
    <xf numFmtId="0" fontId="2" fillId="37" borderId="418" applyNumberFormat="0" applyFont="0" applyAlignment="0" applyProtection="0">
      <alignment vertical="center"/>
    </xf>
    <xf numFmtId="0" fontId="73" fillId="8" borderId="417" applyNumberFormat="0" applyAlignment="0" applyProtection="0">
      <alignment vertical="center"/>
    </xf>
    <xf numFmtId="0" fontId="73" fillId="8" borderId="417" applyNumberFormat="0" applyAlignment="0" applyProtection="0">
      <alignment vertical="center"/>
    </xf>
    <xf numFmtId="0" fontId="74" fillId="29" borderId="419" applyNumberFormat="0" applyAlignment="0" applyProtection="0">
      <alignment vertical="center"/>
    </xf>
    <xf numFmtId="0" fontId="74" fillId="29" borderId="419" applyNumberFormat="0" applyAlignment="0" applyProtection="0">
      <alignment vertical="center"/>
    </xf>
    <xf numFmtId="2" fontId="148" fillId="0" borderId="421" applyFont="0" applyBorder="0" applyAlignment="0" applyProtection="0">
      <alignment horizontal="right"/>
    </xf>
    <xf numFmtId="0" fontId="82" fillId="29" borderId="417" applyNumberFormat="0" applyAlignment="0" applyProtection="0">
      <alignment vertical="center"/>
    </xf>
    <xf numFmtId="0" fontId="82" fillId="29" borderId="417" applyNumberFormat="0" applyAlignment="0" applyProtection="0">
      <alignment vertical="center"/>
    </xf>
    <xf numFmtId="0" fontId="86" fillId="0" borderId="420" applyNumberFormat="0" applyFill="0" applyAlignment="0" applyProtection="0">
      <alignment vertical="center"/>
    </xf>
    <xf numFmtId="0" fontId="86" fillId="0" borderId="420" applyNumberFormat="0" applyFill="0" applyAlignment="0" applyProtection="0">
      <alignment vertical="center"/>
    </xf>
    <xf numFmtId="0" fontId="1" fillId="0" borderId="0"/>
    <xf numFmtId="9" fontId="158"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 fillId="0" borderId="0"/>
    <xf numFmtId="0" fontId="3" fillId="0" borderId="0"/>
    <xf numFmtId="2" fontId="148" fillId="0" borderId="445" applyFont="0" applyBorder="0" applyAlignment="0" applyProtection="0">
      <alignment horizontal="right"/>
    </xf>
    <xf numFmtId="0" fontId="18" fillId="79" borderId="441" applyNumberFormat="0" applyAlignment="0" applyProtection="0"/>
    <xf numFmtId="0" fontId="46" fillId="79" borderId="443" applyNumberFormat="0" applyAlignment="0" applyProtection="0"/>
    <xf numFmtId="0" fontId="18" fillId="29" borderId="422" applyNumberFormat="0" applyAlignment="0" applyProtection="0"/>
    <xf numFmtId="0" fontId="18" fillId="29" borderId="422" applyNumberFormat="0" applyAlignment="0" applyProtection="0"/>
    <xf numFmtId="43" fontId="3" fillId="0" borderId="0" applyFont="0" applyFill="0" applyBorder="0" applyAlignment="0" applyProtection="0"/>
    <xf numFmtId="43" fontId="3" fillId="0" borderId="0" applyFont="0" applyFill="0" applyBorder="0" applyAlignment="0" applyProtection="0"/>
    <xf numFmtId="0" fontId="29" fillId="0" borderId="439">
      <alignment horizontal="left" vertical="center"/>
    </xf>
    <xf numFmtId="0" fontId="29" fillId="0" borderId="439">
      <alignment horizontal="left" vertical="center"/>
    </xf>
    <xf numFmtId="10" fontId="28" fillId="35" borderId="169" applyNumberFormat="0" applyBorder="0" applyAlignment="0" applyProtection="0"/>
    <xf numFmtId="0" fontId="34" fillId="8" borderId="422" applyNumberFormat="0" applyAlignment="0" applyProtection="0"/>
    <xf numFmtId="0" fontId="34" fillId="8" borderId="422" applyNumberFormat="0" applyAlignment="0" applyProtection="0"/>
    <xf numFmtId="0" fontId="34" fillId="8" borderId="422" applyNumberFormat="0" applyAlignment="0" applyProtection="0"/>
    <xf numFmtId="0" fontId="34" fillId="8" borderId="422" applyNumberFormat="0" applyAlignment="0" applyProtection="0"/>
    <xf numFmtId="0" fontId="34" fillId="8" borderId="422" applyNumberFormat="0" applyAlignment="0" applyProtection="0"/>
    <xf numFmtId="0" fontId="34" fillId="8" borderId="422" applyNumberFormat="0" applyAlignment="0" applyProtection="0"/>
    <xf numFmtId="0" fontId="34" fillId="8" borderId="422" applyNumberFormat="0" applyAlignment="0" applyProtection="0"/>
    <xf numFmtId="0" fontId="34" fillId="8" borderId="422" applyNumberFormat="0" applyAlignment="0" applyProtection="0"/>
    <xf numFmtId="0" fontId="34" fillId="8" borderId="422" applyNumberFormat="0" applyAlignment="0" applyProtection="0"/>
    <xf numFmtId="0" fontId="34" fillId="8" borderId="422" applyNumberFormat="0" applyAlignment="0" applyProtection="0"/>
    <xf numFmtId="0" fontId="34" fillId="8" borderId="422" applyNumberFormat="0" applyAlignment="0" applyProtection="0"/>
    <xf numFmtId="0" fontId="34" fillId="8" borderId="422" applyNumberFormat="0" applyAlignment="0" applyProtection="0"/>
    <xf numFmtId="0" fontId="86" fillId="0" borderId="444" applyNumberFormat="0" applyFill="0" applyAlignment="0" applyProtection="0">
      <alignment vertical="center"/>
    </xf>
    <xf numFmtId="0" fontId="82" fillId="29" borderId="441" applyNumberFormat="0" applyAlignment="0" applyProtection="0">
      <alignment vertical="center"/>
    </xf>
    <xf numFmtId="0" fontId="82" fillId="29" borderId="441" applyNumberFormat="0" applyAlignment="0" applyProtection="0">
      <alignment vertical="center"/>
    </xf>
    <xf numFmtId="0" fontId="74" fillId="29" borderId="443" applyNumberFormat="0" applyAlignment="0" applyProtection="0">
      <alignment vertical="center"/>
    </xf>
    <xf numFmtId="0" fontId="74" fillId="29" borderId="443" applyNumberFormat="0" applyAlignment="0" applyProtection="0">
      <alignment vertical="center"/>
    </xf>
    <xf numFmtId="0" fontId="2" fillId="37" borderId="442" applyNumberFormat="0" applyFont="0" applyAlignment="0" applyProtection="0">
      <alignment vertical="center"/>
    </xf>
    <xf numFmtId="0" fontId="7" fillId="37" borderId="442" applyNumberFormat="0" applyFont="0" applyAlignment="0" applyProtection="0"/>
    <xf numFmtId="0" fontId="7" fillId="37" borderId="442" applyNumberFormat="0" applyFont="0" applyAlignment="0" applyProtection="0"/>
    <xf numFmtId="0" fontId="46" fillId="29" borderId="425" applyNumberFormat="0" applyAlignment="0" applyProtection="0"/>
    <xf numFmtId="0" fontId="46" fillId="29" borderId="425" applyNumberFormat="0" applyAlignment="0" applyProtection="0"/>
    <xf numFmtId="0" fontId="34" fillId="8" borderId="441" applyNumberFormat="0" applyAlignment="0" applyProtection="0"/>
    <xf numFmtId="0" fontId="34" fillId="8" borderId="441" applyNumberFormat="0" applyAlignment="0" applyProtection="0"/>
    <xf numFmtId="0" fontId="34" fillId="8" borderId="441" applyNumberFormat="0" applyAlignment="0" applyProtection="0"/>
    <xf numFmtId="0" fontId="34" fillId="8" borderId="441" applyNumberFormat="0" applyAlignment="0" applyProtection="0"/>
    <xf numFmtId="0" fontId="34" fillId="8" borderId="441" applyNumberFormat="0" applyAlignment="0" applyProtection="0"/>
    <xf numFmtId="0" fontId="34" fillId="8" borderId="441" applyNumberFormat="0" applyAlignment="0" applyProtection="0"/>
    <xf numFmtId="0" fontId="18" fillId="29" borderId="441" applyNumberFormat="0" applyAlignment="0" applyProtection="0"/>
    <xf numFmtId="41" fontId="3" fillId="0" borderId="0">
      <alignment horizontal="left"/>
    </xf>
    <xf numFmtId="0" fontId="73" fillId="8" borderId="422" applyNumberFormat="0" applyAlignment="0" applyProtection="0">
      <alignment vertical="center"/>
    </xf>
    <xf numFmtId="0" fontId="73" fillId="8" borderId="422" applyNumberFormat="0" applyAlignment="0" applyProtection="0">
      <alignment vertical="center"/>
    </xf>
    <xf numFmtId="0" fontId="74" fillId="29" borderId="425" applyNumberFormat="0" applyAlignment="0" applyProtection="0">
      <alignment vertical="center"/>
    </xf>
    <xf numFmtId="0" fontId="74" fillId="29" borderId="425" applyNumberFormat="0" applyAlignment="0" applyProtection="0">
      <alignment vertical="center"/>
    </xf>
    <xf numFmtId="0" fontId="82" fillId="29" borderId="422" applyNumberFormat="0" applyAlignment="0" applyProtection="0">
      <alignment vertical="center"/>
    </xf>
    <xf numFmtId="0" fontId="82" fillId="29" borderId="422" applyNumberFormat="0" applyAlignment="0" applyProtection="0">
      <alignment vertical="center"/>
    </xf>
    <xf numFmtId="0" fontId="29" fillId="0" borderId="446">
      <alignment horizontal="left" vertical="center"/>
    </xf>
    <xf numFmtId="0" fontId="29" fillId="0" borderId="446">
      <alignment horizontal="left" vertical="center"/>
    </xf>
    <xf numFmtId="0" fontId="25" fillId="81" borderId="442" applyNumberFormat="0" applyAlignment="0" applyProtection="0"/>
    <xf numFmtId="0" fontId="46" fillId="79" borderId="443" applyNumberFormat="0" applyAlignment="0" applyProtection="0"/>
    <xf numFmtId="0" fontId="29" fillId="0" borderId="285">
      <alignment horizontal="left" vertical="center"/>
    </xf>
    <xf numFmtId="0" fontId="73" fillId="8" borderId="441" applyNumberFormat="0" applyAlignment="0" applyProtection="0">
      <alignment vertical="center"/>
    </xf>
    <xf numFmtId="0" fontId="25" fillId="81" borderId="408" applyNumberFormat="0" applyAlignment="0" applyProtection="0"/>
    <xf numFmtId="0" fontId="34" fillId="8" borderId="441" applyNumberFormat="0" applyAlignment="0" applyProtection="0"/>
    <xf numFmtId="43" fontId="3" fillId="0" borderId="0" applyFill="0" applyBorder="0" applyAlignment="0"/>
    <xf numFmtId="43" fontId="3" fillId="0" borderId="0" applyFill="0" applyBorder="0" applyAlignment="0"/>
    <xf numFmtId="0" fontId="34" fillId="66" borderId="441" applyNumberFormat="0" applyAlignment="0" applyProtection="0"/>
    <xf numFmtId="0" fontId="18" fillId="79" borderId="441" applyNumberFormat="0" applyAlignment="0" applyProtection="0"/>
    <xf numFmtId="0" fontId="46" fillId="79" borderId="443" applyNumberFormat="0" applyAlignment="0" applyProtection="0"/>
    <xf numFmtId="0" fontId="25" fillId="81" borderId="442" applyNumberFormat="0" applyAlignment="0" applyProtection="0"/>
    <xf numFmtId="0" fontId="34" fillId="8" borderId="441" applyNumberFormat="0" applyAlignment="0" applyProtection="0"/>
    <xf numFmtId="0" fontId="34" fillId="8" borderId="441" applyNumberFormat="0" applyAlignment="0" applyProtection="0"/>
    <xf numFmtId="0" fontId="34" fillId="8" borderId="441" applyNumberFormat="0" applyAlignment="0" applyProtection="0"/>
    <xf numFmtId="0" fontId="18" fillId="29" borderId="441" applyNumberFormat="0" applyAlignment="0" applyProtection="0"/>
    <xf numFmtId="43" fontId="3" fillId="0" borderId="0" applyFill="0" applyBorder="0" applyAlignment="0"/>
    <xf numFmtId="0" fontId="34" fillId="66" borderId="441" applyNumberFormat="0" applyAlignment="0" applyProtection="0"/>
    <xf numFmtId="0" fontId="25" fillId="81" borderId="408" applyNumberFormat="0" applyAlignment="0" applyProtection="0"/>
    <xf numFmtId="0" fontId="29" fillId="0" borderId="446">
      <alignment horizontal="left" vertical="center"/>
    </xf>
    <xf numFmtId="43" fontId="3" fillId="0" borderId="0" applyFill="0" applyBorder="0" applyAlignment="0"/>
    <xf numFmtId="0" fontId="25" fillId="81" borderId="408" applyNumberFormat="0" applyAlignment="0" applyProtection="0"/>
    <xf numFmtId="0" fontId="73" fillId="8" borderId="441" applyNumberFormat="0" applyAlignment="0" applyProtection="0">
      <alignment vertical="center"/>
    </xf>
    <xf numFmtId="0" fontId="29" fillId="0" borderId="285">
      <alignment horizontal="left" vertical="center"/>
    </xf>
    <xf numFmtId="0" fontId="25" fillId="81" borderId="442" applyNumberFormat="0" applyAlignment="0" applyProtection="0"/>
    <xf numFmtId="0" fontId="46" fillId="29" borderId="443" applyNumberFormat="0" applyAlignment="0" applyProtection="0"/>
    <xf numFmtId="2" fontId="148" fillId="0" borderId="440" applyFont="0" applyBorder="0" applyAlignment="0" applyProtection="0">
      <alignment horizontal="right"/>
    </xf>
    <xf numFmtId="0" fontId="29" fillId="0" borderId="285">
      <alignment horizontal="left" vertical="center"/>
    </xf>
    <xf numFmtId="0" fontId="18" fillId="79" borderId="441" applyNumberFormat="0" applyAlignment="0" applyProtection="0"/>
    <xf numFmtId="43" fontId="3" fillId="0" borderId="0" applyFill="0" applyBorder="0" applyAlignment="0"/>
    <xf numFmtId="0" fontId="34" fillId="66" borderId="441" applyNumberFormat="0" applyAlignment="0" applyProtection="0"/>
    <xf numFmtId="43" fontId="3" fillId="0" borderId="0" applyFill="0" applyBorder="0" applyAlignment="0"/>
    <xf numFmtId="0" fontId="3" fillId="0" borderId="0"/>
    <xf numFmtId="0" fontId="18" fillId="79" borderId="422" applyNumberFormat="0" applyAlignment="0" applyProtection="0"/>
    <xf numFmtId="43" fontId="3" fillId="0" borderId="0" applyFont="0" applyFill="0" applyBorder="0" applyAlignment="0" applyProtection="0"/>
    <xf numFmtId="0" fontId="29" fillId="0" borderId="285">
      <alignment horizontal="left" vertical="center"/>
    </xf>
    <xf numFmtId="0" fontId="34" fillId="66" borderId="422" applyNumberFormat="0" applyAlignment="0" applyProtection="0"/>
    <xf numFmtId="0" fontId="25" fillId="81" borderId="408" applyNumberFormat="0" applyAlignment="0" applyProtection="0"/>
    <xf numFmtId="0" fontId="46" fillId="79" borderId="425" applyNumberFormat="0" applyAlignment="0" applyProtection="0"/>
    <xf numFmtId="43" fontId="1" fillId="0" borderId="0" applyFont="0" applyFill="0" applyBorder="0" applyAlignment="0" applyProtection="0"/>
    <xf numFmtId="43" fontId="3" fillId="0" borderId="0" applyFill="0" applyBorder="0" applyAlignment="0"/>
    <xf numFmtId="43" fontId="3" fillId="0" borderId="0" applyFill="0" applyBorder="0" applyAlignment="0"/>
    <xf numFmtId="0" fontId="2" fillId="37" borderId="408" applyNumberFormat="0" applyFont="0" applyAlignment="0" applyProtection="0">
      <alignment vertical="center"/>
    </xf>
    <xf numFmtId="0" fontId="73" fillId="8" borderId="422" applyNumberFormat="0" applyAlignment="0" applyProtection="0">
      <alignment vertical="center"/>
    </xf>
    <xf numFmtId="0" fontId="74" fillId="29" borderId="425" applyNumberFormat="0" applyAlignment="0" applyProtection="0">
      <alignment vertical="center"/>
    </xf>
    <xf numFmtId="0" fontId="82" fillId="29" borderId="422" applyNumberFormat="0" applyAlignment="0" applyProtection="0">
      <alignment vertical="center"/>
    </xf>
    <xf numFmtId="0" fontId="34" fillId="8" borderId="422" applyNumberFormat="0" applyAlignment="0" applyProtection="0"/>
    <xf numFmtId="0" fontId="34" fillId="8" borderId="422" applyNumberFormat="0" applyAlignment="0" applyProtection="0"/>
    <xf numFmtId="0" fontId="34" fillId="8" borderId="422" applyNumberFormat="0" applyAlignment="0" applyProtection="0"/>
    <xf numFmtId="0" fontId="34" fillId="8" borderId="422" applyNumberFormat="0" applyAlignment="0" applyProtection="0"/>
    <xf numFmtId="0" fontId="34" fillId="8" borderId="422" applyNumberFormat="0" applyAlignment="0" applyProtection="0"/>
    <xf numFmtId="43" fontId="43"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0" fontId="18" fillId="29" borderId="422" applyNumberFormat="0" applyAlignment="0" applyProtection="0"/>
    <xf numFmtId="41"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ill="0" applyBorder="0" applyAlignment="0" applyProtection="0"/>
    <xf numFmtId="0" fontId="34" fillId="8" borderId="422" applyNumberFormat="0" applyAlignment="0" applyProtection="0"/>
    <xf numFmtId="0" fontId="34" fillId="8" borderId="422" applyNumberFormat="0" applyAlignment="0" applyProtection="0"/>
    <xf numFmtId="0" fontId="34" fillId="8" borderId="422" applyNumberFormat="0" applyAlignment="0" applyProtection="0"/>
    <xf numFmtId="0" fontId="34" fillId="8" borderId="422" applyNumberFormat="0" applyAlignment="0" applyProtection="0"/>
    <xf numFmtId="0" fontId="34" fillId="8" borderId="422" applyNumberFormat="0" applyAlignment="0" applyProtection="0"/>
    <xf numFmtId="0" fontId="34" fillId="8" borderId="422" applyNumberFormat="0" applyAlignment="0" applyProtection="0"/>
    <xf numFmtId="0" fontId="46" fillId="29" borderId="425" applyNumberFormat="0" applyAlignment="0" applyProtection="0"/>
    <xf numFmtId="0" fontId="73" fillId="8" borderId="422" applyNumberFormat="0" applyAlignment="0" applyProtection="0">
      <alignment vertical="center"/>
    </xf>
    <xf numFmtId="0" fontId="74" fillId="29" borderId="425" applyNumberFormat="0" applyAlignment="0" applyProtection="0">
      <alignment vertical="center"/>
    </xf>
    <xf numFmtId="0" fontId="82" fillId="29" borderId="422" applyNumberFormat="0" applyAlignment="0" applyProtection="0">
      <alignment vertical="center"/>
    </xf>
    <xf numFmtId="43" fontId="1" fillId="0" borderId="0" applyFont="0" applyFill="0" applyBorder="0" applyAlignment="0" applyProtection="0"/>
    <xf numFmtId="43" fontId="1" fillId="0" borderId="0" applyFont="0" applyFill="0" applyBorder="0" applyAlignment="0" applyProtection="0"/>
    <xf numFmtId="2" fontId="148" fillId="0" borderId="440" applyFont="0" applyBorder="0" applyAlignment="0" applyProtection="0">
      <alignment horizontal="right"/>
    </xf>
    <xf numFmtId="43" fontId="1" fillId="0" borderId="0" applyFont="0" applyFill="0" applyBorder="0" applyAlignment="0" applyProtection="0"/>
    <xf numFmtId="43" fontId="3" fillId="0" borderId="0" applyFont="0" applyFill="0" applyBorder="0" applyAlignment="0" applyProtection="0"/>
    <xf numFmtId="0" fontId="24" fillId="0" borderId="444" applyNumberFormat="0" applyFill="0" applyAlignment="0" applyProtection="0"/>
    <xf numFmtId="43" fontId="3" fillId="0" borderId="0" applyFont="0" applyFill="0" applyBorder="0" applyAlignment="0" applyProtection="0"/>
    <xf numFmtId="0" fontId="29" fillId="0" borderId="439">
      <alignment horizontal="left" vertical="center"/>
    </xf>
    <xf numFmtId="0" fontId="29" fillId="0" borderId="439">
      <alignment horizontal="left" vertical="center"/>
    </xf>
    <xf numFmtId="0" fontId="86" fillId="0" borderId="444" applyNumberFormat="0" applyFill="0" applyAlignment="0" applyProtection="0">
      <alignment vertical="center"/>
    </xf>
    <xf numFmtId="0" fontId="2" fillId="37" borderId="442" applyNumberFormat="0" applyFont="0" applyAlignment="0" applyProtection="0">
      <alignment vertical="center"/>
    </xf>
    <xf numFmtId="0" fontId="46" fillId="29" borderId="443" applyNumberFormat="0" applyAlignment="0" applyProtection="0"/>
    <xf numFmtId="0" fontId="34" fillId="8" borderId="441" applyNumberFormat="0" applyAlignment="0" applyProtection="0"/>
    <xf numFmtId="43" fontId="1" fillId="0" borderId="0" applyFont="0" applyFill="0" applyBorder="0" applyAlignment="0" applyProtection="0"/>
    <xf numFmtId="0" fontId="3" fillId="0" borderId="0"/>
    <xf numFmtId="43" fontId="3" fillId="0" borderId="0" applyFont="0" applyFill="0" applyBorder="0" applyAlignment="0" applyProtection="0"/>
    <xf numFmtId="0" fontId="34" fillId="8" borderId="441" applyNumberFormat="0" applyAlignment="0" applyProtection="0"/>
    <xf numFmtId="9" fontId="1" fillId="0" borderId="0" applyFont="0" applyFill="0" applyBorder="0" applyAlignment="0" applyProtection="0"/>
    <xf numFmtId="43" fontId="1" fillId="0" borderId="0" applyFont="0" applyFill="0" applyBorder="0" applyAlignment="0" applyProtection="0"/>
    <xf numFmtId="9" fontId="3" fillId="0" borderId="0" applyFont="0" applyFill="0" applyBorder="0" applyAlignment="0" applyProtection="0"/>
    <xf numFmtId="0" fontId="3" fillId="0" borderId="0"/>
    <xf numFmtId="0" fontId="43" fillId="0" borderId="0"/>
    <xf numFmtId="0" fontId="24" fillId="0" borderId="444" applyNumberFormat="0" applyFill="0" applyAlignment="0" applyProtection="0"/>
    <xf numFmtId="43" fontId="1" fillId="0" borderId="0" applyFont="0" applyFill="0" applyBorder="0" applyAlignment="0" applyProtection="0"/>
    <xf numFmtId="0" fontId="166" fillId="0" borderId="0"/>
    <xf numFmtId="0" fontId="34" fillId="86" borderId="451" applyNumberFormat="0" applyAlignment="0" applyProtection="0"/>
    <xf numFmtId="249" fontId="3" fillId="0" borderId="0" applyFill="0" applyBorder="0" applyAlignment="0"/>
    <xf numFmtId="222" fontId="168" fillId="0" borderId="0" applyFont="0" applyFill="0" applyBorder="0" applyAlignment="0" applyProtection="0"/>
    <xf numFmtId="43" fontId="3" fillId="0" borderId="0" applyFont="0" applyFill="0" applyBorder="0" applyAlignment="0" applyProtection="0"/>
    <xf numFmtId="0" fontId="25" fillId="81" borderId="469" applyNumberFormat="0" applyAlignment="0" applyProtection="0"/>
    <xf numFmtId="2" fontId="174" fillId="0" borderId="509" applyFont="0" applyBorder="0" applyAlignment="0" applyProtection="0">
      <alignment horizontal="right"/>
    </xf>
    <xf numFmtId="0" fontId="29" fillId="0" borderId="588">
      <alignment horizontal="left" vertical="center"/>
    </xf>
    <xf numFmtId="0" fontId="25" fillId="81" borderId="478" applyNumberFormat="0" applyAlignment="0" applyProtection="0"/>
    <xf numFmtId="0" fontId="34" fillId="86" borderId="504" applyNumberFormat="0" applyAlignment="0" applyProtection="0"/>
    <xf numFmtId="0" fontId="46" fillId="31" borderId="506" applyNumberFormat="0" applyAlignment="0" applyProtection="0"/>
    <xf numFmtId="0" fontId="34" fillId="86" borderId="602" applyNumberFormat="0" applyAlignment="0" applyProtection="0"/>
    <xf numFmtId="0" fontId="185" fillId="0" borderId="492" applyNumberFormat="0" applyFont="0">
      <alignment horizontal="center" vertical="center"/>
    </xf>
    <xf numFmtId="0" fontId="34" fillId="86" borderId="587" applyNumberFormat="0" applyAlignment="0" applyProtection="0"/>
    <xf numFmtId="216" fontId="168" fillId="0" borderId="0" applyFont="0" applyFill="0" applyBorder="0" applyAlignment="0" applyProtection="0"/>
    <xf numFmtId="0" fontId="46" fillId="79" borderId="453" applyNumberFormat="0" applyAlignment="0" applyProtection="0"/>
    <xf numFmtId="249" fontId="3" fillId="0" borderId="0" applyFill="0" applyBorder="0" applyAlignment="0"/>
    <xf numFmtId="9" fontId="168" fillId="0" borderId="0" applyFont="0" applyFill="0" applyBorder="0" applyAlignment="0" applyProtection="0">
      <alignment vertical="center"/>
    </xf>
    <xf numFmtId="0" fontId="18" fillId="31" borderId="451" applyNumberFormat="0" applyAlignment="0" applyProtection="0"/>
    <xf numFmtId="249" fontId="3" fillId="0" borderId="0" applyFill="0" applyBorder="0" applyAlignment="0"/>
    <xf numFmtId="2" fontId="174" fillId="0" borderId="491" applyFont="0" applyBorder="0" applyAlignment="0" applyProtection="0">
      <alignment horizontal="right"/>
    </xf>
    <xf numFmtId="0" fontId="29" fillId="0" borderId="489">
      <alignment horizontal="left" vertical="center"/>
    </xf>
    <xf numFmtId="43" fontId="3" fillId="0" borderId="0" applyFill="0" applyBorder="0" applyAlignment="0"/>
    <xf numFmtId="0" fontId="34" fillId="86" borderId="477" applyNumberFormat="0" applyAlignment="0" applyProtection="0"/>
    <xf numFmtId="0" fontId="29" fillId="0" borderId="565">
      <alignment horizontal="left" vertical="center"/>
    </xf>
    <xf numFmtId="0" fontId="172" fillId="0" borderId="0"/>
    <xf numFmtId="0" fontId="29" fillId="0" borderId="567" applyNumberFormat="0" applyAlignment="0" applyProtection="0"/>
    <xf numFmtId="0" fontId="34" fillId="86" borderId="555" applyNumberFormat="0" applyAlignment="0" applyProtection="0"/>
    <xf numFmtId="0" fontId="202" fillId="31" borderId="504" applyNumberFormat="0" applyAlignment="0" applyProtection="0">
      <alignment vertical="center"/>
    </xf>
    <xf numFmtId="0" fontId="29" fillId="0" borderId="476" applyNumberFormat="0" applyAlignment="0" applyProtection="0"/>
    <xf numFmtId="0" fontId="7" fillId="35" borderId="589" applyNumberFormat="0" applyFont="0" applyAlignment="0" applyProtection="0"/>
    <xf numFmtId="0" fontId="34" fillId="86" borderId="631" applyNumberFormat="0" applyAlignment="0" applyProtection="0"/>
    <xf numFmtId="0" fontId="176" fillId="0" borderId="148">
      <alignment horizontal="center"/>
    </xf>
    <xf numFmtId="228" fontId="168" fillId="0" borderId="0" applyFont="0" applyFill="0" applyBorder="0" applyAlignment="0" applyProtection="0"/>
    <xf numFmtId="0" fontId="25" fillId="81" borderId="589" applyNumberFormat="0" applyAlignment="0" applyProtection="0"/>
    <xf numFmtId="0" fontId="25" fillId="81" borderId="569" applyNumberFormat="0" applyAlignment="0" applyProtection="0"/>
    <xf numFmtId="0" fontId="195" fillId="0" borderId="500" applyNumberFormat="0" applyFill="0" applyAlignment="0" applyProtection="0">
      <alignment vertical="center"/>
    </xf>
    <xf numFmtId="0" fontId="34" fillId="86" borderId="477" applyNumberFormat="0" applyAlignment="0" applyProtection="0"/>
    <xf numFmtId="0" fontId="178" fillId="86" borderId="579" applyNumberFormat="0" applyAlignment="0" applyProtection="0">
      <alignment vertical="center"/>
    </xf>
    <xf numFmtId="0" fontId="29" fillId="0" borderId="494" applyNumberFormat="0" applyAlignment="0" applyProtection="0"/>
    <xf numFmtId="0" fontId="171" fillId="87" borderId="0" applyNumberFormat="0" applyBorder="0" applyAlignment="0" applyProtection="0">
      <alignment vertical="center"/>
    </xf>
    <xf numFmtId="0" fontId="29" fillId="0" borderId="626">
      <alignment horizontal="left" vertical="center"/>
    </xf>
    <xf numFmtId="0" fontId="34" fillId="86" borderId="504" applyNumberFormat="0" applyAlignment="0" applyProtection="0"/>
    <xf numFmtId="0" fontId="183" fillId="0" borderId="0" applyNumberFormat="0" applyFill="0" applyBorder="0" applyAlignment="0" applyProtection="0"/>
    <xf numFmtId="0" fontId="34" fillId="86" borderId="629" applyNumberFormat="0" applyAlignment="0" applyProtection="0"/>
    <xf numFmtId="43" fontId="3" fillId="0" borderId="0" applyFont="0" applyFill="0" applyBorder="0" applyAlignment="0" applyProtection="0"/>
    <xf numFmtId="0" fontId="29" fillId="0" borderId="461" applyNumberFormat="0" applyAlignment="0" applyProtection="0"/>
    <xf numFmtId="0" fontId="29" fillId="0" borderId="571">
      <alignment horizontal="left" vertical="center"/>
    </xf>
    <xf numFmtId="0" fontId="29" fillId="0" borderId="461" applyNumberFormat="0" applyAlignment="0" applyProtection="0"/>
    <xf numFmtId="0" fontId="34" fillId="86" borderId="555" applyNumberFormat="0" applyAlignment="0" applyProtection="0"/>
    <xf numFmtId="0" fontId="168" fillId="0" borderId="0"/>
    <xf numFmtId="0" fontId="34" fillId="86" borderId="585" applyNumberFormat="0" applyAlignment="0" applyProtection="0"/>
    <xf numFmtId="205" fontId="174" fillId="0" borderId="0" applyFont="0" applyFill="0" applyBorder="0" applyProtection="0">
      <alignment horizontal="right"/>
    </xf>
    <xf numFmtId="0" fontId="34" fillId="86" borderId="592" applyNumberFormat="0" applyAlignment="0" applyProtection="0"/>
    <xf numFmtId="0" fontId="168" fillId="0" borderId="0"/>
    <xf numFmtId="0" fontId="168" fillId="0" borderId="0"/>
    <xf numFmtId="10" fontId="174" fillId="0" borderId="0" applyFont="0" applyFill="0" applyBorder="0" applyProtection="0">
      <alignment horizontal="right"/>
    </xf>
    <xf numFmtId="0" fontId="46" fillId="31" borderId="595" applyNumberFormat="0" applyAlignment="0" applyProtection="0"/>
    <xf numFmtId="9" fontId="168" fillId="0" borderId="0" applyFont="0" applyFill="0" applyBorder="0" applyAlignment="0" applyProtection="0">
      <alignment vertical="center"/>
    </xf>
    <xf numFmtId="9" fontId="168" fillId="0" borderId="0" applyFont="0" applyFill="0" applyBorder="0" applyAlignment="0" applyProtection="0">
      <alignment vertical="center"/>
    </xf>
    <xf numFmtId="215" fontId="180" fillId="0" borderId="0" applyFont="0" applyFill="0" applyBorder="0" applyAlignment="0" applyProtection="0"/>
    <xf numFmtId="0" fontId="7" fillId="35" borderId="548" applyNumberFormat="0" applyFont="0" applyAlignment="0" applyProtection="0"/>
    <xf numFmtId="0" fontId="34" fillId="66" borderId="602" applyNumberFormat="0" applyAlignment="0" applyProtection="0"/>
    <xf numFmtId="0" fontId="174" fillId="0" borderId="0" applyFont="0" applyFill="0" applyBorder="0" applyProtection="0">
      <alignment horizontal="right"/>
    </xf>
    <xf numFmtId="0" fontId="29" fillId="0" borderId="476" applyNumberFormat="0" applyAlignment="0" applyProtection="0"/>
    <xf numFmtId="0" fontId="2" fillId="37" borderId="657" applyNumberFormat="0" applyFont="0" applyAlignment="0" applyProtection="0">
      <alignment vertical="center"/>
    </xf>
    <xf numFmtId="9" fontId="168" fillId="0" borderId="0" applyFont="0" applyFill="0" applyBorder="0" applyAlignment="0" applyProtection="0">
      <alignment vertical="center"/>
    </xf>
    <xf numFmtId="218" fontId="180" fillId="0" borderId="0" applyFont="0" applyFill="0" applyBorder="0" applyAlignment="0" applyProtection="0"/>
    <xf numFmtId="219" fontId="168" fillId="0" borderId="0" applyFont="0" applyFill="0" applyBorder="0" applyAlignment="0" applyProtection="0"/>
    <xf numFmtId="0" fontId="34" fillId="86" borderId="636" applyNumberFormat="0" applyAlignment="0" applyProtection="0"/>
    <xf numFmtId="0" fontId="25" fillId="81" borderId="505" applyNumberFormat="0" applyAlignment="0" applyProtection="0"/>
    <xf numFmtId="0" fontId="34" fillId="86" borderId="514" applyNumberFormat="0" applyAlignment="0" applyProtection="0"/>
    <xf numFmtId="0" fontId="29" fillId="0" borderId="455">
      <alignment horizontal="left" vertical="center"/>
    </xf>
    <xf numFmtId="0" fontId="29" fillId="0" borderId="615">
      <alignment horizontal="left" vertical="center"/>
    </xf>
    <xf numFmtId="0" fontId="18" fillId="31" borderId="602" applyNumberFormat="0" applyAlignment="0" applyProtection="0"/>
    <xf numFmtId="0" fontId="7" fillId="92" borderId="0" applyNumberFormat="0" applyBorder="0" applyAlignment="0" applyProtection="0"/>
    <xf numFmtId="2" fontId="174" fillId="0" borderId="448" applyFont="0" applyBorder="0" applyAlignment="0" applyProtection="0">
      <alignment horizontal="right"/>
    </xf>
    <xf numFmtId="0" fontId="7" fillId="88" borderId="0" applyNumberFormat="0" applyBorder="0" applyAlignment="0" applyProtection="0"/>
    <xf numFmtId="0" fontId="168" fillId="0" borderId="0">
      <alignment vertical="center"/>
    </xf>
    <xf numFmtId="0" fontId="34" fillId="86" borderId="451" applyNumberFormat="0" applyAlignment="0" applyProtection="0"/>
    <xf numFmtId="0" fontId="185" fillId="0" borderId="553" applyNumberFormat="0" applyFont="0">
      <alignment horizontal="center" vertical="center"/>
    </xf>
    <xf numFmtId="0" fontId="18" fillId="79" borderId="496" applyNumberFormat="0" applyAlignment="0" applyProtection="0"/>
    <xf numFmtId="0" fontId="34" fillId="66" borderId="486" applyNumberFormat="0" applyAlignment="0" applyProtection="0"/>
    <xf numFmtId="0" fontId="34" fillId="86" borderId="623" applyNumberFormat="0" applyAlignment="0" applyProtection="0"/>
    <xf numFmtId="0" fontId="24" fillId="0" borderId="466" applyNumberFormat="0" applyFill="0" applyAlignment="0" applyProtection="0"/>
    <xf numFmtId="0" fontId="7" fillId="35" borderId="487" applyNumberFormat="0" applyFont="0" applyAlignment="0" applyProtection="0"/>
    <xf numFmtId="0" fontId="34" fillId="86" borderId="526" applyNumberFormat="0" applyAlignment="0" applyProtection="0"/>
    <xf numFmtId="9" fontId="168" fillId="0" borderId="0" applyFont="0" applyFill="0" applyBorder="0" applyAlignment="0" applyProtection="0">
      <alignment vertical="center"/>
    </xf>
    <xf numFmtId="9" fontId="168" fillId="0" borderId="0" applyFont="0" applyFill="0" applyBorder="0" applyAlignment="0" applyProtection="0">
      <alignment vertical="center"/>
    </xf>
    <xf numFmtId="0" fontId="34" fillId="86" borderId="602" applyNumberFormat="0" applyAlignment="0" applyProtection="0"/>
    <xf numFmtId="0" fontId="34" fillId="66" borderId="514" applyNumberFormat="0" applyAlignment="0" applyProtection="0"/>
    <xf numFmtId="0" fontId="7" fillId="93" borderId="0" applyNumberFormat="0" applyBorder="0" applyAlignment="0" applyProtection="0"/>
    <xf numFmtId="0" fontId="181" fillId="0" borderId="8" applyNumberFormat="0" applyFill="0" applyAlignment="0" applyProtection="0">
      <alignment vertical="center"/>
    </xf>
    <xf numFmtId="221" fontId="168" fillId="0" borderId="0" applyFont="0" applyFill="0" applyBorder="0" applyAlignment="0" applyProtection="0"/>
    <xf numFmtId="0" fontId="191" fillId="0" borderId="9" applyNumberFormat="0" applyFill="0" applyAlignment="0" applyProtection="0">
      <alignment vertical="center"/>
    </xf>
    <xf numFmtId="2" fontId="174" fillId="0" borderId="522" applyFont="0" applyBorder="0" applyAlignment="0" applyProtection="0">
      <alignment horizontal="right"/>
    </xf>
    <xf numFmtId="223" fontId="168" fillId="0" borderId="0" applyFont="0" applyFill="0" applyBorder="0" applyAlignment="0" applyProtection="0"/>
    <xf numFmtId="0" fontId="18" fillId="79" borderId="468" applyNumberFormat="0" applyAlignment="0" applyProtection="0"/>
    <xf numFmtId="0" fontId="46" fillId="79" borderId="528" applyNumberFormat="0" applyAlignment="0" applyProtection="0"/>
    <xf numFmtId="224" fontId="168" fillId="0" borderId="0" applyFont="0" applyFill="0" applyBorder="0" applyAlignment="0" applyProtection="0"/>
    <xf numFmtId="0" fontId="46" fillId="79" borderId="516" applyNumberFormat="0" applyAlignment="0" applyProtection="0"/>
    <xf numFmtId="0" fontId="34" fillId="86" borderId="607" applyNumberFormat="0" applyAlignment="0" applyProtection="0"/>
    <xf numFmtId="40" fontId="180" fillId="0" borderId="0" applyFont="0" applyFill="0" applyBorder="0" applyAlignment="0" applyProtection="0"/>
    <xf numFmtId="222" fontId="168" fillId="0" borderId="0" applyFont="0" applyFill="0" applyBorder="0" applyAlignment="0" applyProtection="0"/>
    <xf numFmtId="0" fontId="24" fillId="0" borderId="572" applyNumberFormat="0" applyFill="0" applyAlignment="0" applyProtection="0"/>
    <xf numFmtId="0" fontId="168" fillId="35" borderId="478" applyNumberFormat="0" applyFont="0" applyAlignment="0" applyProtection="0">
      <alignment vertical="center"/>
    </xf>
    <xf numFmtId="0" fontId="29" fillId="0" borderId="647">
      <alignment horizontal="left" vertical="center"/>
    </xf>
    <xf numFmtId="0" fontId="25" fillId="81" borderId="469" applyNumberFormat="0" applyAlignment="0" applyProtection="0"/>
    <xf numFmtId="223" fontId="168" fillId="0" borderId="0" applyFont="0" applyFill="0" applyBorder="0" applyAlignment="0" applyProtection="0"/>
    <xf numFmtId="224" fontId="168" fillId="0" borderId="0" applyFont="0" applyFill="0" applyBorder="0" applyAlignment="0" applyProtection="0"/>
    <xf numFmtId="0" fontId="34" fillId="86" borderId="636" applyNumberFormat="0" applyAlignment="0" applyProtection="0"/>
    <xf numFmtId="0" fontId="169" fillId="85" borderId="3" applyNumberFormat="0" applyAlignment="0" applyProtection="0">
      <alignment vertical="center"/>
    </xf>
    <xf numFmtId="0" fontId="202" fillId="31" borderId="526" applyNumberFormat="0" applyAlignment="0" applyProtection="0">
      <alignment vertical="center"/>
    </xf>
    <xf numFmtId="225" fontId="168" fillId="0" borderId="0" applyFont="0" applyFill="0" applyBorder="0" applyAlignment="0" applyProtection="0"/>
    <xf numFmtId="0" fontId="178" fillId="86" borderId="451" applyNumberFormat="0" applyAlignment="0" applyProtection="0">
      <alignment vertical="center"/>
    </xf>
    <xf numFmtId="43" fontId="1" fillId="0" borderId="0" applyFont="0" applyFill="0" applyBorder="0" applyAlignment="0" applyProtection="0"/>
    <xf numFmtId="0" fontId="46" fillId="79" borderId="520" applyNumberFormat="0" applyAlignment="0" applyProtection="0"/>
    <xf numFmtId="0" fontId="7" fillId="35" borderId="599" applyNumberFormat="0" applyFont="0" applyAlignment="0" applyProtection="0"/>
    <xf numFmtId="0" fontId="34" fillId="66" borderId="592" applyNumberFormat="0" applyAlignment="0" applyProtection="0"/>
    <xf numFmtId="0" fontId="18" fillId="79" borderId="568" applyNumberFormat="0" applyAlignment="0" applyProtection="0"/>
    <xf numFmtId="0" fontId="178" fillId="86" borderId="526" applyNumberFormat="0" applyAlignment="0" applyProtection="0">
      <alignment vertical="center"/>
    </xf>
    <xf numFmtId="164" fontId="168" fillId="0" borderId="0" applyFont="0" applyFill="0" applyBorder="0" applyAlignment="0" applyProtection="0"/>
    <xf numFmtId="226" fontId="168" fillId="0" borderId="0" applyFont="0" applyFill="0" applyBorder="0" applyAlignment="0" applyProtection="0"/>
    <xf numFmtId="0" fontId="34" fillId="66" borderId="607" applyNumberFormat="0" applyAlignment="0" applyProtection="0"/>
    <xf numFmtId="0" fontId="18" fillId="31" borderId="462" applyNumberFormat="0" applyAlignment="0" applyProtection="0"/>
    <xf numFmtId="0" fontId="34" fillId="66" borderId="538" applyNumberFormat="0" applyAlignment="0" applyProtection="0"/>
    <xf numFmtId="0" fontId="29" fillId="0" borderId="489">
      <alignment horizontal="left" vertical="center"/>
    </xf>
    <xf numFmtId="0" fontId="24" fillId="0" borderId="521" applyNumberFormat="0" applyFill="0" applyAlignment="0" applyProtection="0"/>
    <xf numFmtId="164" fontId="168" fillId="0" borderId="0" applyFont="0" applyFill="0" applyBorder="0" applyAlignment="0" applyProtection="0"/>
    <xf numFmtId="226" fontId="168" fillId="0" borderId="0" applyFont="0" applyFill="0" applyBorder="0" applyAlignment="0" applyProtection="0"/>
    <xf numFmtId="0" fontId="34" fillId="86" borderId="607" applyNumberFormat="0" applyAlignment="0" applyProtection="0"/>
    <xf numFmtId="0" fontId="34" fillId="86" borderId="568" applyNumberFormat="0" applyAlignment="0" applyProtection="0"/>
    <xf numFmtId="0" fontId="178" fillId="86" borderId="514" applyNumberFormat="0" applyAlignment="0" applyProtection="0">
      <alignment vertical="center"/>
    </xf>
    <xf numFmtId="0" fontId="34" fillId="86" borderId="629" applyNumberFormat="0" applyAlignment="0" applyProtection="0"/>
    <xf numFmtId="0" fontId="34" fillId="86" borderId="486" applyNumberFormat="0" applyAlignment="0" applyProtection="0"/>
    <xf numFmtId="0" fontId="195" fillId="0" borderId="518" applyNumberFormat="0" applyFill="0" applyAlignment="0" applyProtection="0">
      <alignment vertical="center"/>
    </xf>
    <xf numFmtId="0" fontId="18" fillId="79" borderId="462" applyNumberFormat="0" applyAlignment="0" applyProtection="0"/>
    <xf numFmtId="228" fontId="168" fillId="0" borderId="0" applyFont="0" applyFill="0" applyBorder="0" applyAlignment="0" applyProtection="0"/>
    <xf numFmtId="0" fontId="34" fillId="86" borderId="451" applyNumberFormat="0" applyAlignment="0" applyProtection="0"/>
    <xf numFmtId="38" fontId="168" fillId="0" borderId="0" applyFont="0" applyFill="0" applyBorder="0" applyAlignment="0" applyProtection="0">
      <alignment vertical="center"/>
    </xf>
    <xf numFmtId="0" fontId="195" fillId="0" borderId="481" applyNumberFormat="0" applyFill="0" applyAlignment="0" applyProtection="0">
      <alignment vertical="center"/>
    </xf>
    <xf numFmtId="0" fontId="25" fillId="81" borderId="452" applyNumberFormat="0" applyAlignment="0" applyProtection="0"/>
    <xf numFmtId="228" fontId="168" fillId="0" borderId="0" applyFont="0" applyFill="0" applyBorder="0" applyAlignment="0" applyProtection="0"/>
    <xf numFmtId="0" fontId="25" fillId="81" borderId="548" applyNumberFormat="0" applyAlignment="0" applyProtection="0"/>
    <xf numFmtId="229" fontId="168" fillId="0" borderId="0" applyFont="0" applyFill="0" applyBorder="0" applyAlignment="0" applyProtection="0"/>
    <xf numFmtId="0" fontId="24" fillId="0" borderId="472" applyNumberFormat="0" applyFill="0" applyAlignment="0" applyProtection="0"/>
    <xf numFmtId="0" fontId="34" fillId="86" borderId="592" applyNumberFormat="0" applyAlignment="0" applyProtection="0"/>
    <xf numFmtId="0" fontId="34" fillId="66" borderId="468" applyNumberFormat="0" applyAlignment="0" applyProtection="0"/>
    <xf numFmtId="230" fontId="179" fillId="0" borderId="0" applyFont="0" applyFill="0" applyBorder="0" applyAlignment="0" applyProtection="0"/>
    <xf numFmtId="248" fontId="3" fillId="0" borderId="456">
      <alignment vertical="center"/>
    </xf>
    <xf numFmtId="231" fontId="170" fillId="0" borderId="0" applyFont="0" applyFill="0" applyBorder="0" applyAlignment="0" applyProtection="0"/>
    <xf numFmtId="0" fontId="18" fillId="31" borderId="597" applyNumberFormat="0" applyAlignment="0" applyProtection="0"/>
    <xf numFmtId="231" fontId="170" fillId="0" borderId="0" applyFont="0" applyFill="0" applyBorder="0" applyAlignment="0" applyProtection="0"/>
    <xf numFmtId="232" fontId="170" fillId="0" borderId="0" applyFont="0" applyFill="0" applyBorder="0" applyAlignment="0" applyProtection="0"/>
    <xf numFmtId="0" fontId="34" fillId="66" borderId="597" applyNumberFormat="0" applyAlignment="0" applyProtection="0"/>
    <xf numFmtId="228" fontId="168" fillId="0" borderId="0" applyFont="0" applyFill="0" applyBorder="0" applyAlignment="0" applyProtection="0"/>
    <xf numFmtId="0" fontId="34" fillId="86" borderId="555" applyNumberFormat="0" applyAlignment="0" applyProtection="0"/>
    <xf numFmtId="228" fontId="168" fillId="0" borderId="0" applyFont="0" applyFill="0" applyBorder="0" applyAlignment="0" applyProtection="0"/>
    <xf numFmtId="233" fontId="168" fillId="0" borderId="0" applyFont="0" applyFill="0" applyBorder="0" applyAlignment="0" applyProtection="0"/>
    <xf numFmtId="0" fontId="168" fillId="35" borderId="452" applyNumberFormat="0" applyFont="0" applyAlignment="0" applyProtection="0">
      <alignment vertical="center"/>
    </xf>
    <xf numFmtId="0" fontId="34" fillId="66" borderId="504" applyNumberFormat="0" applyAlignment="0" applyProtection="0"/>
    <xf numFmtId="234" fontId="168" fillId="0" borderId="0" applyFont="0" applyFill="0" applyBorder="0" applyAlignment="0" applyProtection="0"/>
    <xf numFmtId="0" fontId="168" fillId="35" borderId="657" applyNumberFormat="0" applyFont="0" applyAlignment="0" applyProtection="0">
      <alignment vertical="center"/>
    </xf>
    <xf numFmtId="0" fontId="34" fillId="86" borderId="607" applyNumberFormat="0" applyAlignment="0" applyProtection="0"/>
    <xf numFmtId="211" fontId="179" fillId="0" borderId="0">
      <alignment horizontal="center"/>
    </xf>
    <xf numFmtId="0" fontId="168" fillId="35" borderId="505" applyNumberFormat="0" applyFont="0" applyAlignment="0" applyProtection="0">
      <alignment vertical="center"/>
    </xf>
    <xf numFmtId="0" fontId="34" fillId="66" borderId="496" applyNumberFormat="0" applyAlignment="0" applyProtection="0"/>
    <xf numFmtId="0" fontId="18" fillId="79" borderId="555" applyNumberFormat="0" applyAlignment="0" applyProtection="0"/>
    <xf numFmtId="0" fontId="46" fillId="79" borderId="470" applyNumberFormat="0" applyAlignment="0" applyProtection="0"/>
    <xf numFmtId="0" fontId="34" fillId="86" borderId="587" applyNumberFormat="0" applyAlignment="0" applyProtection="0"/>
    <xf numFmtId="0" fontId="3" fillId="0" borderId="0"/>
    <xf numFmtId="0" fontId="34" fillId="86" borderId="451" applyNumberFormat="0" applyAlignment="0" applyProtection="0"/>
    <xf numFmtId="0" fontId="24" fillId="0" borderId="481" applyNumberFormat="0" applyFill="0" applyAlignment="0" applyProtection="0"/>
    <xf numFmtId="0" fontId="178" fillId="86" borderId="486" applyNumberFormat="0" applyAlignment="0" applyProtection="0">
      <alignment vertical="center"/>
    </xf>
    <xf numFmtId="0" fontId="34" fillId="66" borderId="451" applyNumberFormat="0" applyAlignment="0" applyProtection="0"/>
    <xf numFmtId="0" fontId="25" fillId="81" borderId="469" applyNumberFormat="0" applyAlignment="0" applyProtection="0"/>
    <xf numFmtId="0" fontId="18" fillId="79" borderId="568" applyNumberFormat="0" applyAlignment="0" applyProtection="0"/>
    <xf numFmtId="0" fontId="34" fillId="86" borderId="514" applyNumberFormat="0" applyAlignment="0" applyProtection="0"/>
    <xf numFmtId="0" fontId="34" fillId="66" borderId="629" applyNumberFormat="0" applyAlignment="0" applyProtection="0"/>
    <xf numFmtId="0" fontId="34" fillId="86" borderId="585" applyNumberFormat="0" applyAlignment="0" applyProtection="0"/>
    <xf numFmtId="0" fontId="34" fillId="86" borderId="451" applyNumberFormat="0" applyAlignment="0" applyProtection="0"/>
    <xf numFmtId="0" fontId="34" fillId="86" borderId="623" applyNumberFormat="0" applyAlignment="0" applyProtection="0"/>
    <xf numFmtId="0" fontId="46" fillId="79" borderId="488" applyNumberFormat="0" applyAlignment="0" applyProtection="0"/>
    <xf numFmtId="0" fontId="34" fillId="86" borderId="451" applyNumberFormat="0" applyAlignment="0" applyProtection="0"/>
    <xf numFmtId="0" fontId="34" fillId="66" borderId="623" applyNumberFormat="0" applyAlignment="0" applyProtection="0"/>
    <xf numFmtId="249" fontId="3" fillId="0" borderId="0" applyFill="0" applyBorder="0" applyAlignment="0"/>
    <xf numFmtId="0" fontId="34" fillId="86" borderId="555" applyNumberFormat="0" applyAlignment="0" applyProtection="0"/>
    <xf numFmtId="0" fontId="34" fillId="86" borderId="451" applyNumberFormat="0" applyAlignment="0" applyProtection="0"/>
    <xf numFmtId="0" fontId="168" fillId="35" borderId="650" applyNumberFormat="0" applyFont="0" applyAlignment="0" applyProtection="0">
      <alignment vertical="center"/>
    </xf>
    <xf numFmtId="43" fontId="3" fillId="0" borderId="0" applyFill="0" applyBorder="0" applyAlignment="0"/>
    <xf numFmtId="0" fontId="34" fillId="86" borderId="587" applyNumberFormat="0" applyAlignment="0" applyProtection="0"/>
    <xf numFmtId="0" fontId="29" fillId="0" borderId="480">
      <alignment horizontal="left" vertical="center"/>
    </xf>
    <xf numFmtId="0" fontId="18" fillId="79" borderId="504" applyNumberFormat="0" applyAlignment="0" applyProtection="0"/>
    <xf numFmtId="0" fontId="25" fillId="81" borderId="505" applyNumberFormat="0" applyAlignment="0" applyProtection="0"/>
    <xf numFmtId="0" fontId="34" fillId="86" borderId="526" applyNumberFormat="0" applyAlignment="0" applyProtection="0"/>
    <xf numFmtId="0" fontId="189" fillId="31" borderId="479" applyNumberFormat="0" applyAlignment="0" applyProtection="0">
      <alignment vertical="center"/>
    </xf>
    <xf numFmtId="43" fontId="3" fillId="0" borderId="0" applyFill="0" applyBorder="0" applyAlignment="0"/>
    <xf numFmtId="0" fontId="18" fillId="79" borderId="468" applyNumberFormat="0" applyAlignment="0" applyProtection="0"/>
    <xf numFmtId="0" fontId="46" fillId="79" borderId="651" applyNumberFormat="0" applyAlignment="0" applyProtection="0"/>
    <xf numFmtId="0" fontId="175" fillId="88" borderId="0" applyNumberFormat="0" applyBorder="0" applyAlignment="0" applyProtection="0">
      <alignment vertical="center"/>
    </xf>
    <xf numFmtId="0" fontId="18" fillId="79" borderId="451" applyNumberFormat="0" applyAlignment="0" applyProtection="0"/>
    <xf numFmtId="0" fontId="176" fillId="0" borderId="148">
      <alignment horizontal="center"/>
    </xf>
    <xf numFmtId="0" fontId="29" fillId="0" borderId="630" applyNumberFormat="0" applyAlignment="0" applyProtection="0"/>
    <xf numFmtId="0" fontId="175" fillId="90" borderId="0" applyNumberFormat="0" applyBorder="0" applyAlignment="0" applyProtection="0">
      <alignment vertical="center"/>
    </xf>
    <xf numFmtId="37" fontId="188" fillId="0" borderId="0"/>
    <xf numFmtId="0" fontId="176" fillId="0" borderId="148">
      <alignment horizontal="center"/>
    </xf>
    <xf numFmtId="0" fontId="189" fillId="31" borderId="638" applyNumberFormat="0" applyAlignment="0" applyProtection="0">
      <alignment vertical="center"/>
    </xf>
    <xf numFmtId="0" fontId="175" fillId="87" borderId="0" applyNumberFormat="0" applyBorder="0" applyAlignment="0" applyProtection="0">
      <alignment vertical="center"/>
    </xf>
    <xf numFmtId="0" fontId="176" fillId="0" borderId="148">
      <alignment horizontal="center"/>
    </xf>
    <xf numFmtId="0" fontId="175" fillId="92" borderId="0" applyNumberFormat="0" applyBorder="0" applyAlignment="0" applyProtection="0">
      <alignment vertical="center"/>
    </xf>
    <xf numFmtId="0" fontId="175" fillId="94" borderId="0" applyNumberFormat="0" applyBorder="0" applyAlignment="0" applyProtection="0">
      <alignment vertical="center"/>
    </xf>
    <xf numFmtId="0" fontId="175" fillId="86" borderId="0" applyNumberFormat="0" applyBorder="0" applyAlignment="0" applyProtection="0">
      <alignment vertical="center"/>
    </xf>
    <xf numFmtId="0" fontId="34" fillId="86" borderId="579" applyNumberFormat="0" applyAlignment="0" applyProtection="0"/>
    <xf numFmtId="0" fontId="178" fillId="86" borderId="579" applyNumberFormat="0" applyAlignment="0" applyProtection="0">
      <alignment vertical="center"/>
    </xf>
    <xf numFmtId="0" fontId="18" fillId="79" borderId="451" applyNumberFormat="0" applyAlignment="0" applyProtection="0"/>
    <xf numFmtId="0" fontId="24" fillId="0" borderId="640" applyNumberFormat="0" applyFill="0" applyAlignment="0" applyProtection="0"/>
    <xf numFmtId="0" fontId="18" fillId="79" borderId="451" applyNumberFormat="0" applyAlignment="0" applyProtection="0"/>
    <xf numFmtId="0" fontId="34" fillId="66" borderId="538" applyNumberFormat="0" applyAlignment="0" applyProtection="0"/>
    <xf numFmtId="0" fontId="25" fillId="81" borderId="556" applyNumberFormat="0" applyAlignment="0" applyProtection="0"/>
    <xf numFmtId="0" fontId="18" fillId="79" borderId="486" applyNumberFormat="0" applyAlignment="0" applyProtection="0"/>
    <xf numFmtId="0" fontId="34" fillId="66" borderId="462" applyNumberFormat="0" applyAlignment="0" applyProtection="0"/>
    <xf numFmtId="0" fontId="34" fillId="86" borderId="656" applyNumberFormat="0" applyAlignment="0" applyProtection="0"/>
    <xf numFmtId="0" fontId="178" fillId="86" borderId="555" applyNumberFormat="0" applyAlignment="0" applyProtection="0">
      <alignment vertical="center"/>
    </xf>
    <xf numFmtId="0" fontId="34" fillId="86" borderId="504" applyNumberFormat="0" applyAlignment="0" applyProtection="0"/>
    <xf numFmtId="0" fontId="34" fillId="66" borderId="468" applyNumberFormat="0" applyAlignment="0" applyProtection="0"/>
    <xf numFmtId="0" fontId="18" fillId="79" borderId="477" applyNumberFormat="0" applyAlignment="0" applyProtection="0"/>
    <xf numFmtId="0" fontId="195" fillId="0" borderId="472" applyNumberFormat="0" applyFill="0" applyAlignment="0" applyProtection="0">
      <alignment vertical="center"/>
    </xf>
    <xf numFmtId="0" fontId="29" fillId="0" borderId="499">
      <alignment horizontal="left" vertical="center"/>
    </xf>
    <xf numFmtId="0" fontId="34" fillId="86" borderId="451" applyNumberFormat="0" applyAlignment="0" applyProtection="0"/>
    <xf numFmtId="0" fontId="34" fillId="86" borderId="547" applyNumberFormat="0" applyAlignment="0" applyProtection="0"/>
    <xf numFmtId="0" fontId="189" fillId="31" borderId="528" applyNumberFormat="0" applyAlignment="0" applyProtection="0">
      <alignment vertical="center"/>
    </xf>
    <xf numFmtId="0" fontId="34" fillId="86" borderId="538" applyNumberFormat="0" applyAlignment="0" applyProtection="0"/>
    <xf numFmtId="0" fontId="34" fillId="86" borderId="592" applyNumberFormat="0" applyAlignment="0" applyProtection="0"/>
    <xf numFmtId="0" fontId="18" fillId="79" borderId="592" applyNumberFormat="0" applyAlignment="0" applyProtection="0"/>
    <xf numFmtId="0" fontId="29" fillId="0" borderId="465">
      <alignment horizontal="left" vertical="center"/>
    </xf>
    <xf numFmtId="0" fontId="175" fillId="89" borderId="0" applyNumberFormat="0" applyBorder="0" applyAlignment="0" applyProtection="0">
      <alignment vertical="center"/>
    </xf>
    <xf numFmtId="9" fontId="168" fillId="0" borderId="0" applyFont="0" applyFill="0" applyBorder="0" applyAlignment="0" applyProtection="0">
      <alignment vertical="center"/>
    </xf>
    <xf numFmtId="0" fontId="24" fillId="0" borderId="508" applyNumberFormat="0" applyFill="0" applyAlignment="0" applyProtection="0"/>
    <xf numFmtId="0" fontId="25" fillId="81" borderId="594" applyNumberFormat="0" applyAlignment="0" applyProtection="0"/>
    <xf numFmtId="0" fontId="25" fillId="81" borderId="505" applyNumberFormat="0" applyAlignment="0" applyProtection="0"/>
    <xf numFmtId="0" fontId="34" fillId="86" borderId="587" applyNumberFormat="0" applyAlignment="0" applyProtection="0"/>
    <xf numFmtId="38" fontId="168" fillId="0" borderId="0" applyFont="0" applyFill="0" applyBorder="0" applyAlignment="0" applyProtection="0">
      <alignment vertical="center"/>
    </xf>
    <xf numFmtId="0" fontId="34" fillId="86" borderId="592" applyNumberFormat="0" applyAlignment="0" applyProtection="0"/>
    <xf numFmtId="0" fontId="34" fillId="86" borderId="462" applyNumberFormat="0" applyAlignment="0" applyProtection="0"/>
    <xf numFmtId="0" fontId="18" fillId="31" borderId="585" applyNumberFormat="0" applyAlignment="0" applyProtection="0"/>
    <xf numFmtId="0" fontId="178" fillId="86" borderId="555" applyNumberFormat="0" applyAlignment="0" applyProtection="0">
      <alignment vertical="center"/>
    </xf>
    <xf numFmtId="0" fontId="34" fillId="86" borderId="538" applyNumberFormat="0" applyAlignment="0" applyProtection="0"/>
    <xf numFmtId="0" fontId="189" fillId="31" borderId="453" applyNumberFormat="0" applyAlignment="0" applyProtection="0">
      <alignment vertical="center"/>
    </xf>
    <xf numFmtId="0" fontId="25" fillId="81" borderId="463" applyNumberFormat="0" applyAlignment="0" applyProtection="0"/>
    <xf numFmtId="0" fontId="7" fillId="94" borderId="0" applyNumberFormat="0" applyBorder="0" applyAlignment="0" applyProtection="0"/>
    <xf numFmtId="0" fontId="175" fillId="93" borderId="0" applyNumberFormat="0" applyBorder="0" applyAlignment="0" applyProtection="0">
      <alignment vertical="center"/>
    </xf>
    <xf numFmtId="0" fontId="175" fillId="95" borderId="0" applyNumberFormat="0" applyBorder="0" applyAlignment="0" applyProtection="0">
      <alignment vertical="center"/>
    </xf>
    <xf numFmtId="0" fontId="175" fillId="92" borderId="0" applyNumberFormat="0" applyBorder="0" applyAlignment="0" applyProtection="0">
      <alignment vertical="center"/>
    </xf>
    <xf numFmtId="0" fontId="175" fillId="89" borderId="0" applyNumberFormat="0" applyBorder="0" applyAlignment="0" applyProtection="0">
      <alignment vertical="center"/>
    </xf>
    <xf numFmtId="0" fontId="25" fillId="81" borderId="452" applyNumberFormat="0" applyAlignment="0" applyProtection="0"/>
    <xf numFmtId="2" fontId="174" fillId="0" borderId="532" applyFont="0" applyBorder="0" applyAlignment="0" applyProtection="0">
      <alignment horizontal="right"/>
    </xf>
    <xf numFmtId="0" fontId="175" fillId="96" borderId="0" applyNumberFormat="0" applyBorder="0" applyAlignment="0" applyProtection="0">
      <alignment vertical="center"/>
    </xf>
    <xf numFmtId="0" fontId="195" fillId="0" borderId="572" applyNumberFormat="0" applyFill="0" applyAlignment="0" applyProtection="0">
      <alignment vertical="center"/>
    </xf>
    <xf numFmtId="0" fontId="168" fillId="0" borderId="0"/>
    <xf numFmtId="0" fontId="168" fillId="0" borderId="0"/>
    <xf numFmtId="0" fontId="34" fillId="86" borderId="568" applyNumberFormat="0" applyAlignment="0" applyProtection="0"/>
    <xf numFmtId="0" fontId="190" fillId="0" borderId="0">
      <alignment horizontal="left"/>
    </xf>
    <xf numFmtId="0" fontId="24" fillId="0" borderId="472" applyNumberFormat="0" applyFill="0" applyAlignment="0" applyProtection="0"/>
    <xf numFmtId="0" fontId="24" fillId="0" borderId="518" applyNumberFormat="0" applyFill="0" applyAlignment="0" applyProtection="0"/>
    <xf numFmtId="221" fontId="168" fillId="0" borderId="0">
      <alignment horizontal="center"/>
    </xf>
    <xf numFmtId="0" fontId="34" fillId="86" borderId="555" applyNumberFormat="0" applyAlignment="0" applyProtection="0"/>
    <xf numFmtId="9" fontId="179" fillId="0" borderId="0" applyFont="0" applyFill="0" applyBorder="0" applyAlignment="0" applyProtection="0"/>
    <xf numFmtId="0" fontId="29" fillId="0" borderId="609">
      <alignment horizontal="left" vertical="center"/>
    </xf>
    <xf numFmtId="0" fontId="34" fillId="86" borderId="579" applyNumberFormat="0" applyAlignment="0" applyProtection="0"/>
    <xf numFmtId="0" fontId="7" fillId="35" borderId="539" applyNumberFormat="0" applyFont="0" applyAlignment="0" applyProtection="0"/>
    <xf numFmtId="0" fontId="29" fillId="0" borderId="503" applyNumberFormat="0" applyAlignment="0" applyProtection="0">
      <alignment horizontal="left" vertical="center"/>
    </xf>
    <xf numFmtId="0" fontId="29" fillId="0" borderId="546" applyNumberFormat="0" applyAlignment="0" applyProtection="0"/>
    <xf numFmtId="0" fontId="168" fillId="0" borderId="0"/>
    <xf numFmtId="0" fontId="168" fillId="0" borderId="0"/>
    <xf numFmtId="0" fontId="29" fillId="0" borderId="499">
      <alignment horizontal="left" vertical="center"/>
    </xf>
    <xf numFmtId="0" fontId="168" fillId="0" borderId="0"/>
    <xf numFmtId="0" fontId="168" fillId="0" borderId="0"/>
    <xf numFmtId="0" fontId="168" fillId="0" borderId="0"/>
    <xf numFmtId="0" fontId="168" fillId="0" borderId="0"/>
    <xf numFmtId="0" fontId="18" fillId="79" borderId="587" applyNumberFormat="0" applyAlignment="0" applyProtection="0"/>
    <xf numFmtId="0" fontId="34" fillId="86" borderId="496" applyNumberFormat="0" applyAlignment="0" applyProtection="0"/>
    <xf numFmtId="0" fontId="178" fillId="86" borderId="477" applyNumberFormat="0" applyAlignment="0" applyProtection="0">
      <alignment vertical="center"/>
    </xf>
    <xf numFmtId="0" fontId="193" fillId="0" borderId="0" applyNumberFormat="0" applyFill="0" applyBorder="0" applyAlignment="0" applyProtection="0"/>
    <xf numFmtId="0" fontId="25" fillId="81" borderId="633" applyNumberFormat="0" applyAlignment="0" applyProtection="0"/>
    <xf numFmtId="0" fontId="34" fillId="86" borderId="585" applyNumberFormat="0" applyAlignment="0" applyProtection="0"/>
    <xf numFmtId="43" fontId="3" fillId="0" borderId="0" applyFont="0" applyFill="0" applyBorder="0" applyAlignment="0" applyProtection="0"/>
    <xf numFmtId="0" fontId="25" fillId="81" borderId="527" applyNumberFormat="0" applyAlignment="0" applyProtection="0"/>
    <xf numFmtId="0" fontId="18" fillId="79" borderId="468" applyNumberFormat="0" applyAlignment="0" applyProtection="0"/>
    <xf numFmtId="0" fontId="34" fillId="66" borderId="568" applyNumberFormat="0" applyAlignment="0" applyProtection="0"/>
    <xf numFmtId="0" fontId="46" fillId="79" borderId="557" applyNumberFormat="0" applyAlignment="0" applyProtection="0"/>
    <xf numFmtId="0" fontId="178" fillId="86" borderId="504" applyNumberFormat="0" applyAlignment="0" applyProtection="0">
      <alignment vertical="center"/>
    </xf>
    <xf numFmtId="0" fontId="186" fillId="97" borderId="0" applyNumberFormat="0" applyBorder="0" applyAlignment="0" applyProtection="0">
      <alignment vertical="center"/>
    </xf>
    <xf numFmtId="0" fontId="18" fillId="79" borderId="514" applyNumberFormat="0" applyAlignment="0" applyProtection="0"/>
    <xf numFmtId="0" fontId="34" fillId="86" borderId="496" applyNumberFormat="0" applyAlignment="0" applyProtection="0"/>
    <xf numFmtId="0" fontId="29" fillId="0" borderId="511">
      <alignment horizontal="left" vertical="center"/>
    </xf>
    <xf numFmtId="0" fontId="186" fillId="93" borderId="0" applyNumberFormat="0" applyBorder="0" applyAlignment="0" applyProtection="0">
      <alignment vertical="center"/>
    </xf>
    <xf numFmtId="0" fontId="186" fillId="95" borderId="0" applyNumberFormat="0" applyBorder="0" applyAlignment="0" applyProtection="0">
      <alignment vertical="center"/>
    </xf>
    <xf numFmtId="0" fontId="186" fillId="98" borderId="0" applyNumberFormat="0" applyBorder="0" applyAlignment="0" applyProtection="0">
      <alignment vertical="center"/>
    </xf>
    <xf numFmtId="0" fontId="186" fillId="99" borderId="0" applyNumberFormat="0" applyBorder="0" applyAlignment="0" applyProtection="0">
      <alignment vertical="center"/>
    </xf>
    <xf numFmtId="0" fontId="186" fillId="100" borderId="0" applyNumberFormat="0" applyBorder="0" applyAlignment="0" applyProtection="0">
      <alignment vertical="center"/>
    </xf>
    <xf numFmtId="0" fontId="195" fillId="0" borderId="457" applyNumberFormat="0" applyFill="0" applyAlignment="0" applyProtection="0">
      <alignment vertical="center"/>
    </xf>
    <xf numFmtId="0" fontId="197" fillId="0" borderId="40" applyBorder="0"/>
    <xf numFmtId="0" fontId="34" fillId="86" borderId="547" applyNumberFormat="0" applyAlignment="0" applyProtection="0"/>
    <xf numFmtId="0" fontId="34" fillId="86" borderId="607" applyNumberFormat="0" applyAlignment="0" applyProtection="0"/>
    <xf numFmtId="211" fontId="179" fillId="0" borderId="0">
      <alignment horizontal="center"/>
    </xf>
    <xf numFmtId="0" fontId="25" fillId="81" borderId="548" applyNumberFormat="0" applyAlignment="0" applyProtection="0"/>
    <xf numFmtId="211" fontId="179" fillId="0" borderId="0">
      <alignment horizontal="center"/>
    </xf>
    <xf numFmtId="0" fontId="34" fillId="86" borderId="629" applyNumberFormat="0" applyAlignment="0" applyProtection="0"/>
    <xf numFmtId="0" fontId="198" fillId="0" borderId="0" applyNumberFormat="0" applyFill="0" applyBorder="0" applyAlignment="0" applyProtection="0"/>
    <xf numFmtId="211" fontId="179" fillId="0" borderId="0">
      <alignment horizontal="center"/>
    </xf>
    <xf numFmtId="0" fontId="25" fillId="81" borderId="463" applyNumberFormat="0" applyAlignment="0" applyProtection="0"/>
    <xf numFmtId="0" fontId="29" fillId="0" borderId="465">
      <alignment horizontal="left" vertical="center"/>
    </xf>
    <xf numFmtId="0" fontId="18" fillId="79" borderId="462" applyNumberFormat="0" applyAlignment="0" applyProtection="0"/>
    <xf numFmtId="214" fontId="196" fillId="0" borderId="0">
      <alignment horizontal="left"/>
    </xf>
    <xf numFmtId="0" fontId="29" fillId="0" borderId="567" applyNumberFormat="0" applyAlignment="0" applyProtection="0"/>
    <xf numFmtId="0" fontId="18" fillId="79" borderId="462" applyNumberFormat="0" applyAlignment="0" applyProtection="0"/>
    <xf numFmtId="0" fontId="34" fillId="66" borderId="462" applyNumberFormat="0" applyAlignment="0" applyProtection="0"/>
    <xf numFmtId="0" fontId="34" fillId="86" borderId="656" applyNumberFormat="0" applyAlignment="0" applyProtection="0"/>
    <xf numFmtId="0" fontId="178" fillId="86" borderId="629" applyNumberFormat="0" applyAlignment="0" applyProtection="0">
      <alignment vertical="center"/>
    </xf>
    <xf numFmtId="0" fontId="29" fillId="0" borderId="564" applyNumberFormat="0" applyAlignment="0" applyProtection="0"/>
    <xf numFmtId="0" fontId="168" fillId="0" borderId="0"/>
    <xf numFmtId="0" fontId="168" fillId="0" borderId="0"/>
    <xf numFmtId="0" fontId="29" fillId="0" borderId="558">
      <alignment horizontal="left" vertical="center"/>
    </xf>
    <xf numFmtId="0" fontId="34" fillId="66" borderId="486" applyNumberFormat="0" applyAlignment="0" applyProtection="0"/>
    <xf numFmtId="0" fontId="34" fillId="66" borderId="486" applyNumberFormat="0" applyAlignment="0" applyProtection="0"/>
    <xf numFmtId="0" fontId="18" fillId="79" borderId="617" applyNumberFormat="0" applyAlignment="0" applyProtection="0"/>
    <xf numFmtId="0" fontId="34" fillId="86" borderId="538" applyNumberFormat="0" applyAlignment="0" applyProtection="0"/>
    <xf numFmtId="0" fontId="29" fillId="0" borderId="471">
      <alignment horizontal="left" vertical="center"/>
    </xf>
    <xf numFmtId="0" fontId="46" fillId="79" borderId="595" applyNumberFormat="0" applyAlignment="0" applyProtection="0"/>
    <xf numFmtId="0" fontId="18" fillId="31" borderId="504" applyNumberFormat="0" applyAlignment="0" applyProtection="0"/>
    <xf numFmtId="0" fontId="178" fillId="86" borderId="451" applyNumberFormat="0" applyAlignment="0" applyProtection="0">
      <alignment vertical="center"/>
    </xf>
    <xf numFmtId="0" fontId="7" fillId="35" borderId="569" applyNumberFormat="0" applyFont="0" applyAlignment="0" applyProtection="0"/>
    <xf numFmtId="0" fontId="34" fillId="86" borderId="496" applyNumberFormat="0" applyAlignment="0" applyProtection="0"/>
    <xf numFmtId="0" fontId="25" fillId="81" borderId="497" applyNumberFormat="0" applyAlignment="0" applyProtection="0"/>
    <xf numFmtId="0" fontId="34" fillId="86" borderId="514" applyNumberFormat="0" applyAlignment="0" applyProtection="0"/>
    <xf numFmtId="0" fontId="34" fillId="86" borderId="592" applyNumberFormat="0" applyAlignment="0" applyProtection="0"/>
    <xf numFmtId="0" fontId="34" fillId="86" borderId="631" applyNumberFormat="0" applyAlignment="0" applyProtection="0"/>
    <xf numFmtId="0" fontId="29" fillId="0" borderId="525" applyNumberFormat="0" applyAlignment="0" applyProtection="0"/>
    <xf numFmtId="0" fontId="34" fillId="86" borderId="629" applyNumberFormat="0" applyAlignment="0" applyProtection="0"/>
    <xf numFmtId="0" fontId="29" fillId="0" borderId="471">
      <alignment horizontal="left" vertical="center"/>
    </xf>
    <xf numFmtId="0" fontId="34" fillId="66" borderId="597" applyNumberFormat="0" applyAlignment="0" applyProtection="0"/>
    <xf numFmtId="0" fontId="34" fillId="86" borderId="468" applyNumberFormat="0" applyAlignment="0" applyProtection="0"/>
    <xf numFmtId="0" fontId="34" fillId="86" borderId="602" applyNumberFormat="0" applyAlignment="0" applyProtection="0"/>
    <xf numFmtId="0" fontId="34" fillId="86" borderId="514" applyNumberFormat="0" applyAlignment="0" applyProtection="0"/>
    <xf numFmtId="0" fontId="34" fillId="66" borderId="649" applyNumberFormat="0" applyAlignment="0" applyProtection="0"/>
    <xf numFmtId="0" fontId="34" fillId="66" borderId="462" applyNumberFormat="0" applyAlignment="0" applyProtection="0"/>
    <xf numFmtId="0" fontId="3" fillId="0" borderId="0"/>
    <xf numFmtId="0" fontId="178" fillId="86" borderId="623" applyNumberFormat="0" applyAlignment="0" applyProtection="0">
      <alignment vertical="center"/>
    </xf>
    <xf numFmtId="0" fontId="29" fillId="0" borderId="577" applyNumberFormat="0" applyAlignment="0" applyProtection="0"/>
    <xf numFmtId="0" fontId="34" fillId="86" borderId="597" applyNumberFormat="0" applyAlignment="0" applyProtection="0"/>
    <xf numFmtId="0" fontId="34" fillId="66" borderId="555" applyNumberFormat="0" applyAlignment="0" applyProtection="0"/>
    <xf numFmtId="0" fontId="202" fillId="31" borderId="468" applyNumberFormat="0" applyAlignment="0" applyProtection="0">
      <alignment vertical="center"/>
    </xf>
    <xf numFmtId="0" fontId="166" fillId="0" borderId="0"/>
    <xf numFmtId="0" fontId="34" fillId="66" borderId="629" applyNumberFormat="0" applyAlignment="0" applyProtection="0"/>
    <xf numFmtId="0" fontId="34" fillId="86" borderId="592" applyNumberFormat="0" applyAlignment="0" applyProtection="0"/>
    <xf numFmtId="0" fontId="25" fillId="81" borderId="487" applyNumberFormat="0" applyAlignment="0" applyProtection="0"/>
    <xf numFmtId="0" fontId="177" fillId="0" borderId="0">
      <alignment vertical="center"/>
    </xf>
    <xf numFmtId="0" fontId="195" fillId="0" borderId="627" applyNumberFormat="0" applyFill="0" applyAlignment="0" applyProtection="0">
      <alignment vertical="center"/>
    </xf>
    <xf numFmtId="0" fontId="46" fillId="31" borderId="600" applyNumberFormat="0" applyAlignment="0" applyProtection="0"/>
    <xf numFmtId="0" fontId="34" fillId="86" borderId="526" applyNumberFormat="0" applyAlignment="0" applyProtection="0"/>
    <xf numFmtId="0" fontId="29" fillId="0" borderId="619">
      <alignment horizontal="left" vertical="center"/>
    </xf>
    <xf numFmtId="0" fontId="25" fillId="81" borderId="478" applyNumberFormat="0" applyAlignment="0" applyProtection="0"/>
    <xf numFmtId="0" fontId="34" fillId="86" borderId="602" applyNumberFormat="0" applyAlignment="0" applyProtection="0"/>
    <xf numFmtId="0" fontId="18" fillId="31" borderId="477" applyNumberFormat="0" applyAlignment="0" applyProtection="0"/>
    <xf numFmtId="0" fontId="25" fillId="81" borderId="527" applyNumberFormat="0" applyAlignment="0" applyProtection="0"/>
    <xf numFmtId="0" fontId="25" fillId="81" borderId="616" applyNumberFormat="0" applyAlignment="0" applyProtection="0"/>
    <xf numFmtId="43" fontId="3" fillId="0" borderId="0" applyFill="0" applyBorder="0" applyAlignment="0"/>
    <xf numFmtId="0" fontId="34" fillId="86" borderId="623" applyNumberFormat="0" applyAlignment="0" applyProtection="0"/>
    <xf numFmtId="0" fontId="34" fillId="86" borderId="587" applyNumberFormat="0" applyAlignment="0" applyProtection="0"/>
    <xf numFmtId="43" fontId="3" fillId="0" borderId="0" applyFill="0" applyBorder="0" applyAlignment="0"/>
    <xf numFmtId="0" fontId="34" fillId="86" borderId="617" applyNumberFormat="0" applyAlignment="0" applyProtection="0"/>
    <xf numFmtId="0" fontId="195" fillId="0" borderId="508" applyNumberFormat="0" applyFill="0" applyAlignment="0" applyProtection="0">
      <alignment vertical="center"/>
    </xf>
    <xf numFmtId="0" fontId="34" fillId="86" borderId="607" applyNumberFormat="0" applyAlignment="0" applyProtection="0"/>
    <xf numFmtId="0" fontId="29" fillId="0" borderId="507">
      <alignment horizontal="left" vertical="center"/>
    </xf>
    <xf numFmtId="0" fontId="34" fillId="86" borderId="602" applyNumberFormat="0" applyAlignment="0" applyProtection="0"/>
    <xf numFmtId="0" fontId="25" fillId="81" borderId="497" applyNumberFormat="0" applyAlignment="0" applyProtection="0"/>
    <xf numFmtId="0" fontId="34" fillId="66" borderId="451" applyNumberFormat="0" applyAlignment="0" applyProtection="0"/>
    <xf numFmtId="0" fontId="34" fillId="86" borderId="587" applyNumberFormat="0" applyAlignment="0" applyProtection="0"/>
    <xf numFmtId="0" fontId="34" fillId="66" borderId="451" applyNumberFormat="0" applyAlignment="0" applyProtection="0"/>
    <xf numFmtId="43" fontId="3" fillId="0" borderId="0" applyFill="0" applyBorder="0" applyAlignment="0"/>
    <xf numFmtId="43" fontId="3" fillId="0" borderId="0" applyFill="0" applyBorder="0" applyAlignment="0"/>
    <xf numFmtId="43" fontId="3" fillId="0" borderId="0" applyFill="0" applyBorder="0" applyAlignment="0"/>
    <xf numFmtId="0" fontId="18" fillId="79" borderId="597" applyNumberFormat="0" applyAlignment="0" applyProtection="0"/>
    <xf numFmtId="0" fontId="178" fillId="86" borderId="496" applyNumberFormat="0" applyAlignment="0" applyProtection="0">
      <alignment vertical="center"/>
    </xf>
    <xf numFmtId="0" fontId="25" fillId="81" borderId="556" applyNumberFormat="0" applyAlignment="0" applyProtection="0"/>
    <xf numFmtId="0" fontId="34" fillId="86" borderId="607" applyNumberFormat="0" applyAlignment="0" applyProtection="0"/>
    <xf numFmtId="38" fontId="168" fillId="0" borderId="0" applyFont="0" applyFill="0" applyBorder="0" applyAlignment="0" applyProtection="0">
      <alignment vertical="center"/>
    </xf>
    <xf numFmtId="0" fontId="29" fillId="0" borderId="461" applyNumberFormat="0" applyAlignment="0" applyProtection="0"/>
    <xf numFmtId="38" fontId="168" fillId="0" borderId="0" applyFont="0" applyFill="0" applyBorder="0" applyAlignment="0" applyProtection="0">
      <alignment vertical="center"/>
    </xf>
    <xf numFmtId="0" fontId="46" fillId="79" borderId="651" applyNumberFormat="0" applyAlignment="0" applyProtection="0"/>
    <xf numFmtId="40" fontId="179" fillId="0" borderId="0" applyFont="0" applyFill="0" applyBorder="0" applyAlignment="0" applyProtection="0"/>
    <xf numFmtId="0" fontId="168" fillId="35" borderId="515" applyNumberFormat="0" applyFont="0" applyAlignment="0" applyProtection="0">
      <alignment vertical="center"/>
    </xf>
    <xf numFmtId="0" fontId="25" fillId="81" borderId="469" applyNumberFormat="0" applyAlignment="0" applyProtection="0"/>
    <xf numFmtId="0" fontId="18" fillId="79" borderId="496" applyNumberFormat="0" applyAlignment="0" applyProtection="0"/>
    <xf numFmtId="0" fontId="18" fillId="79" borderId="585" applyNumberFormat="0" applyAlignment="0" applyProtection="0"/>
    <xf numFmtId="0" fontId="18" fillId="79" borderId="451" applyNumberFormat="0" applyAlignment="0" applyProtection="0"/>
    <xf numFmtId="0" fontId="194" fillId="0" borderId="0"/>
    <xf numFmtId="0" fontId="34" fillId="86" borderId="547" applyNumberFormat="0" applyAlignment="0" applyProtection="0"/>
    <xf numFmtId="0" fontId="34" fillId="86" borderId="526" applyNumberFormat="0" applyAlignment="0" applyProtection="0"/>
    <xf numFmtId="0" fontId="177" fillId="0" borderId="0">
      <alignment vertical="center"/>
    </xf>
    <xf numFmtId="0" fontId="46" fillId="79" borderId="540" applyNumberFormat="0" applyAlignment="0" applyProtection="0"/>
    <xf numFmtId="0" fontId="25" fillId="81" borderId="539" applyNumberFormat="0" applyAlignment="0" applyProtection="0"/>
    <xf numFmtId="0" fontId="202" fillId="31" borderId="649" applyNumberFormat="0" applyAlignment="0" applyProtection="0">
      <alignment vertical="center"/>
    </xf>
    <xf numFmtId="0" fontId="29" fillId="0" borderId="455">
      <alignment horizontal="left" vertical="center"/>
    </xf>
    <xf numFmtId="0" fontId="34" fillId="86" borderId="592" applyNumberFormat="0" applyAlignment="0" applyProtection="0"/>
    <xf numFmtId="0" fontId="168" fillId="0" borderId="0"/>
    <xf numFmtId="0" fontId="46" fillId="31" borderId="516" applyNumberFormat="0" applyAlignment="0" applyProtection="0"/>
    <xf numFmtId="0" fontId="29" fillId="0" borderId="471">
      <alignment horizontal="left" vertical="center"/>
    </xf>
    <xf numFmtId="0" fontId="168" fillId="0" borderId="0">
      <alignment vertical="center"/>
    </xf>
    <xf numFmtId="0" fontId="29" fillId="0" borderId="542">
      <alignment horizontal="left" vertical="center"/>
    </xf>
    <xf numFmtId="0" fontId="178" fillId="86" borderId="462" applyNumberFormat="0" applyAlignment="0" applyProtection="0">
      <alignment vertical="center"/>
    </xf>
    <xf numFmtId="0" fontId="29" fillId="0" borderId="485" applyNumberFormat="0" applyAlignment="0" applyProtection="0"/>
    <xf numFmtId="0" fontId="178" fillId="86" borderId="636" applyNumberFormat="0" applyAlignment="0" applyProtection="0">
      <alignment vertical="center"/>
    </xf>
    <xf numFmtId="0" fontId="29" fillId="0" borderId="619">
      <alignment horizontal="left" vertical="center"/>
    </xf>
    <xf numFmtId="0" fontId="46" fillId="79" borderId="549" applyNumberFormat="0" applyAlignment="0" applyProtection="0"/>
    <xf numFmtId="0" fontId="202" fillId="31" borderId="568" applyNumberFormat="0" applyAlignment="0" applyProtection="0">
      <alignment vertical="center"/>
    </xf>
    <xf numFmtId="0" fontId="189" fillId="31" borderId="464" applyNumberFormat="0" applyAlignment="0" applyProtection="0">
      <alignment vertical="center"/>
    </xf>
    <xf numFmtId="0" fontId="25" fillId="81" borderId="556" applyNumberFormat="0" applyAlignment="0" applyProtection="0"/>
    <xf numFmtId="0" fontId="178" fillId="86" borderId="462" applyNumberFormat="0" applyAlignment="0" applyProtection="0">
      <alignment vertical="center"/>
    </xf>
    <xf numFmtId="0" fontId="46" fillId="31" borderId="605" applyNumberFormat="0" applyAlignment="0" applyProtection="0"/>
    <xf numFmtId="0" fontId="189" fillId="31" borderId="488" applyNumberFormat="0" applyAlignment="0" applyProtection="0">
      <alignment vertical="center"/>
    </xf>
    <xf numFmtId="0" fontId="10" fillId="103" borderId="0" applyNumberFormat="0" applyBorder="0" applyAlignment="0" applyProtection="0"/>
    <xf numFmtId="0" fontId="29" fillId="0" borderId="519" applyNumberFormat="0" applyAlignment="0" applyProtection="0"/>
    <xf numFmtId="0" fontId="25" fillId="81" borderId="604" applyNumberFormat="0" applyAlignment="0" applyProtection="0"/>
    <xf numFmtId="0" fontId="18" fillId="79" borderId="602" applyNumberFormat="0" applyAlignment="0" applyProtection="0"/>
    <xf numFmtId="0" fontId="34" fillId="86" borderId="486" applyNumberFormat="0" applyAlignment="0" applyProtection="0"/>
    <xf numFmtId="0" fontId="34" fillId="66" borderId="623" applyNumberFormat="0" applyAlignment="0" applyProtection="0"/>
    <xf numFmtId="0" fontId="18" fillId="79" borderId="477" applyNumberFormat="0" applyAlignment="0" applyProtection="0"/>
    <xf numFmtId="0" fontId="46" fillId="79" borderId="600" applyNumberFormat="0" applyAlignment="0" applyProtection="0"/>
    <xf numFmtId="0" fontId="10" fillId="99" borderId="0" applyNumberFormat="0" applyBorder="0" applyAlignment="0" applyProtection="0"/>
    <xf numFmtId="0" fontId="34" fillId="66" borderId="547" applyNumberFormat="0" applyAlignment="0" applyProtection="0"/>
    <xf numFmtId="0" fontId="34" fillId="86" borderId="477" applyNumberFormat="0" applyAlignment="0" applyProtection="0"/>
    <xf numFmtId="0" fontId="25" fillId="81" borderId="452" applyNumberFormat="0" applyAlignment="0" applyProtection="0"/>
    <xf numFmtId="0" fontId="202" fillId="31" borderId="477" applyNumberFormat="0" applyAlignment="0" applyProtection="0">
      <alignment vertical="center"/>
    </xf>
    <xf numFmtId="0" fontId="34" fillId="66" borderId="617" applyNumberFormat="0" applyAlignment="0" applyProtection="0"/>
    <xf numFmtId="0" fontId="29" fillId="0" borderId="535" applyNumberFormat="0" applyAlignment="0" applyProtection="0"/>
    <xf numFmtId="0" fontId="46" fillId="31" borderId="658" applyNumberFormat="0" applyAlignment="0" applyProtection="0"/>
    <xf numFmtId="0" fontId="34" fillId="86" borderId="597" applyNumberFormat="0" applyAlignment="0" applyProtection="0"/>
    <xf numFmtId="0" fontId="46" fillId="79" borderId="506" applyNumberFormat="0" applyAlignment="0" applyProtection="0"/>
    <xf numFmtId="38" fontId="168" fillId="0" borderId="0" applyFont="0" applyFill="0" applyBorder="0" applyAlignment="0" applyProtection="0">
      <alignment vertical="center"/>
    </xf>
    <xf numFmtId="38" fontId="168" fillId="0" borderId="0" applyFont="0" applyFill="0" applyBorder="0" applyAlignment="0" applyProtection="0">
      <alignment vertical="center"/>
    </xf>
    <xf numFmtId="43" fontId="1" fillId="0" borderId="0" applyFont="0" applyFill="0" applyBorder="0" applyAlignment="0" applyProtection="0"/>
    <xf numFmtId="0" fontId="25" fillId="81" borderId="594" applyNumberFormat="0" applyAlignment="0" applyProtection="0"/>
    <xf numFmtId="0" fontId="189" fillId="31" borderId="520" applyNumberFormat="0" applyAlignment="0" applyProtection="0">
      <alignment vertical="center"/>
    </xf>
    <xf numFmtId="0" fontId="34" fillId="66" borderId="526" applyNumberFormat="0" applyAlignment="0" applyProtection="0"/>
    <xf numFmtId="0" fontId="34" fillId="86" borderId="587" applyNumberFormat="0" applyAlignment="0" applyProtection="0"/>
    <xf numFmtId="0" fontId="168" fillId="35" borderId="463" applyNumberFormat="0" applyFont="0" applyAlignment="0" applyProtection="0">
      <alignment vertical="center"/>
    </xf>
    <xf numFmtId="0" fontId="29" fillId="0" borderId="471">
      <alignment horizontal="left" vertical="center"/>
    </xf>
    <xf numFmtId="0" fontId="168" fillId="0" borderId="0"/>
    <xf numFmtId="0" fontId="168" fillId="0" borderId="0"/>
    <xf numFmtId="0" fontId="24" fillId="0" borderId="481" applyNumberFormat="0" applyFill="0" applyAlignment="0" applyProtection="0"/>
    <xf numFmtId="0" fontId="29" fillId="0" borderId="603">
      <alignment horizontal="left" vertical="center"/>
    </xf>
    <xf numFmtId="0" fontId="202" fillId="31" borderId="496" applyNumberFormat="0" applyAlignment="0" applyProtection="0">
      <alignment vertical="center"/>
    </xf>
    <xf numFmtId="43" fontId="3" fillId="0" borderId="0" applyFont="0" applyFill="0" applyBorder="0" applyAlignment="0" applyProtection="0"/>
    <xf numFmtId="0" fontId="168" fillId="0" borderId="0"/>
    <xf numFmtId="0" fontId="168" fillId="0" borderId="0"/>
    <xf numFmtId="0" fontId="199" fillId="0" borderId="0" applyNumberFormat="0" applyFont="0" applyAlignment="0"/>
    <xf numFmtId="0" fontId="25" fillId="81" borderId="463" applyNumberFormat="0" applyAlignment="0" applyProtection="0"/>
    <xf numFmtId="0" fontId="195" fillId="0" borderId="466" applyNumberFormat="0" applyFill="0" applyAlignment="0" applyProtection="0">
      <alignment vertical="center"/>
    </xf>
    <xf numFmtId="0" fontId="168" fillId="0" borderId="0"/>
    <xf numFmtId="0" fontId="168" fillId="0" borderId="0"/>
    <xf numFmtId="0" fontId="18" fillId="79" borderId="617" applyNumberFormat="0" applyAlignment="0" applyProtection="0"/>
    <xf numFmtId="0" fontId="46" fillId="79" borderId="634" applyNumberFormat="0" applyAlignment="0" applyProtection="0"/>
    <xf numFmtId="0" fontId="34" fillId="86" borderId="631" applyNumberFormat="0" applyAlignment="0" applyProtection="0"/>
    <xf numFmtId="0" fontId="34" fillId="86" borderId="538" applyNumberFormat="0" applyAlignment="0" applyProtection="0"/>
    <xf numFmtId="0" fontId="46" fillId="79" borderId="595" applyNumberFormat="0" applyAlignment="0" applyProtection="0"/>
    <xf numFmtId="0" fontId="34" fillId="86" borderId="504" applyNumberFormat="0" applyAlignment="0" applyProtection="0"/>
    <xf numFmtId="40" fontId="168" fillId="0" borderId="0" applyFont="0" applyFill="0" applyBorder="0" applyAlignment="0" applyProtection="0">
      <alignment vertical="center"/>
    </xf>
    <xf numFmtId="0" fontId="34" fillId="86" borderId="486" applyNumberFormat="0" applyAlignment="0" applyProtection="0"/>
    <xf numFmtId="0" fontId="46" fillId="79" borderId="600" applyNumberFormat="0" applyAlignment="0" applyProtection="0"/>
    <xf numFmtId="40" fontId="168" fillId="0" borderId="0" applyFont="0" applyFill="0" applyBorder="0" applyAlignment="0" applyProtection="0">
      <alignment vertical="center"/>
    </xf>
    <xf numFmtId="40" fontId="168" fillId="0" borderId="0" applyFont="0" applyFill="0" applyBorder="0" applyAlignment="0" applyProtection="0">
      <alignment vertical="center"/>
    </xf>
    <xf numFmtId="0" fontId="34" fillId="86" borderId="514" applyNumberFormat="0" applyAlignment="0" applyProtection="0"/>
    <xf numFmtId="0" fontId="46" fillId="31" borderId="570" applyNumberFormat="0" applyAlignment="0" applyProtection="0"/>
    <xf numFmtId="0" fontId="7" fillId="35" borderId="589" applyNumberFormat="0" applyFont="0" applyAlignment="0" applyProtection="0"/>
    <xf numFmtId="0" fontId="29" fillId="0" borderId="480">
      <alignment horizontal="left" vertical="center"/>
    </xf>
    <xf numFmtId="0" fontId="29" fillId="0" borderId="536" applyNumberFormat="0" applyAlignment="0" applyProtection="0">
      <alignment horizontal="left" vertical="center"/>
    </xf>
    <xf numFmtId="0" fontId="25" fillId="81" borderId="580" applyNumberFormat="0" applyAlignment="0" applyProtection="0"/>
    <xf numFmtId="0" fontId="25" fillId="81" borderId="478" applyNumberFormat="0" applyAlignment="0" applyProtection="0"/>
    <xf numFmtId="15" fontId="179" fillId="0" borderId="0"/>
    <xf numFmtId="0" fontId="34" fillId="86" borderId="607" applyNumberFormat="0" applyAlignment="0" applyProtection="0"/>
    <xf numFmtId="0" fontId="34" fillId="86" borderId="468" applyNumberFormat="0" applyAlignment="0" applyProtection="0"/>
    <xf numFmtId="0" fontId="34" fillId="86" borderId="538" applyNumberFormat="0" applyAlignment="0" applyProtection="0"/>
    <xf numFmtId="0" fontId="24" fillId="0" borderId="457" applyNumberFormat="0" applyFill="0" applyAlignment="0" applyProtection="0"/>
    <xf numFmtId="0" fontId="34" fillId="66" borderId="477" applyNumberFormat="0" applyAlignment="0" applyProtection="0"/>
    <xf numFmtId="0" fontId="46" fillId="31" borderId="634" applyNumberFormat="0" applyAlignment="0" applyProtection="0"/>
    <xf numFmtId="0" fontId="34" fillId="86" borderId="486" applyNumberFormat="0" applyAlignment="0" applyProtection="0"/>
    <xf numFmtId="0" fontId="18" fillId="31" borderId="526" applyNumberFormat="0" applyAlignment="0" applyProtection="0"/>
    <xf numFmtId="0" fontId="24" fillId="0" borderId="500" applyNumberFormat="0" applyFill="0" applyAlignment="0" applyProtection="0"/>
    <xf numFmtId="0" fontId="34" fillId="86" borderId="617" applyNumberFormat="0" applyAlignment="0" applyProtection="0"/>
    <xf numFmtId="0" fontId="46" fillId="79" borderId="516" applyNumberFormat="0" applyAlignment="0" applyProtection="0"/>
    <xf numFmtId="0" fontId="195" fillId="0" borderId="543" applyNumberFormat="0" applyFill="0" applyAlignment="0" applyProtection="0">
      <alignment vertical="center"/>
    </xf>
    <xf numFmtId="0" fontId="34" fillId="86" borderId="617" applyNumberFormat="0" applyAlignment="0" applyProtection="0"/>
    <xf numFmtId="0" fontId="168" fillId="35" borderId="548" applyNumberFormat="0" applyFont="0" applyAlignment="0" applyProtection="0">
      <alignment vertical="center"/>
    </xf>
    <xf numFmtId="0" fontId="46" fillId="79" borderId="479" applyNumberFormat="0" applyAlignment="0" applyProtection="0"/>
    <xf numFmtId="0" fontId="178" fillId="86" borderId="514" applyNumberFormat="0" applyAlignment="0" applyProtection="0">
      <alignment vertical="center"/>
    </xf>
    <xf numFmtId="0" fontId="25" fillId="81" borderId="487" applyNumberFormat="0" applyAlignment="0" applyProtection="0"/>
    <xf numFmtId="0" fontId="29" fillId="0" borderId="467" applyNumberFormat="0" applyAlignment="0" applyProtection="0"/>
    <xf numFmtId="0" fontId="18" fillId="31" borderId="496" applyNumberFormat="0" applyAlignment="0" applyProtection="0"/>
    <xf numFmtId="0" fontId="34" fillId="86" borderId="592" applyNumberFormat="0" applyAlignment="0" applyProtection="0"/>
    <xf numFmtId="0" fontId="34" fillId="66" borderId="496" applyNumberFormat="0" applyAlignment="0" applyProtection="0"/>
    <xf numFmtId="0" fontId="46" fillId="79" borderId="479" applyNumberFormat="0" applyAlignment="0" applyProtection="0"/>
    <xf numFmtId="0" fontId="29" fillId="0" borderId="449">
      <alignment horizontal="left" vertical="center"/>
    </xf>
    <xf numFmtId="0" fontId="34" fillId="86" borderId="504" applyNumberFormat="0" applyAlignment="0" applyProtection="0"/>
    <xf numFmtId="0" fontId="18" fillId="79" borderId="547" applyNumberFormat="0" applyAlignment="0" applyProtection="0"/>
    <xf numFmtId="0" fontId="46" fillId="31" borderId="590" applyNumberFormat="0" applyAlignment="0" applyProtection="0"/>
    <xf numFmtId="0" fontId="34" fillId="86" borderId="629" applyNumberFormat="0" applyAlignment="0" applyProtection="0"/>
    <xf numFmtId="0" fontId="25" fillId="81" borderId="515" applyNumberFormat="0" applyAlignment="0" applyProtection="0"/>
    <xf numFmtId="0" fontId="29" fillId="0" borderId="455">
      <alignment horizontal="left" vertical="center"/>
    </xf>
    <xf numFmtId="0" fontId="29" fillId="0" borderId="455">
      <alignment horizontal="left" vertical="center"/>
    </xf>
    <xf numFmtId="0" fontId="7" fillId="35" borderId="515" applyNumberFormat="0" applyFont="0" applyAlignment="0" applyProtection="0"/>
    <xf numFmtId="0" fontId="178" fillId="86" borderId="468" applyNumberFormat="0" applyAlignment="0" applyProtection="0">
      <alignment vertical="center"/>
    </xf>
    <xf numFmtId="0" fontId="29" fillId="0" borderId="502" applyNumberFormat="0" applyAlignment="0" applyProtection="0"/>
    <xf numFmtId="0" fontId="34" fillId="66" borderId="451" applyNumberFormat="0" applyAlignment="0" applyProtection="0"/>
    <xf numFmtId="0" fontId="34" fillId="86" borderId="451" applyNumberFormat="0" applyAlignment="0" applyProtection="0"/>
    <xf numFmtId="0" fontId="34" fillId="86" borderId="451" applyNumberFormat="0" applyAlignment="0" applyProtection="0"/>
    <xf numFmtId="2" fontId="174" fillId="0" borderId="473" applyFont="0" applyBorder="0" applyAlignment="0" applyProtection="0">
      <alignment horizontal="right"/>
    </xf>
    <xf numFmtId="243" fontId="168" fillId="0" borderId="0" applyFill="0" applyBorder="0" applyProtection="0">
      <alignment vertical="center"/>
    </xf>
    <xf numFmtId="0" fontId="34" fillId="86" borderId="451" applyNumberFormat="0" applyAlignment="0" applyProtection="0"/>
    <xf numFmtId="43" fontId="3" fillId="0" borderId="0" applyFont="0" applyFill="0" applyBorder="0" applyAlignment="0" applyProtection="0"/>
    <xf numFmtId="0" fontId="46" fillId="79" borderId="470" applyNumberFormat="0" applyAlignment="0" applyProtection="0"/>
    <xf numFmtId="0" fontId="29" fillId="0" borderId="529">
      <alignment horizontal="left" vertical="center"/>
    </xf>
    <xf numFmtId="0" fontId="46" fillId="79" borderId="470" applyNumberFormat="0" applyAlignment="0" applyProtection="0"/>
    <xf numFmtId="43" fontId="3" fillId="0" borderId="0" applyFont="0" applyFill="0" applyBorder="0" applyAlignment="0" applyProtection="0"/>
    <xf numFmtId="0" fontId="18" fillId="79" borderId="462" applyNumberFormat="0" applyAlignment="0" applyProtection="0"/>
    <xf numFmtId="0" fontId="34" fillId="86" borderId="504" applyNumberFormat="0" applyAlignment="0" applyProtection="0"/>
    <xf numFmtId="0" fontId="29" fillId="0" borderId="499">
      <alignment horizontal="left" vertical="center"/>
    </xf>
    <xf numFmtId="0" fontId="177" fillId="0" borderId="0">
      <alignment vertical="center"/>
    </xf>
    <xf numFmtId="0" fontId="200" fillId="0" borderId="450"/>
    <xf numFmtId="0" fontId="202" fillId="31" borderId="451" applyNumberFormat="0" applyAlignment="0" applyProtection="0">
      <alignment vertical="center"/>
    </xf>
    <xf numFmtId="0" fontId="34" fillId="86" borderId="477" applyNumberFormat="0" applyAlignment="0" applyProtection="0"/>
    <xf numFmtId="206" fontId="174" fillId="0" borderId="0" applyFont="0" applyFill="0" applyBorder="0" applyAlignment="0" applyProtection="0"/>
    <xf numFmtId="0" fontId="201" fillId="90" borderId="0" applyNumberFormat="0" applyBorder="0" applyAlignment="0" applyProtection="0">
      <alignment vertical="center"/>
    </xf>
    <xf numFmtId="0" fontId="29" fillId="0" borderId="593">
      <alignment horizontal="left" vertical="center"/>
    </xf>
    <xf numFmtId="0" fontId="29" fillId="0" borderId="565">
      <alignment horizontal="left" vertical="center"/>
    </xf>
    <xf numFmtId="0" fontId="46" fillId="31" borderId="590" applyNumberFormat="0" applyAlignment="0" applyProtection="0"/>
    <xf numFmtId="0" fontId="34" fillId="86" borderId="462" applyNumberFormat="0" applyAlignment="0" applyProtection="0"/>
    <xf numFmtId="0" fontId="34" fillId="86" borderId="585" applyNumberFormat="0" applyAlignment="0" applyProtection="0"/>
    <xf numFmtId="0" fontId="34" fillId="86" borderId="462" applyNumberFormat="0" applyAlignment="0" applyProtection="0"/>
    <xf numFmtId="0" fontId="25" fillId="81" borderId="599" applyNumberFormat="0" applyAlignment="0" applyProtection="0"/>
    <xf numFmtId="0" fontId="177" fillId="0" borderId="0">
      <alignment vertical="center"/>
    </xf>
    <xf numFmtId="0" fontId="177" fillId="0" borderId="0">
      <alignment vertical="center"/>
    </xf>
    <xf numFmtId="0" fontId="34" fillId="86" borderId="462" applyNumberFormat="0" applyAlignment="0" applyProtection="0"/>
    <xf numFmtId="0" fontId="34" fillId="86" borderId="504" applyNumberFormat="0" applyAlignment="0" applyProtection="0"/>
    <xf numFmtId="0" fontId="168" fillId="0" borderId="0">
      <alignment vertical="center"/>
    </xf>
    <xf numFmtId="0" fontId="168" fillId="0" borderId="0">
      <alignment vertical="center"/>
    </xf>
    <xf numFmtId="0" fontId="168" fillId="0" borderId="0">
      <alignment vertical="center"/>
    </xf>
    <xf numFmtId="0" fontId="202" fillId="31" borderId="555" applyNumberFormat="0" applyAlignment="0" applyProtection="0">
      <alignment vertical="center"/>
    </xf>
    <xf numFmtId="0" fontId="25" fillId="81" borderId="580" applyNumberFormat="0" applyAlignment="0" applyProtection="0"/>
    <xf numFmtId="0" fontId="34" fillId="86" borderId="477" applyNumberFormat="0" applyAlignment="0" applyProtection="0"/>
    <xf numFmtId="0" fontId="172" fillId="0" borderId="0"/>
    <xf numFmtId="0" fontId="34" fillId="86" borderId="462" applyNumberFormat="0" applyAlignment="0" applyProtection="0"/>
    <xf numFmtId="0" fontId="172" fillId="0" borderId="0"/>
    <xf numFmtId="0" fontId="202" fillId="31" borderId="547" applyNumberFormat="0" applyAlignment="0" applyProtection="0">
      <alignment vertical="center"/>
    </xf>
    <xf numFmtId="0" fontId="29" fillId="0" borderId="517">
      <alignment horizontal="left" vertical="center"/>
    </xf>
    <xf numFmtId="0" fontId="18" fillId="31" borderId="568" applyNumberFormat="0" applyAlignment="0" applyProtection="0"/>
    <xf numFmtId="0" fontId="195" fillId="0" borderId="551" applyNumberFormat="0" applyFill="0" applyAlignment="0" applyProtection="0">
      <alignment vertical="center"/>
    </xf>
    <xf numFmtId="0" fontId="3" fillId="0" borderId="0"/>
    <xf numFmtId="0" fontId="172" fillId="0" borderId="0"/>
    <xf numFmtId="0" fontId="172" fillId="0" borderId="0"/>
    <xf numFmtId="0" fontId="168" fillId="35" borderId="548" applyNumberFormat="0" applyFont="0" applyAlignment="0" applyProtection="0">
      <alignment vertical="center"/>
    </xf>
    <xf numFmtId="0" fontId="189" fillId="31" borderId="528" applyNumberFormat="0" applyAlignment="0" applyProtection="0">
      <alignment vertical="center"/>
    </xf>
    <xf numFmtId="0" fontId="172" fillId="0" borderId="0"/>
    <xf numFmtId="0" fontId="172" fillId="0" borderId="0"/>
    <xf numFmtId="0" fontId="34" fillId="86" borderId="585" applyNumberFormat="0" applyAlignment="0" applyProtection="0"/>
    <xf numFmtId="0" fontId="172" fillId="0" borderId="0"/>
    <xf numFmtId="0" fontId="172" fillId="0" borderId="0"/>
    <xf numFmtId="0" fontId="24" fillId="0" borderId="500" applyNumberFormat="0" applyFill="0" applyAlignment="0" applyProtection="0"/>
    <xf numFmtId="0" fontId="34" fillId="86" borderId="538" applyNumberFormat="0" applyAlignment="0" applyProtection="0"/>
    <xf numFmtId="0" fontId="203" fillId="0" borderId="0" applyNumberFormat="0" applyFill="0" applyBorder="0" applyAlignment="0" applyProtection="0"/>
    <xf numFmtId="0" fontId="34" fillId="86" borderId="617" applyNumberFormat="0" applyAlignment="0" applyProtection="0"/>
    <xf numFmtId="0" fontId="46" fillId="31" borderId="470" applyNumberFormat="0" applyAlignment="0" applyProtection="0"/>
    <xf numFmtId="0" fontId="29" fillId="0" borderId="582">
      <alignment horizontal="left" vertical="center"/>
    </xf>
    <xf numFmtId="0" fontId="25" fillId="81" borderId="527" applyNumberFormat="0" applyAlignment="0" applyProtection="0"/>
    <xf numFmtId="0" fontId="18" fillId="79" borderId="538" applyNumberFormat="0" applyAlignment="0" applyProtection="0"/>
    <xf numFmtId="0" fontId="46" fillId="79" borderId="600" applyNumberFormat="0" applyAlignment="0" applyProtection="0"/>
    <xf numFmtId="0" fontId="34" fillId="86" borderId="629" applyNumberFormat="0" applyAlignment="0" applyProtection="0"/>
    <xf numFmtId="0" fontId="46" fillId="79" borderId="528" applyNumberFormat="0" applyAlignment="0" applyProtection="0"/>
    <xf numFmtId="9" fontId="168" fillId="0" borderId="0" applyFont="0" applyFill="0" applyBorder="0" applyAlignment="0" applyProtection="0">
      <alignment vertical="center"/>
    </xf>
    <xf numFmtId="9" fontId="168" fillId="0" borderId="0" applyFont="0" applyFill="0" applyBorder="0" applyAlignment="0" applyProtection="0">
      <alignment vertical="center"/>
    </xf>
    <xf numFmtId="0" fontId="29" fillId="0" borderId="494" applyNumberFormat="0" applyAlignment="0" applyProtection="0"/>
    <xf numFmtId="9" fontId="168" fillId="0" borderId="0" applyFont="0" applyFill="0" applyBorder="0" applyAlignment="0" applyProtection="0">
      <alignment vertical="center"/>
    </xf>
    <xf numFmtId="9" fontId="168" fillId="0" borderId="0" applyFont="0" applyFill="0" applyBorder="0" applyAlignment="0" applyProtection="0">
      <alignment vertical="center"/>
    </xf>
    <xf numFmtId="0" fontId="46" fillId="79" borderId="470" applyNumberFormat="0" applyAlignment="0" applyProtection="0"/>
    <xf numFmtId="0" fontId="34" fillId="86" borderId="462" applyNumberFormat="0" applyAlignment="0" applyProtection="0"/>
    <xf numFmtId="0" fontId="34" fillId="86" borderId="486" applyNumberFormat="0" applyAlignment="0" applyProtection="0"/>
    <xf numFmtId="0" fontId="168" fillId="0" borderId="0"/>
    <xf numFmtId="0" fontId="168" fillId="0" borderId="0"/>
    <xf numFmtId="0" fontId="18" fillId="79" borderId="592" applyNumberFormat="0" applyAlignment="0" applyProtection="0"/>
    <xf numFmtId="0" fontId="46" fillId="79" borderId="498" applyNumberFormat="0" applyAlignment="0" applyProtection="0"/>
    <xf numFmtId="0" fontId="205" fillId="0" borderId="0" applyNumberFormat="0" applyFill="0" applyBorder="0" applyAlignment="0" applyProtection="0"/>
    <xf numFmtId="0" fontId="10" fillId="104" borderId="0" applyNumberFormat="0" applyBorder="0" applyAlignment="0" applyProtection="0"/>
    <xf numFmtId="0" fontId="168" fillId="35" borderId="527" applyNumberFormat="0" applyFont="0" applyAlignment="0" applyProtection="0">
      <alignment vertical="center"/>
    </xf>
    <xf numFmtId="0" fontId="24" fillId="0" borderId="551" applyNumberFormat="0" applyFill="0" applyAlignment="0" applyProtection="0"/>
    <xf numFmtId="0" fontId="168" fillId="0" borderId="0"/>
    <xf numFmtId="0" fontId="168" fillId="0" borderId="0"/>
    <xf numFmtId="0" fontId="168" fillId="0" borderId="0"/>
    <xf numFmtId="0" fontId="34" fillId="86" borderId="547" applyNumberFormat="0" applyAlignment="0" applyProtection="0"/>
    <xf numFmtId="0" fontId="3" fillId="0" borderId="0"/>
    <xf numFmtId="0" fontId="168" fillId="0" borderId="0"/>
    <xf numFmtId="0" fontId="18" fillId="79" borderId="526" applyNumberFormat="0" applyAlignment="0" applyProtection="0"/>
    <xf numFmtId="0" fontId="18" fillId="31" borderId="468" applyNumberFormat="0" applyAlignment="0" applyProtection="0"/>
    <xf numFmtId="0" fontId="168" fillId="0" borderId="0"/>
    <xf numFmtId="0" fontId="18" fillId="79" borderId="607" applyNumberFormat="0" applyAlignment="0" applyProtection="0"/>
    <xf numFmtId="0" fontId="172" fillId="0" borderId="0"/>
    <xf numFmtId="0" fontId="195" fillId="0" borderId="566" applyNumberFormat="0" applyFill="0" applyAlignment="0" applyProtection="0">
      <alignment vertical="center"/>
    </xf>
    <xf numFmtId="0" fontId="34" fillId="86" borderId="631" applyNumberFormat="0" applyAlignment="0" applyProtection="0"/>
    <xf numFmtId="0" fontId="172" fillId="0" borderId="0"/>
    <xf numFmtId="0" fontId="172" fillId="0" borderId="0"/>
    <xf numFmtId="0" fontId="206" fillId="0" borderId="0" applyNumberFormat="0" applyFill="0" applyBorder="0" applyAlignment="0" applyProtection="0">
      <alignment vertical="center"/>
    </xf>
    <xf numFmtId="0" fontId="172" fillId="0" borderId="0"/>
    <xf numFmtId="0" fontId="172" fillId="0" borderId="0"/>
    <xf numFmtId="0" fontId="172" fillId="0" borderId="0"/>
    <xf numFmtId="0" fontId="172" fillId="0" borderId="0"/>
    <xf numFmtId="0" fontId="172" fillId="0" borderId="0"/>
    <xf numFmtId="0" fontId="172" fillId="0" borderId="0"/>
    <xf numFmtId="1" fontId="174" fillId="0" borderId="0" applyFont="0" applyFill="0" applyBorder="0" applyProtection="0">
      <alignment horizontal="right"/>
    </xf>
    <xf numFmtId="0" fontId="18" fillId="79" borderId="579" applyNumberFormat="0" applyAlignment="0" applyProtection="0"/>
    <xf numFmtId="0" fontId="34" fillId="66" borderId="607" applyNumberFormat="0" applyAlignment="0" applyProtection="0"/>
    <xf numFmtId="0" fontId="34" fillId="86" borderId="468" applyNumberFormat="0" applyAlignment="0" applyProtection="0"/>
    <xf numFmtId="0" fontId="29" fillId="0" borderId="529">
      <alignment horizontal="left" vertical="center"/>
    </xf>
    <xf numFmtId="0" fontId="168" fillId="35" borderId="487" applyNumberFormat="0" applyFont="0" applyAlignment="0" applyProtection="0">
      <alignment vertical="center"/>
    </xf>
    <xf numFmtId="43" fontId="1" fillId="0" borderId="0" applyFont="0" applyFill="0" applyBorder="0" applyAlignment="0" applyProtection="0"/>
    <xf numFmtId="0" fontId="25" fillId="81" borderId="452" applyNumberFormat="0" applyAlignment="0" applyProtection="0"/>
    <xf numFmtId="0" fontId="7" fillId="35" borderId="452" applyNumberFormat="0" applyFont="0" applyAlignment="0" applyProtection="0"/>
    <xf numFmtId="0" fontId="18" fillId="79" borderId="547" applyNumberFormat="0" applyAlignment="0" applyProtection="0"/>
    <xf numFmtId="0" fontId="34" fillId="86" borderId="477" applyNumberFormat="0" applyAlignment="0" applyProtection="0"/>
    <xf numFmtId="0" fontId="46" fillId="79" borderId="453" applyNumberFormat="0" applyAlignment="0" applyProtection="0"/>
    <xf numFmtId="0" fontId="46" fillId="31" borderId="453" applyNumberFormat="0" applyAlignment="0" applyProtection="0"/>
    <xf numFmtId="0" fontId="46" fillId="79" borderId="453" applyNumberFormat="0" applyAlignment="0" applyProtection="0"/>
    <xf numFmtId="0" fontId="46" fillId="79" borderId="453" applyNumberFormat="0" applyAlignment="0" applyProtection="0"/>
    <xf numFmtId="0" fontId="29" fillId="0" borderId="461" applyNumberFormat="0" applyAlignment="0" applyProtection="0"/>
    <xf numFmtId="0" fontId="34" fillId="86" borderId="477" applyNumberFormat="0" applyAlignment="0" applyProtection="0"/>
    <xf numFmtId="43" fontId="3" fillId="0" borderId="0" applyFont="0" applyFill="0" applyBorder="0" applyAlignment="0" applyProtection="0"/>
    <xf numFmtId="0" fontId="185" fillId="0" borderId="454" applyNumberFormat="0" applyFont="0">
      <alignment horizontal="center" vertical="center"/>
    </xf>
    <xf numFmtId="0" fontId="34" fillId="86" borderId="602" applyNumberFormat="0" applyAlignment="0" applyProtection="0"/>
    <xf numFmtId="0" fontId="7" fillId="35" borderId="497" applyNumberFormat="0" applyFont="0" applyAlignment="0" applyProtection="0"/>
    <xf numFmtId="0" fontId="34" fillId="86" borderId="568" applyNumberFormat="0" applyAlignment="0" applyProtection="0"/>
    <xf numFmtId="0" fontId="34" fillId="66" borderId="514" applyNumberFormat="0" applyAlignment="0" applyProtection="0"/>
    <xf numFmtId="9" fontId="177" fillId="0" borderId="0" applyFont="0" applyFill="0" applyBorder="0" applyAlignment="0" applyProtection="0">
      <alignment vertical="center"/>
    </xf>
    <xf numFmtId="0" fontId="29" fillId="0" borderId="489">
      <alignment horizontal="left" vertical="center"/>
    </xf>
    <xf numFmtId="9" fontId="168" fillId="0" borderId="0" applyFont="0" applyFill="0" applyBorder="0" applyAlignment="0" applyProtection="0">
      <alignment vertical="center"/>
    </xf>
    <xf numFmtId="9" fontId="168" fillId="0" borderId="0" applyFont="0" applyFill="0" applyBorder="0" applyAlignment="0" applyProtection="0">
      <alignment vertical="center"/>
    </xf>
    <xf numFmtId="9" fontId="168" fillId="0" borderId="0" applyFont="0" applyFill="0" applyBorder="0" applyAlignment="0" applyProtection="0">
      <alignment vertical="center"/>
    </xf>
    <xf numFmtId="9" fontId="168" fillId="0" borderId="0" applyFont="0" applyFill="0" applyBorder="0" applyAlignment="0" applyProtection="0">
      <alignment vertical="center"/>
    </xf>
    <xf numFmtId="9" fontId="168" fillId="0" borderId="0" applyFont="0" applyFill="0" applyBorder="0" applyAlignment="0" applyProtection="0">
      <alignment vertical="center"/>
    </xf>
    <xf numFmtId="9" fontId="168" fillId="0" borderId="0" applyFont="0" applyFill="0" applyBorder="0" applyAlignment="0" applyProtection="0">
      <alignment vertical="center"/>
    </xf>
    <xf numFmtId="9" fontId="168" fillId="0" borderId="0" applyFont="0" applyFill="0" applyBorder="0" applyAlignment="0" applyProtection="0">
      <alignment vertical="center"/>
    </xf>
    <xf numFmtId="9" fontId="168" fillId="0" borderId="0" applyFont="0" applyFill="0" applyBorder="0" applyAlignment="0" applyProtection="0">
      <alignment vertical="center"/>
    </xf>
    <xf numFmtId="9" fontId="168" fillId="0" borderId="0" applyFont="0" applyFill="0" applyBorder="0" applyAlignment="0" applyProtection="0">
      <alignment vertical="center"/>
    </xf>
    <xf numFmtId="9" fontId="168" fillId="0" borderId="0" applyFont="0" applyFill="0" applyBorder="0" applyAlignment="0" applyProtection="0">
      <alignment vertical="center"/>
    </xf>
    <xf numFmtId="9" fontId="168" fillId="0" borderId="0" applyFont="0" applyFill="0" applyBorder="0" applyAlignment="0" applyProtection="0">
      <alignment vertical="center"/>
    </xf>
    <xf numFmtId="0" fontId="7" fillId="35" borderId="589" applyNumberFormat="0" applyFont="0" applyAlignment="0" applyProtection="0"/>
    <xf numFmtId="0" fontId="174" fillId="0" borderId="0"/>
    <xf numFmtId="0" fontId="46" fillId="79" borderId="498" applyNumberFormat="0" applyAlignment="0" applyProtection="0"/>
    <xf numFmtId="2" fontId="174" fillId="0" borderId="458" applyFont="0" applyBorder="0" applyAlignment="0" applyProtection="0">
      <alignment horizontal="right"/>
    </xf>
    <xf numFmtId="9" fontId="168" fillId="0" borderId="0" applyFont="0" applyFill="0" applyBorder="0" applyAlignment="0" applyProtection="0">
      <alignment vertical="center"/>
    </xf>
    <xf numFmtId="9" fontId="168" fillId="0" borderId="0" applyFont="0" applyFill="0" applyBorder="0" applyAlignment="0" applyProtection="0">
      <alignment vertical="center"/>
    </xf>
    <xf numFmtId="9" fontId="168" fillId="0" borderId="0" applyFont="0" applyFill="0" applyBorder="0" applyAlignment="0" applyProtection="0">
      <alignment vertical="center"/>
    </xf>
    <xf numFmtId="9" fontId="168" fillId="0" borderId="0" applyFont="0" applyFill="0" applyBorder="0" applyAlignment="0" applyProtection="0">
      <alignment vertical="center"/>
    </xf>
    <xf numFmtId="0" fontId="34" fillId="86" borderId="538" applyNumberFormat="0" applyAlignment="0" applyProtection="0"/>
    <xf numFmtId="0" fontId="34" fillId="86" borderId="587" applyNumberFormat="0" applyAlignment="0" applyProtection="0"/>
    <xf numFmtId="9" fontId="168" fillId="0" borderId="0" applyFont="0" applyFill="0" applyBorder="0" applyAlignment="0" applyProtection="0">
      <alignment vertical="center"/>
    </xf>
    <xf numFmtId="0" fontId="18" fillId="79" borderId="514" applyNumberFormat="0" applyAlignment="0" applyProtection="0"/>
    <xf numFmtId="0" fontId="46" fillId="31" borderId="488" applyNumberFormat="0" applyAlignment="0" applyProtection="0"/>
    <xf numFmtId="9" fontId="168" fillId="0" borderId="0" applyFont="0" applyFill="0" applyBorder="0" applyAlignment="0" applyProtection="0">
      <alignment vertical="center"/>
    </xf>
    <xf numFmtId="9" fontId="168" fillId="0" borderId="0" applyFont="0" applyFill="0" applyBorder="0" applyAlignment="0" applyProtection="0">
      <alignment vertical="center"/>
    </xf>
    <xf numFmtId="0" fontId="18" fillId="79" borderId="555" applyNumberFormat="0" applyAlignment="0" applyProtection="0"/>
    <xf numFmtId="10" fontId="179" fillId="0" borderId="0" applyFont="0" applyFill="0" applyBorder="0" applyAlignment="0" applyProtection="0"/>
    <xf numFmtId="0" fontId="178" fillId="86" borderId="547" applyNumberFormat="0" applyAlignment="0" applyProtection="0">
      <alignment vertical="center"/>
    </xf>
    <xf numFmtId="0" fontId="34" fillId="66" borderId="504" applyNumberFormat="0" applyAlignment="0" applyProtection="0"/>
    <xf numFmtId="0" fontId="34" fillId="86" borderId="587" applyNumberFormat="0" applyAlignment="0" applyProtection="0"/>
    <xf numFmtId="0" fontId="34" fillId="66" borderId="555" applyNumberFormat="0" applyAlignment="0" applyProtection="0"/>
    <xf numFmtId="0" fontId="25" fillId="81" borderId="487" applyNumberFormat="0" applyAlignment="0" applyProtection="0"/>
    <xf numFmtId="0" fontId="34" fillId="66" borderId="602" applyNumberFormat="0" applyAlignment="0" applyProtection="0"/>
    <xf numFmtId="242" fontId="187" fillId="0" borderId="0" applyFont="0" applyFill="0" applyBorder="0" applyAlignment="0" applyProtection="0"/>
    <xf numFmtId="0" fontId="46" fillId="31" borderId="651" applyNumberFormat="0" applyAlignment="0" applyProtection="0"/>
    <xf numFmtId="0" fontId="29" fillId="0" borderId="639">
      <alignment horizontal="left" vertical="center"/>
    </xf>
    <xf numFmtId="0" fontId="34" fillId="86" borderId="579" applyNumberFormat="0" applyAlignment="0" applyProtection="0"/>
    <xf numFmtId="0" fontId="18" fillId="79" borderId="629" applyNumberFormat="0" applyAlignment="0" applyProtection="0"/>
    <xf numFmtId="0" fontId="34" fillId="86" borderId="526" applyNumberFormat="0" applyAlignment="0" applyProtection="0"/>
    <xf numFmtId="0" fontId="34" fillId="66" borderId="477" applyNumberFormat="0" applyAlignment="0" applyProtection="0"/>
    <xf numFmtId="0" fontId="34" fillId="86" borderId="602" applyNumberFormat="0" applyAlignment="0" applyProtection="0"/>
    <xf numFmtId="0" fontId="18" fillId="79" borderId="623" applyNumberFormat="0" applyAlignment="0" applyProtection="0"/>
    <xf numFmtId="0" fontId="34" fillId="86" borderId="486" applyNumberFormat="0" applyAlignment="0" applyProtection="0"/>
    <xf numFmtId="0" fontId="195" fillId="0" borderId="551" applyNumberFormat="0" applyFill="0" applyAlignment="0" applyProtection="0">
      <alignment vertical="center"/>
    </xf>
    <xf numFmtId="0" fontId="173" fillId="0" borderId="0" applyNumberFormat="0" applyFill="0" applyBorder="0" applyAlignment="0" applyProtection="0"/>
    <xf numFmtId="0" fontId="34" fillId="66" borderId="538" applyNumberFormat="0" applyAlignment="0" applyProtection="0"/>
    <xf numFmtId="0" fontId="34" fillId="86" borderId="607" applyNumberFormat="0" applyAlignment="0" applyProtection="0"/>
    <xf numFmtId="0" fontId="185" fillId="0" borderId="501" applyNumberFormat="0" applyFont="0">
      <alignment horizontal="center" vertical="center"/>
    </xf>
    <xf numFmtId="0" fontId="200" fillId="0" borderId="0"/>
    <xf numFmtId="0" fontId="34" fillId="86" borderId="468" applyNumberFormat="0" applyAlignment="0" applyProtection="0"/>
    <xf numFmtId="0" fontId="34" fillId="86" borderId="468" applyNumberFormat="0" applyAlignment="0" applyProtection="0"/>
    <xf numFmtId="0" fontId="25" fillId="81" borderId="515" applyNumberFormat="0" applyAlignment="0" applyProtection="0"/>
    <xf numFmtId="0" fontId="46" fillId="79" borderId="464" applyNumberFormat="0" applyAlignment="0" applyProtection="0"/>
    <xf numFmtId="0" fontId="168" fillId="35" borderId="539" applyNumberFormat="0" applyFont="0" applyAlignment="0" applyProtection="0">
      <alignment vertical="center"/>
    </xf>
    <xf numFmtId="0" fontId="24" fillId="0" borderId="457" applyNumberFormat="0" applyFill="0" applyAlignment="0" applyProtection="0"/>
    <xf numFmtId="214" fontId="196" fillId="0" borderId="0">
      <alignment horizontal="left"/>
    </xf>
    <xf numFmtId="214" fontId="196" fillId="0" borderId="0">
      <alignment horizontal="left"/>
    </xf>
    <xf numFmtId="214" fontId="196" fillId="0" borderId="0">
      <alignment horizontal="left"/>
    </xf>
    <xf numFmtId="0" fontId="29" fillId="0" borderId="494" applyNumberFormat="0" applyAlignment="0" applyProtection="0"/>
    <xf numFmtId="0" fontId="7" fillId="35" borderId="599" applyNumberFormat="0" applyFont="0" applyAlignment="0" applyProtection="0"/>
    <xf numFmtId="43" fontId="3" fillId="0" borderId="0" applyFont="0" applyFill="0" applyBorder="0" applyAlignment="0" applyProtection="0"/>
    <xf numFmtId="0" fontId="34" fillId="66" borderId="636" applyNumberFormat="0" applyAlignment="0" applyProtection="0"/>
    <xf numFmtId="0" fontId="34" fillId="86" borderId="585" applyNumberFormat="0" applyAlignment="0" applyProtection="0"/>
    <xf numFmtId="43" fontId="3" fillId="0" borderId="0" applyFont="0" applyFill="0" applyBorder="0" applyAlignment="0" applyProtection="0"/>
    <xf numFmtId="0" fontId="29" fillId="0" borderId="476" applyNumberFormat="0" applyAlignment="0" applyProtection="0"/>
    <xf numFmtId="0" fontId="34" fillId="86" borderId="462" applyNumberFormat="0" applyAlignment="0" applyProtection="0"/>
    <xf numFmtId="0" fontId="186" fillId="103" borderId="0" applyNumberFormat="0" applyBorder="0" applyAlignment="0" applyProtection="0">
      <alignment vertical="center"/>
    </xf>
    <xf numFmtId="0" fontId="186" fillId="101" borderId="0" applyNumberFormat="0" applyBorder="0" applyAlignment="0" applyProtection="0">
      <alignment vertical="center"/>
    </xf>
    <xf numFmtId="0" fontId="186" fillId="104" borderId="0" applyNumberFormat="0" applyBorder="0" applyAlignment="0" applyProtection="0">
      <alignment vertical="center"/>
    </xf>
    <xf numFmtId="0" fontId="186" fillId="98" borderId="0" applyNumberFormat="0" applyBorder="0" applyAlignment="0" applyProtection="0">
      <alignment vertical="center"/>
    </xf>
    <xf numFmtId="0" fontId="186" fillId="99" borderId="0" applyNumberFormat="0" applyBorder="0" applyAlignment="0" applyProtection="0">
      <alignment vertical="center"/>
    </xf>
    <xf numFmtId="0" fontId="186" fillId="102" borderId="0" applyNumberFormat="0" applyBorder="0" applyAlignment="0" applyProtection="0">
      <alignment vertical="center"/>
    </xf>
    <xf numFmtId="0" fontId="208" fillId="0" borderId="0" applyNumberFormat="0" applyFill="0" applyBorder="0" applyAlignment="0" applyProtection="0">
      <alignment vertical="center"/>
    </xf>
    <xf numFmtId="0" fontId="184" fillId="91" borderId="0" applyNumberFormat="0" applyBorder="0" applyAlignment="0" applyProtection="0">
      <alignment vertical="center"/>
    </xf>
    <xf numFmtId="0" fontId="168" fillId="35" borderId="452" applyNumberFormat="0" applyFont="0" applyAlignment="0" applyProtection="0">
      <alignment vertical="center"/>
    </xf>
    <xf numFmtId="0" fontId="209" fillId="0" borderId="10" applyNumberFormat="0" applyFill="0" applyAlignment="0" applyProtection="0">
      <alignment vertical="center"/>
    </xf>
    <xf numFmtId="0" fontId="187" fillId="0" borderId="0" applyNumberFormat="0" applyFill="0" applyBorder="0" applyAlignment="0" applyProtection="0"/>
    <xf numFmtId="0" fontId="189" fillId="31" borderId="453" applyNumberFormat="0" applyAlignment="0" applyProtection="0">
      <alignment vertical="center"/>
    </xf>
    <xf numFmtId="0" fontId="177"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74" fillId="0" borderId="0" applyNumberFormat="0" applyFill="0" applyBorder="0" applyAlignment="0" applyProtection="0"/>
    <xf numFmtId="0" fontId="204" fillId="0" borderId="7" applyNumberFormat="0" applyFill="0" applyAlignment="0" applyProtection="0">
      <alignment vertical="center"/>
    </xf>
    <xf numFmtId="0" fontId="191" fillId="0" borderId="0" applyNumberFormat="0" applyFill="0" applyBorder="0" applyAlignment="0" applyProtection="0">
      <alignment vertical="center"/>
    </xf>
    <xf numFmtId="0" fontId="202" fillId="31" borderId="451" applyNumberFormat="0" applyAlignment="0" applyProtection="0">
      <alignment vertical="center"/>
    </xf>
    <xf numFmtId="0" fontId="182" fillId="0" borderId="0" applyNumberFormat="0" applyFill="0" applyBorder="0" applyAlignment="0" applyProtection="0">
      <alignment vertical="center"/>
    </xf>
    <xf numFmtId="0" fontId="207" fillId="0" borderId="0" applyNumberFormat="0" applyFill="0" applyBorder="0" applyAlignment="0" applyProtection="0">
      <alignment vertical="center"/>
    </xf>
    <xf numFmtId="0" fontId="195" fillId="0" borderId="457" applyNumberFormat="0" applyFill="0" applyAlignment="0" applyProtection="0">
      <alignment vertical="center"/>
    </xf>
    <xf numFmtId="0" fontId="34" fillId="86" borderId="526" applyNumberFormat="0" applyAlignment="0" applyProtection="0"/>
    <xf numFmtId="0" fontId="46" fillId="31" borderId="634" applyNumberFormat="0" applyAlignment="0" applyProtection="0"/>
    <xf numFmtId="0" fontId="24" fillId="0" borderId="490" applyNumberFormat="0" applyFill="0" applyAlignment="0" applyProtection="0"/>
    <xf numFmtId="0" fontId="7" fillId="35" borderId="469" applyNumberFormat="0" applyFont="0" applyAlignment="0" applyProtection="0"/>
    <xf numFmtId="0" fontId="46" fillId="31" borderId="600" applyNumberFormat="0" applyAlignment="0" applyProtection="0"/>
    <xf numFmtId="0" fontId="3" fillId="0" borderId="0"/>
    <xf numFmtId="0" fontId="34" fillId="86" borderId="585" applyNumberFormat="0" applyAlignment="0" applyProtection="0"/>
    <xf numFmtId="0" fontId="25" fillId="81" borderId="478" applyNumberFormat="0" applyAlignment="0" applyProtection="0"/>
    <xf numFmtId="0" fontId="46" fillId="79" borderId="570" applyNumberFormat="0" applyAlignment="0" applyProtection="0"/>
    <xf numFmtId="0" fontId="34" fillId="66" borderId="477" applyNumberFormat="0" applyAlignment="0" applyProtection="0"/>
    <xf numFmtId="0" fontId="3" fillId="0" borderId="0"/>
    <xf numFmtId="0" fontId="29" fillId="0" borderId="512" applyNumberFormat="0" applyAlignment="0" applyProtection="0"/>
    <xf numFmtId="0" fontId="34" fillId="86" borderId="568" applyNumberFormat="0" applyAlignment="0" applyProtection="0"/>
    <xf numFmtId="0" fontId="34" fillId="66" borderId="555" applyNumberFormat="0" applyAlignment="0" applyProtection="0"/>
    <xf numFmtId="43" fontId="1" fillId="0" borderId="0" applyFont="0" applyFill="0" applyBorder="0" applyAlignment="0" applyProtection="0"/>
    <xf numFmtId="0" fontId="154" fillId="0" borderId="0" applyNumberFormat="0" applyFill="0" applyBorder="0" applyAlignment="0" applyProtection="0"/>
    <xf numFmtId="0" fontId="46" fillId="79" borderId="488" applyNumberFormat="0" applyAlignment="0" applyProtection="0"/>
    <xf numFmtId="0" fontId="34" fillId="86" borderId="462" applyNumberFormat="0" applyAlignment="0" applyProtection="0"/>
    <xf numFmtId="0" fontId="1" fillId="0" borderId="0"/>
    <xf numFmtId="0" fontId="195" fillId="0" borderId="583" applyNumberFormat="0" applyFill="0" applyAlignment="0" applyProtection="0">
      <alignment vertical="center"/>
    </xf>
    <xf numFmtId="0" fontId="168" fillId="35" borderId="569" applyNumberFormat="0" applyFont="0" applyAlignment="0" applyProtection="0">
      <alignment vertical="center"/>
    </xf>
    <xf numFmtId="0" fontId="3" fillId="0" borderId="0"/>
    <xf numFmtId="0" fontId="34" fillId="86" borderId="587" applyNumberFormat="0" applyAlignment="0" applyProtection="0"/>
    <xf numFmtId="0" fontId="3" fillId="0" borderId="0"/>
    <xf numFmtId="0" fontId="1" fillId="0" borderId="0"/>
    <xf numFmtId="0" fontId="1" fillId="0" borderId="0"/>
    <xf numFmtId="43" fontId="1" fillId="0" borderId="0" applyFont="0" applyFill="0" applyBorder="0" applyAlignment="0" applyProtection="0"/>
    <xf numFmtId="0" fontId="185" fillId="0" borderId="483" applyNumberFormat="0" applyFont="0">
      <alignment horizontal="center" vertical="center"/>
    </xf>
    <xf numFmtId="0" fontId="46" fillId="79" borderId="488" applyNumberFormat="0" applyAlignment="0" applyProtection="0"/>
    <xf numFmtId="0" fontId="168" fillId="35" borderId="556" applyNumberFormat="0" applyFont="0" applyAlignment="0" applyProtection="0">
      <alignment vertical="center"/>
    </xf>
    <xf numFmtId="0" fontId="29" fillId="0" borderId="475">
      <alignment horizontal="left" vertical="center"/>
    </xf>
    <xf numFmtId="0" fontId="34" fillId="86" borderId="585" applyNumberFormat="0" applyAlignment="0" applyProtection="0"/>
    <xf numFmtId="0" fontId="46" fillId="79" borderId="520" applyNumberFormat="0" applyAlignment="0" applyProtection="0"/>
    <xf numFmtId="0" fontId="34" fillId="86" borderId="514" applyNumberFormat="0" applyAlignment="0" applyProtection="0"/>
    <xf numFmtId="0" fontId="29" fillId="0" borderId="460">
      <alignment horizontal="left" vertical="center"/>
    </xf>
    <xf numFmtId="0" fontId="25" fillId="81" borderId="487" applyNumberFormat="0" applyAlignment="0" applyProtection="0"/>
    <xf numFmtId="0" fontId="34" fillId="66" borderId="477" applyNumberFormat="0" applyAlignment="0" applyProtection="0"/>
    <xf numFmtId="0" fontId="34" fillId="66" borderId="597" applyNumberFormat="0" applyAlignment="0" applyProtection="0"/>
    <xf numFmtId="0" fontId="18" fillId="79" borderId="585" applyNumberFormat="0" applyAlignment="0" applyProtection="0"/>
    <xf numFmtId="0" fontId="34" fillId="86" borderId="468" applyNumberFormat="0" applyAlignment="0" applyProtection="0"/>
    <xf numFmtId="0" fontId="34" fillId="66" borderId="468" applyNumberFormat="0" applyAlignment="0" applyProtection="0"/>
    <xf numFmtId="0" fontId="29" fillId="0" borderId="571">
      <alignment horizontal="left" vertical="center"/>
    </xf>
    <xf numFmtId="0" fontId="29" fillId="0" borderId="465">
      <alignment horizontal="left" vertical="center"/>
    </xf>
    <xf numFmtId="0" fontId="24" fillId="0" borderId="543" applyNumberFormat="0" applyFill="0" applyAlignment="0" applyProtection="0"/>
    <xf numFmtId="0" fontId="29" fillId="0" borderId="465">
      <alignment horizontal="left" vertical="center"/>
    </xf>
    <xf numFmtId="0" fontId="18" fillId="31" borderId="486" applyNumberFormat="0" applyAlignment="0" applyProtection="0"/>
    <xf numFmtId="0" fontId="34" fillId="86" borderId="585" applyNumberFormat="0" applyAlignment="0" applyProtection="0"/>
    <xf numFmtId="0" fontId="34" fillId="66" borderId="462" applyNumberFormat="0" applyAlignment="0" applyProtection="0"/>
    <xf numFmtId="0" fontId="34" fillId="86" borderId="462" applyNumberFormat="0" applyAlignment="0" applyProtection="0"/>
    <xf numFmtId="0" fontId="34" fillId="86" borderId="462" applyNumberFormat="0" applyAlignment="0" applyProtection="0"/>
    <xf numFmtId="0" fontId="29" fillId="0" borderId="484">
      <alignment horizontal="left" vertical="center"/>
    </xf>
    <xf numFmtId="0" fontId="34" fillId="86" borderId="462" applyNumberFormat="0" applyAlignment="0" applyProtection="0"/>
    <xf numFmtId="0" fontId="168" fillId="35" borderId="580" applyNumberFormat="0" applyFont="0" applyAlignment="0" applyProtection="0">
      <alignment vertical="center"/>
    </xf>
    <xf numFmtId="0" fontId="34" fillId="86" borderId="602" applyNumberFormat="0" applyAlignment="0" applyProtection="0"/>
    <xf numFmtId="0" fontId="10" fillId="98" borderId="0" applyNumberFormat="0" applyBorder="0" applyAlignment="0" applyProtection="0"/>
    <xf numFmtId="0" fontId="34" fillId="86" borderId="602" applyNumberFormat="0" applyAlignment="0" applyProtection="0"/>
    <xf numFmtId="43" fontId="1" fillId="0" borderId="0" applyFont="0" applyFill="0" applyBorder="0" applyAlignment="0" applyProtection="0"/>
    <xf numFmtId="0" fontId="29" fillId="0" borderId="652">
      <alignment horizontal="left" vertical="center"/>
    </xf>
    <xf numFmtId="0" fontId="34" fillId="66" borderId="547" applyNumberFormat="0" applyAlignment="0" applyProtection="0"/>
    <xf numFmtId="0" fontId="29" fillId="0" borderId="489">
      <alignment horizontal="left" vertical="center"/>
    </xf>
    <xf numFmtId="0" fontId="34" fillId="86" borderId="585" applyNumberFormat="0" applyAlignment="0" applyProtection="0"/>
    <xf numFmtId="0" fontId="34" fillId="86" borderId="597" applyNumberFormat="0" applyAlignment="0" applyProtection="0"/>
    <xf numFmtId="0" fontId="200" fillId="0" borderId="13"/>
    <xf numFmtId="0" fontId="202" fillId="31" borderId="462" applyNumberFormat="0" applyAlignment="0" applyProtection="0">
      <alignment vertical="center"/>
    </xf>
    <xf numFmtId="0" fontId="18" fillId="79" borderId="538" applyNumberFormat="0" applyAlignment="0" applyProtection="0"/>
    <xf numFmtId="0" fontId="34" fillId="66" borderId="504" applyNumberFormat="0" applyAlignment="0" applyProtection="0"/>
    <xf numFmtId="0" fontId="34" fillId="86" borderId="617" applyNumberFormat="0" applyAlignment="0" applyProtection="0"/>
    <xf numFmtId="0" fontId="34" fillId="66" borderId="602" applyNumberFormat="0" applyAlignment="0" applyProtection="0"/>
    <xf numFmtId="0" fontId="18" fillId="79" borderId="629" applyNumberFormat="0" applyAlignment="0" applyProtection="0"/>
    <xf numFmtId="0" fontId="34" fillId="86" borderId="623" applyNumberFormat="0" applyAlignment="0" applyProtection="0"/>
    <xf numFmtId="0" fontId="34" fillId="66" borderId="579" applyNumberFormat="0" applyAlignment="0" applyProtection="0"/>
    <xf numFmtId="0" fontId="185" fillId="0" borderId="510" applyNumberFormat="0" applyFont="0">
      <alignment horizontal="center" vertical="center"/>
    </xf>
    <xf numFmtId="0" fontId="189" fillId="31" borderId="516" applyNumberFormat="0" applyAlignment="0" applyProtection="0">
      <alignment vertical="center"/>
    </xf>
    <xf numFmtId="0" fontId="7" fillId="95" borderId="0" applyNumberFormat="0" applyBorder="0" applyAlignment="0" applyProtection="0"/>
    <xf numFmtId="0" fontId="34" fillId="86" borderId="514" applyNumberFormat="0" applyAlignment="0" applyProtection="0"/>
    <xf numFmtId="0" fontId="25" fillId="81" borderId="505" applyNumberFormat="0" applyAlignment="0" applyProtection="0"/>
    <xf numFmtId="0" fontId="18" fillId="79" borderId="486" applyNumberFormat="0" applyAlignment="0" applyProtection="0"/>
    <xf numFmtId="0" fontId="46" fillId="79" borderId="498" applyNumberFormat="0" applyAlignment="0" applyProtection="0"/>
    <xf numFmtId="0" fontId="24" fillId="0" borderId="566" applyNumberFormat="0" applyFill="0" applyAlignment="0" applyProtection="0"/>
    <xf numFmtId="0" fontId="18" fillId="79" borderId="607" applyNumberFormat="0" applyAlignment="0" applyProtection="0"/>
    <xf numFmtId="0" fontId="34" fillId="86" borderId="592" applyNumberFormat="0" applyAlignment="0" applyProtection="0"/>
    <xf numFmtId="0" fontId="10" fillId="95" borderId="0" applyNumberFormat="0" applyBorder="0" applyAlignment="0" applyProtection="0"/>
    <xf numFmtId="0" fontId="34" fillId="86" borderId="538" applyNumberFormat="0" applyAlignment="0" applyProtection="0"/>
    <xf numFmtId="0" fontId="34" fillId="86" borderId="597" applyNumberFormat="0" applyAlignment="0" applyProtection="0"/>
    <xf numFmtId="0" fontId="18" fillId="79" borderId="592" applyNumberFormat="0" applyAlignment="0" applyProtection="0"/>
    <xf numFmtId="0" fontId="34" fillId="86" borderId="602" applyNumberFormat="0" applyAlignment="0" applyProtection="0"/>
    <xf numFmtId="0" fontId="18" fillId="31" borderId="555" applyNumberFormat="0" applyAlignment="0" applyProtection="0"/>
    <xf numFmtId="0" fontId="18" fillId="31" borderId="514" applyNumberFormat="0" applyAlignment="0" applyProtection="0"/>
    <xf numFmtId="0" fontId="7" fillId="35" borderId="616" applyNumberFormat="0" applyFont="0" applyAlignment="0" applyProtection="0"/>
    <xf numFmtId="0" fontId="29" fillId="0" borderId="567" applyNumberFormat="0" applyAlignment="0" applyProtection="0"/>
    <xf numFmtId="0" fontId="18" fillId="31" borderId="579" applyNumberFormat="0" applyAlignment="0" applyProtection="0"/>
    <xf numFmtId="0" fontId="46" fillId="31" borderId="498" applyNumberFormat="0" applyAlignment="0" applyProtection="0"/>
    <xf numFmtId="0" fontId="29" fillId="0" borderId="603">
      <alignment horizontal="left" vertical="center"/>
    </xf>
    <xf numFmtId="0" fontId="34" fillId="86" borderId="468" applyNumberFormat="0" applyAlignment="0" applyProtection="0"/>
    <xf numFmtId="0" fontId="178" fillId="86" borderId="486" applyNumberFormat="0" applyAlignment="0" applyProtection="0">
      <alignment vertical="center"/>
    </xf>
    <xf numFmtId="0" fontId="18" fillId="31" borderId="607" applyNumberFormat="0" applyAlignment="0" applyProtection="0"/>
    <xf numFmtId="0" fontId="18" fillId="79" borderId="547" applyNumberFormat="0" applyAlignment="0" applyProtection="0"/>
    <xf numFmtId="0" fontId="29" fillId="0" borderId="582">
      <alignment horizontal="left" vertical="center"/>
    </xf>
    <xf numFmtId="0" fontId="34" fillId="86" borderId="579" applyNumberFormat="0" applyAlignment="0" applyProtection="0"/>
    <xf numFmtId="0" fontId="46" fillId="31" borderId="479" applyNumberFormat="0" applyAlignment="0" applyProtection="0"/>
    <xf numFmtId="0" fontId="34" fillId="86" borderId="579" applyNumberFormat="0" applyAlignment="0" applyProtection="0"/>
    <xf numFmtId="0" fontId="178" fillId="86" borderId="504" applyNumberFormat="0" applyAlignment="0" applyProtection="0">
      <alignment vertical="center"/>
    </xf>
    <xf numFmtId="0" fontId="178" fillId="86" borderId="568" applyNumberFormat="0" applyAlignment="0" applyProtection="0">
      <alignment vertical="center"/>
    </xf>
    <xf numFmtId="0" fontId="25" fillId="81" borderId="497" applyNumberFormat="0" applyAlignment="0" applyProtection="0"/>
    <xf numFmtId="0" fontId="24" fillId="0" borderId="490" applyNumberFormat="0" applyFill="0" applyAlignment="0" applyProtection="0"/>
    <xf numFmtId="0" fontId="18" fillId="79" borderId="623" applyNumberFormat="0" applyAlignment="0" applyProtection="0"/>
    <xf numFmtId="0" fontId="25" fillId="81" borderId="599" applyNumberFormat="0" applyAlignment="0" applyProtection="0"/>
    <xf numFmtId="0" fontId="18" fillId="79" borderId="623" applyNumberFormat="0" applyAlignment="0" applyProtection="0"/>
    <xf numFmtId="0" fontId="18" fillId="79" borderId="496" applyNumberFormat="0" applyAlignment="0" applyProtection="0"/>
    <xf numFmtId="0" fontId="25" fillId="81" borderId="539" applyNumberFormat="0" applyAlignment="0" applyProtection="0"/>
    <xf numFmtId="0" fontId="29" fillId="0" borderId="632">
      <alignment horizontal="left" vertical="center"/>
    </xf>
    <xf numFmtId="0" fontId="18" fillId="79" borderId="617" applyNumberFormat="0" applyAlignment="0" applyProtection="0"/>
    <xf numFmtId="0" fontId="18" fillId="79" borderId="477" applyNumberFormat="0" applyAlignment="0" applyProtection="0"/>
    <xf numFmtId="0" fontId="34" fillId="86" borderId="468" applyNumberFormat="0" applyAlignment="0" applyProtection="0"/>
    <xf numFmtId="0" fontId="34" fillId="66" borderId="504" applyNumberFormat="0" applyAlignment="0" applyProtection="0"/>
    <xf numFmtId="0" fontId="34" fillId="66" borderId="514" applyNumberFormat="0" applyAlignment="0" applyProtection="0"/>
    <xf numFmtId="0" fontId="189" fillId="31" borderId="470" applyNumberFormat="0" applyAlignment="0" applyProtection="0">
      <alignment vertical="center"/>
    </xf>
    <xf numFmtId="0" fontId="29" fillId="0" borderId="550">
      <alignment horizontal="left" vertical="center"/>
    </xf>
    <xf numFmtId="0" fontId="29" fillId="0" borderId="525" applyNumberFormat="0" applyAlignment="0" applyProtection="0"/>
    <xf numFmtId="0" fontId="34" fillId="86" borderId="617" applyNumberFormat="0" applyAlignment="0" applyProtection="0"/>
    <xf numFmtId="0" fontId="34" fillId="86" borderId="587" applyNumberFormat="0" applyAlignment="0" applyProtection="0"/>
    <xf numFmtId="0" fontId="46" fillId="79" borderId="540" applyNumberFormat="0" applyAlignment="0" applyProtection="0"/>
    <xf numFmtId="43" fontId="3" fillId="0" borderId="0" applyFont="0" applyFill="0" applyBorder="0" applyAlignment="0" applyProtection="0"/>
    <xf numFmtId="0" fontId="29" fillId="0" borderId="577" applyNumberFormat="0" applyAlignment="0" applyProtection="0"/>
    <xf numFmtId="0" fontId="7" fillId="35" borderId="527" applyNumberFormat="0" applyFont="0" applyAlignment="0" applyProtection="0"/>
    <xf numFmtId="0" fontId="178" fillId="86" borderId="477" applyNumberFormat="0" applyAlignment="0" applyProtection="0">
      <alignment vertical="center"/>
    </xf>
    <xf numFmtId="0" fontId="202" fillId="31" borderId="547" applyNumberFormat="0" applyAlignment="0" applyProtection="0">
      <alignment vertical="center"/>
    </xf>
    <xf numFmtId="0" fontId="7" fillId="35" borderId="478" applyNumberFormat="0" applyFont="0" applyAlignment="0" applyProtection="0"/>
    <xf numFmtId="0" fontId="46" fillId="79" borderId="479" applyNumberFormat="0" applyAlignment="0" applyProtection="0"/>
    <xf numFmtId="0" fontId="29" fillId="0" borderId="550">
      <alignment horizontal="left" vertical="center"/>
    </xf>
    <xf numFmtId="0" fontId="46" fillId="79" borderId="520" applyNumberFormat="0" applyAlignment="0" applyProtection="0"/>
    <xf numFmtId="0" fontId="29" fillId="0" borderId="485" applyNumberFormat="0" applyAlignment="0" applyProtection="0"/>
    <xf numFmtId="0" fontId="34" fillId="86" borderId="585" applyNumberFormat="0" applyAlignment="0" applyProtection="0"/>
    <xf numFmtId="0" fontId="46" fillId="79" borderId="506" applyNumberFormat="0" applyAlignment="0" applyProtection="0"/>
    <xf numFmtId="0" fontId="34" fillId="86" borderId="486" applyNumberFormat="0" applyAlignment="0" applyProtection="0"/>
    <xf numFmtId="43" fontId="3" fillId="0" borderId="0" applyFill="0" applyBorder="0" applyAlignment="0"/>
    <xf numFmtId="0" fontId="18" fillId="31" borderId="538" applyNumberFormat="0" applyAlignment="0" applyProtection="0"/>
    <xf numFmtId="0" fontId="7" fillId="35" borderId="505" applyNumberFormat="0" applyFont="0" applyAlignment="0" applyProtection="0"/>
    <xf numFmtId="0" fontId="178" fillId="86" borderId="538" applyNumberFormat="0" applyAlignment="0" applyProtection="0">
      <alignment vertical="center"/>
    </xf>
    <xf numFmtId="0" fontId="185" fillId="0" borderId="474" applyNumberFormat="0" applyFont="0">
      <alignment horizontal="center" vertical="center"/>
    </xf>
    <xf numFmtId="0" fontId="18" fillId="79" borderId="468" applyNumberFormat="0" applyAlignment="0" applyProtection="0"/>
    <xf numFmtId="0" fontId="34" fillId="66" borderId="486" applyNumberFormat="0" applyAlignment="0" applyProtection="0"/>
    <xf numFmtId="0" fontId="29" fillId="0" borderId="493">
      <alignment horizontal="left" vertical="center"/>
    </xf>
    <xf numFmtId="0" fontId="34" fillId="86" borderId="486" applyNumberFormat="0" applyAlignment="0" applyProtection="0"/>
    <xf numFmtId="0" fontId="24" fillId="0" borderId="559" applyNumberFormat="0" applyFill="0" applyAlignment="0" applyProtection="0"/>
    <xf numFmtId="0" fontId="34" fillId="86" borderId="555" applyNumberFormat="0" applyAlignment="0" applyProtection="0"/>
    <xf numFmtId="0" fontId="46" fillId="31" borderId="540" applyNumberFormat="0" applyAlignment="0" applyProtection="0"/>
    <xf numFmtId="0" fontId="166" fillId="0" borderId="0"/>
    <xf numFmtId="0" fontId="34" fillId="86" borderId="477" applyNumberFormat="0" applyAlignment="0" applyProtection="0"/>
    <xf numFmtId="0" fontId="18" fillId="31" borderId="597" applyNumberFormat="0" applyAlignment="0" applyProtection="0"/>
    <xf numFmtId="0" fontId="34" fillId="86" borderId="486" applyNumberFormat="0" applyAlignment="0" applyProtection="0"/>
    <xf numFmtId="0" fontId="34" fillId="86" borderId="514" applyNumberFormat="0" applyAlignment="0" applyProtection="0"/>
    <xf numFmtId="0" fontId="34" fillId="86" borderId="496" applyNumberFormat="0" applyAlignment="0" applyProtection="0"/>
    <xf numFmtId="0" fontId="18" fillId="31" borderId="592" applyNumberFormat="0" applyAlignment="0" applyProtection="0"/>
    <xf numFmtId="0" fontId="18" fillId="79" borderId="526" applyNumberFormat="0" applyAlignment="0" applyProtection="0"/>
    <xf numFmtId="0" fontId="29" fillId="0" borderId="593">
      <alignment horizontal="left" vertical="center"/>
    </xf>
    <xf numFmtId="0" fontId="25" fillId="81" borderId="463" applyNumberFormat="0" applyAlignment="0" applyProtection="0"/>
    <xf numFmtId="0" fontId="7" fillId="35" borderId="463" applyNumberFormat="0" applyFont="0" applyAlignment="0" applyProtection="0"/>
    <xf numFmtId="0" fontId="34" fillId="86" borderId="568" applyNumberFormat="0" applyAlignment="0" applyProtection="0"/>
    <xf numFmtId="0" fontId="34" fillId="86" borderId="468" applyNumberFormat="0" applyAlignment="0" applyProtection="0"/>
    <xf numFmtId="0" fontId="46" fillId="79" borderId="464" applyNumberFormat="0" applyAlignment="0" applyProtection="0"/>
    <xf numFmtId="0" fontId="46" fillId="31" borderId="464" applyNumberFormat="0" applyAlignment="0" applyProtection="0"/>
    <xf numFmtId="0" fontId="46" fillId="79" borderId="464" applyNumberFormat="0" applyAlignment="0" applyProtection="0"/>
    <xf numFmtId="0" fontId="46" fillId="79" borderId="464" applyNumberFormat="0" applyAlignment="0" applyProtection="0"/>
    <xf numFmtId="0" fontId="29" fillId="0" borderId="644" applyNumberFormat="0" applyAlignment="0" applyProtection="0"/>
    <xf numFmtId="0" fontId="34" fillId="86" borderId="468" applyNumberFormat="0" applyAlignment="0" applyProtection="0"/>
    <xf numFmtId="0" fontId="29" fillId="0" borderId="513" applyNumberFormat="0" applyAlignment="0" applyProtection="0">
      <alignment horizontal="left" vertical="center"/>
    </xf>
    <xf numFmtId="0" fontId="185" fillId="0" borderId="459" applyNumberFormat="0" applyFont="0">
      <alignment horizontal="center" vertical="center"/>
    </xf>
    <xf numFmtId="0" fontId="178" fillId="86" borderId="538" applyNumberFormat="0" applyAlignment="0" applyProtection="0">
      <alignment vertical="center"/>
    </xf>
    <xf numFmtId="0" fontId="34" fillId="66" borderId="468" applyNumberFormat="0" applyAlignment="0" applyProtection="0"/>
    <xf numFmtId="0" fontId="34" fillId="66" borderId="587" applyNumberFormat="0" applyAlignment="0" applyProtection="0"/>
    <xf numFmtId="0" fontId="34" fillId="86" borderId="617" applyNumberFormat="0" applyAlignment="0" applyProtection="0"/>
    <xf numFmtId="0" fontId="46" fillId="31" borderId="600" applyNumberFormat="0" applyAlignment="0" applyProtection="0"/>
    <xf numFmtId="0" fontId="29" fillId="0" borderId="480">
      <alignment horizontal="left" vertical="center"/>
    </xf>
    <xf numFmtId="0" fontId="18" fillId="31" borderId="631" applyNumberFormat="0" applyAlignment="0" applyProtection="0"/>
    <xf numFmtId="0" fontId="34" fillId="86" borderId="592" applyNumberFormat="0" applyAlignment="0" applyProtection="0"/>
    <xf numFmtId="0" fontId="34" fillId="86" borderId="649" applyNumberFormat="0" applyAlignment="0" applyProtection="0"/>
    <xf numFmtId="43" fontId="3" fillId="0" borderId="0" applyFont="0" applyFill="0" applyBorder="0" applyAlignment="0" applyProtection="0"/>
    <xf numFmtId="0" fontId="34" fillId="86" borderId="629" applyNumberFormat="0" applyAlignment="0" applyProtection="0"/>
    <xf numFmtId="0" fontId="189" fillId="31" borderId="651" applyNumberFormat="0" applyAlignment="0" applyProtection="0">
      <alignment vertical="center"/>
    </xf>
    <xf numFmtId="0" fontId="168" fillId="35" borderId="469" applyNumberFormat="0" applyFont="0" applyAlignment="0" applyProtection="0">
      <alignment vertical="center"/>
    </xf>
    <xf numFmtId="0" fontId="34" fillId="86" borderId="607" applyNumberFormat="0" applyAlignment="0" applyProtection="0"/>
    <xf numFmtId="0" fontId="34" fillId="86" borderId="623" applyNumberFormat="0" applyAlignment="0" applyProtection="0"/>
    <xf numFmtId="0" fontId="29" fillId="0" borderId="485" applyNumberFormat="0" applyAlignment="0" applyProtection="0"/>
    <xf numFmtId="0" fontId="29" fillId="0" borderId="502" applyNumberFormat="0" applyAlignment="0" applyProtection="0"/>
    <xf numFmtId="0" fontId="46" fillId="79" borderId="549" applyNumberFormat="0" applyAlignment="0" applyProtection="0"/>
    <xf numFmtId="0" fontId="46" fillId="79" borderId="549" applyNumberFormat="0" applyAlignment="0" applyProtection="0"/>
    <xf numFmtId="0" fontId="46" fillId="79" borderId="479" applyNumberFormat="0" applyAlignment="0" applyProtection="0"/>
    <xf numFmtId="0" fontId="34" fillId="86" borderId="623" applyNumberFormat="0" applyAlignment="0" applyProtection="0"/>
    <xf numFmtId="0" fontId="34" fillId="66" borderId="579" applyNumberFormat="0" applyAlignment="0" applyProtection="0"/>
    <xf numFmtId="0" fontId="46" fillId="79" borderId="506" applyNumberFormat="0" applyAlignment="0" applyProtection="0"/>
    <xf numFmtId="0" fontId="18" fillId="79" borderId="623" applyNumberFormat="0" applyAlignment="0" applyProtection="0"/>
    <xf numFmtId="0" fontId="34" fillId="86" borderId="629" applyNumberFormat="0" applyAlignment="0" applyProtection="0"/>
    <xf numFmtId="0" fontId="29" fillId="0" borderId="558">
      <alignment horizontal="left" vertical="center"/>
    </xf>
    <xf numFmtId="0" fontId="195" fillId="0" borderId="521" applyNumberFormat="0" applyFill="0" applyAlignment="0" applyProtection="0">
      <alignment vertical="center"/>
    </xf>
    <xf numFmtId="0" fontId="46" fillId="79" borderId="590" applyNumberFormat="0" applyAlignment="0" applyProtection="0"/>
    <xf numFmtId="0" fontId="34" fillId="66" borderId="547" applyNumberFormat="0" applyAlignment="0" applyProtection="0"/>
    <xf numFmtId="0" fontId="168" fillId="35" borderId="497" applyNumberFormat="0" applyFont="0" applyAlignment="0" applyProtection="0">
      <alignment vertical="center"/>
    </xf>
    <xf numFmtId="0" fontId="46" fillId="79" borderId="581" applyNumberFormat="0" applyAlignment="0" applyProtection="0"/>
    <xf numFmtId="0" fontId="34" fillId="66" borderId="568" applyNumberFormat="0" applyAlignment="0" applyProtection="0"/>
    <xf numFmtId="0" fontId="178" fillId="86" borderId="468" applyNumberFormat="0" applyAlignment="0" applyProtection="0">
      <alignment vertical="center"/>
    </xf>
    <xf numFmtId="0" fontId="29" fillId="0" borderId="517">
      <alignment horizontal="left" vertical="center"/>
    </xf>
    <xf numFmtId="0" fontId="18" fillId="79" borderId="607" applyNumberFormat="0" applyAlignment="0" applyProtection="0"/>
    <xf numFmtId="2" fontId="174" fillId="0" borderId="482" applyFont="0" applyBorder="0" applyAlignment="0" applyProtection="0">
      <alignment horizontal="right"/>
    </xf>
    <xf numFmtId="0" fontId="29" fillId="0" borderId="485" applyNumberFormat="0" applyAlignment="0" applyProtection="0"/>
    <xf numFmtId="0" fontId="7" fillId="35" borderId="633" applyNumberFormat="0" applyFont="0" applyAlignment="0" applyProtection="0"/>
    <xf numFmtId="0" fontId="34" fillId="66" borderId="496" applyNumberFormat="0" applyAlignment="0" applyProtection="0"/>
    <xf numFmtId="0" fontId="10" fillId="101" borderId="0" applyNumberFormat="0" applyBorder="0" applyAlignment="0" applyProtection="0"/>
    <xf numFmtId="0" fontId="34" fillId="86" borderId="617" applyNumberFormat="0" applyAlignment="0" applyProtection="0"/>
    <xf numFmtId="0" fontId="29" fillId="0" borderId="519" applyNumberFormat="0" applyAlignment="0" applyProtection="0"/>
    <xf numFmtId="0" fontId="18" fillId="79" borderId="486" applyNumberFormat="0" applyAlignment="0" applyProtection="0"/>
    <xf numFmtId="0" fontId="29" fillId="0" borderId="609">
      <alignment horizontal="left" vertical="center"/>
    </xf>
    <xf numFmtId="0" fontId="46" fillId="79" borderId="590" applyNumberFormat="0" applyAlignment="0" applyProtection="0"/>
    <xf numFmtId="0" fontId="34" fillId="86" borderId="585" applyNumberFormat="0" applyAlignment="0" applyProtection="0"/>
    <xf numFmtId="0" fontId="24" fillId="0" borderId="559" applyNumberFormat="0" applyFill="0" applyAlignment="0" applyProtection="0"/>
    <xf numFmtId="0" fontId="34" fillId="86" borderId="526" applyNumberFormat="0" applyAlignment="0" applyProtection="0"/>
    <xf numFmtId="0" fontId="25" fillId="81" borderId="497" applyNumberFormat="0" applyAlignment="0" applyProtection="0"/>
    <xf numFmtId="0" fontId="185" fillId="0" borderId="541" applyNumberFormat="0" applyFont="0">
      <alignment horizontal="center" vertical="center"/>
    </xf>
    <xf numFmtId="0" fontId="29" fillId="0" borderId="533">
      <alignment horizontal="left" vertical="center"/>
    </xf>
    <xf numFmtId="0" fontId="24" fillId="0" borderId="572" applyNumberFormat="0" applyFill="0" applyAlignment="0" applyProtection="0"/>
    <xf numFmtId="43" fontId="3" fillId="0" borderId="0" applyFont="0" applyFill="0" applyBorder="0" applyAlignment="0" applyProtection="0"/>
    <xf numFmtId="0" fontId="29" fillId="0" borderId="502" applyNumberFormat="0" applyAlignment="0" applyProtection="0"/>
    <xf numFmtId="0" fontId="29" fillId="0" borderId="512" applyNumberFormat="0" applyAlignment="0" applyProtection="0"/>
    <xf numFmtId="0" fontId="29" fillId="0" borderId="578" applyNumberFormat="0" applyAlignment="0" applyProtection="0">
      <alignment horizontal="left" vertical="center"/>
    </xf>
    <xf numFmtId="0" fontId="34" fillId="86" borderId="636" applyNumberFormat="0" applyAlignment="0" applyProtection="0"/>
    <xf numFmtId="0" fontId="24" fillId="0" borderId="521" applyNumberFormat="0" applyFill="0" applyAlignment="0" applyProtection="0"/>
    <xf numFmtId="0" fontId="24" fillId="0" borderId="466" applyNumberFormat="0" applyFill="0" applyAlignment="0" applyProtection="0"/>
    <xf numFmtId="0" fontId="29" fillId="0" borderId="614" applyNumberFormat="0" applyAlignment="0" applyProtection="0"/>
    <xf numFmtId="0" fontId="29" fillId="0" borderId="628" applyNumberFormat="0" applyAlignment="0" applyProtection="0"/>
    <xf numFmtId="0" fontId="46" fillId="79" borderId="528" applyNumberFormat="0" applyAlignment="0" applyProtection="0"/>
    <xf numFmtId="0" fontId="34" fillId="86" borderId="617" applyNumberFormat="0" applyAlignment="0" applyProtection="0"/>
    <xf numFmtId="0" fontId="25" fillId="81" borderId="580" applyNumberFormat="0" applyAlignment="0" applyProtection="0"/>
    <xf numFmtId="0" fontId="18" fillId="79" borderId="504" applyNumberFormat="0" applyAlignment="0" applyProtection="0"/>
    <xf numFmtId="0" fontId="29" fillId="0" borderId="467" applyNumberFormat="0" applyAlignment="0" applyProtection="0"/>
    <xf numFmtId="0" fontId="29" fillId="0" borderId="467" applyNumberFormat="0" applyAlignment="0" applyProtection="0"/>
    <xf numFmtId="0" fontId="34" fillId="86" borderId="617" applyNumberFormat="0" applyAlignment="0" applyProtection="0"/>
    <xf numFmtId="0" fontId="29" fillId="0" borderId="467" applyNumberFormat="0" applyAlignment="0" applyProtection="0"/>
    <xf numFmtId="0" fontId="29" fillId="0" borderId="535" applyNumberFormat="0" applyAlignment="0" applyProtection="0"/>
    <xf numFmtId="0" fontId="18" fillId="31" borderId="631" applyNumberFormat="0" applyAlignment="0" applyProtection="0"/>
    <xf numFmtId="0" fontId="25" fillId="81" borderId="657" applyNumberFormat="0" applyAlignment="0" applyProtection="0"/>
    <xf numFmtId="0" fontId="18" fillId="79" borderId="504" applyNumberFormat="0" applyAlignment="0" applyProtection="0"/>
    <xf numFmtId="0" fontId="34" fillId="66" borderId="496" applyNumberFormat="0" applyAlignment="0" applyProtection="0"/>
    <xf numFmtId="0" fontId="34" fillId="86" borderId="496" applyNumberFormat="0" applyAlignment="0" applyProtection="0"/>
    <xf numFmtId="0" fontId="25" fillId="81" borderId="604" applyNumberFormat="0" applyAlignment="0" applyProtection="0"/>
    <xf numFmtId="0" fontId="168" fillId="35" borderId="463" applyNumberFormat="0" applyFont="0" applyAlignment="0" applyProtection="0">
      <alignment vertical="center"/>
    </xf>
    <xf numFmtId="0" fontId="185" fillId="0" borderId="523" applyNumberFormat="0" applyFont="0">
      <alignment horizontal="center" vertical="center"/>
    </xf>
    <xf numFmtId="0" fontId="34" fillId="86" borderId="592" applyNumberFormat="0" applyAlignment="0" applyProtection="0"/>
    <xf numFmtId="0" fontId="46" fillId="79" borderId="625" applyNumberFormat="0" applyAlignment="0" applyProtection="0"/>
    <xf numFmtId="0" fontId="189" fillId="31" borderId="464" applyNumberFormat="0" applyAlignment="0" applyProtection="0">
      <alignment vertical="center"/>
    </xf>
    <xf numFmtId="0" fontId="34" fillId="86" borderId="547" applyNumberFormat="0" applyAlignment="0" applyProtection="0"/>
    <xf numFmtId="0" fontId="46" fillId="79" borderId="557" applyNumberFormat="0" applyAlignment="0" applyProtection="0"/>
    <xf numFmtId="0" fontId="34" fillId="86" borderId="477" applyNumberFormat="0" applyAlignment="0" applyProtection="0"/>
    <xf numFmtId="0" fontId="29" fillId="0" borderId="554">
      <alignment horizontal="left" vertical="center"/>
    </xf>
    <xf numFmtId="0" fontId="46" fillId="79" borderId="506" applyNumberFormat="0" applyAlignment="0" applyProtection="0"/>
    <xf numFmtId="43" fontId="3" fillId="0" borderId="0" applyFont="0" applyFill="0" applyBorder="0" applyAlignment="0" applyProtection="0"/>
    <xf numFmtId="0" fontId="34" fillId="86" borderId="468" applyNumberFormat="0" applyAlignment="0" applyProtection="0"/>
    <xf numFmtId="0" fontId="202" fillId="31" borderId="462" applyNumberFormat="0" applyAlignment="0" applyProtection="0">
      <alignment vertical="center"/>
    </xf>
    <xf numFmtId="0" fontId="3" fillId="0" borderId="0"/>
    <xf numFmtId="0" fontId="195" fillId="0" borderId="466" applyNumberFormat="0" applyFill="0" applyAlignment="0" applyProtection="0">
      <alignment vertical="center"/>
    </xf>
    <xf numFmtId="0" fontId="34" fillId="86" borderId="477" applyNumberFormat="0" applyAlignment="0" applyProtection="0"/>
    <xf numFmtId="0" fontId="29" fillId="0" borderId="535" applyNumberFormat="0" applyAlignment="0" applyProtection="0"/>
    <xf numFmtId="0" fontId="34" fillId="86" borderId="592" applyNumberFormat="0" applyAlignment="0" applyProtection="0"/>
    <xf numFmtId="0" fontId="34" fillId="86" borderId="547" applyNumberFormat="0" applyAlignment="0" applyProtection="0"/>
    <xf numFmtId="0" fontId="46" fillId="79" borderId="605" applyNumberFormat="0" applyAlignment="0" applyProtection="0"/>
    <xf numFmtId="0" fontId="7" fillId="87" borderId="0" applyNumberFormat="0" applyBorder="0" applyAlignment="0" applyProtection="0"/>
    <xf numFmtId="0" fontId="25" fillId="81" borderId="548" applyNumberFormat="0" applyAlignment="0" applyProtection="0"/>
    <xf numFmtId="0" fontId="34" fillId="66" borderId="629" applyNumberFormat="0" applyAlignment="0" applyProtection="0"/>
    <xf numFmtId="0" fontId="46" fillId="79" borderId="651" applyNumberFormat="0" applyAlignment="0" applyProtection="0"/>
    <xf numFmtId="0" fontId="178" fillId="86" borderId="496" applyNumberFormat="0" applyAlignment="0" applyProtection="0">
      <alignment vertical="center"/>
    </xf>
    <xf numFmtId="0" fontId="29" fillId="0" borderId="499">
      <alignment horizontal="left" vertical="center"/>
    </xf>
    <xf numFmtId="0" fontId="25" fillId="81" borderId="594" applyNumberFormat="0" applyAlignment="0" applyProtection="0"/>
    <xf numFmtId="0" fontId="46" fillId="79" borderId="488" applyNumberFormat="0" applyAlignment="0" applyProtection="0"/>
    <xf numFmtId="0" fontId="29" fillId="0" borderId="507">
      <alignment horizontal="left" vertical="center"/>
    </xf>
    <xf numFmtId="0" fontId="25" fillId="81" borderId="515" applyNumberFormat="0" applyAlignment="0" applyProtection="0"/>
    <xf numFmtId="0" fontId="29" fillId="0" borderId="643">
      <alignment horizontal="left" vertical="center"/>
    </xf>
    <xf numFmtId="0" fontId="46" fillId="79" borderId="516" applyNumberFormat="0" applyAlignment="0" applyProtection="0"/>
    <xf numFmtId="0" fontId="195" fillId="0" borderId="490" applyNumberFormat="0" applyFill="0" applyAlignment="0" applyProtection="0">
      <alignment vertical="center"/>
    </xf>
    <xf numFmtId="0" fontId="34" fillId="86" borderId="585" applyNumberFormat="0" applyAlignment="0" applyProtection="0"/>
    <xf numFmtId="0" fontId="34" fillId="86" borderId="602" applyNumberFormat="0" applyAlignment="0" applyProtection="0"/>
    <xf numFmtId="0" fontId="29" fillId="0" borderId="480">
      <alignment horizontal="left" vertical="center"/>
    </xf>
    <xf numFmtId="0" fontId="24" fillId="0" borderId="508" applyNumberFormat="0" applyFill="0" applyAlignment="0" applyProtection="0"/>
    <xf numFmtId="0" fontId="46" fillId="79" borderId="498" applyNumberFormat="0" applyAlignment="0" applyProtection="0"/>
    <xf numFmtId="0" fontId="25" fillId="81" borderId="589" applyNumberFormat="0" applyAlignment="0" applyProtection="0"/>
    <xf numFmtId="0" fontId="46" fillId="31" borderId="595" applyNumberFormat="0" applyAlignment="0" applyProtection="0"/>
    <xf numFmtId="0" fontId="29" fillId="0" borderId="494" applyNumberFormat="0" applyAlignment="0" applyProtection="0"/>
    <xf numFmtId="0" fontId="29" fillId="0" borderId="476" applyNumberFormat="0" applyAlignment="0" applyProtection="0"/>
    <xf numFmtId="43" fontId="1" fillId="0" borderId="0" applyFont="0" applyFill="0" applyBorder="0" applyAlignment="0" applyProtection="0"/>
    <xf numFmtId="0" fontId="25" fillId="81" borderId="539" applyNumberFormat="0" applyAlignment="0" applyProtection="0"/>
    <xf numFmtId="0" fontId="46" fillId="79" borderId="516" applyNumberFormat="0" applyAlignment="0" applyProtection="0"/>
    <xf numFmtId="0" fontId="29" fillId="0" borderId="577" applyNumberFormat="0" applyAlignment="0" applyProtection="0"/>
    <xf numFmtId="0" fontId="18" fillId="79" borderId="597" applyNumberFormat="0" applyAlignment="0" applyProtection="0"/>
    <xf numFmtId="0" fontId="29" fillId="0" borderId="507">
      <alignment horizontal="left" vertical="center"/>
    </xf>
    <xf numFmtId="0" fontId="168" fillId="35" borderId="469" applyNumberFormat="0" applyFont="0" applyAlignment="0" applyProtection="0">
      <alignment vertical="center"/>
    </xf>
    <xf numFmtId="0" fontId="18" fillId="79" borderId="486" applyNumberFormat="0" applyAlignment="0" applyProtection="0"/>
    <xf numFmtId="0" fontId="29" fillId="0" borderId="542">
      <alignment horizontal="left" vertical="center"/>
    </xf>
    <xf numFmtId="0" fontId="189" fillId="31" borderId="470" applyNumberFormat="0" applyAlignment="0" applyProtection="0">
      <alignment vertical="center"/>
    </xf>
    <xf numFmtId="0" fontId="34" fillId="86" borderId="629" applyNumberFormat="0" applyAlignment="0" applyProtection="0"/>
    <xf numFmtId="0" fontId="34" fillId="86" borderId="568" applyNumberFormat="0" applyAlignment="0" applyProtection="0"/>
    <xf numFmtId="9" fontId="3" fillId="0" borderId="0" applyFont="0" applyFill="0" applyBorder="0" applyAlignment="0" applyProtection="0"/>
    <xf numFmtId="43" fontId="3" fillId="0" borderId="0" applyFont="0" applyFill="0" applyBorder="0" applyAlignment="0" applyProtection="0"/>
    <xf numFmtId="0" fontId="34" fillId="86" borderId="477" applyNumberFormat="0" applyAlignment="0" applyProtection="0"/>
    <xf numFmtId="0" fontId="202" fillId="31" borderId="468" applyNumberFormat="0" applyAlignment="0" applyProtection="0">
      <alignment vertical="center"/>
    </xf>
    <xf numFmtId="0" fontId="3" fillId="0" borderId="0"/>
    <xf numFmtId="0" fontId="195" fillId="0" borderId="472" applyNumberFormat="0" applyFill="0" applyAlignment="0" applyProtection="0">
      <alignment vertical="center"/>
    </xf>
    <xf numFmtId="0" fontId="46" fillId="31" borderId="549" applyNumberFormat="0" applyAlignment="0" applyProtection="0"/>
    <xf numFmtId="0" fontId="34" fillId="86" borderId="555" applyNumberFormat="0" applyAlignment="0" applyProtection="0"/>
    <xf numFmtId="0" fontId="29" fillId="0" borderId="512" applyNumberFormat="0" applyAlignment="0" applyProtection="0"/>
    <xf numFmtId="0" fontId="46" fillId="79" borderId="590" applyNumberFormat="0" applyAlignment="0" applyProtection="0"/>
    <xf numFmtId="0" fontId="29" fillId="0" borderId="507">
      <alignment horizontal="left" vertical="center"/>
    </xf>
    <xf numFmtId="0" fontId="34" fillId="86" borderId="496" applyNumberFormat="0" applyAlignment="0" applyProtection="0"/>
    <xf numFmtId="0" fontId="29" fillId="0" borderId="582">
      <alignment horizontal="left" vertical="center"/>
    </xf>
    <xf numFmtId="0" fontId="29" fillId="0" borderId="564" applyNumberFormat="0" applyAlignment="0" applyProtection="0"/>
    <xf numFmtId="0" fontId="25" fillId="81" borderId="616" applyNumberFormat="0" applyAlignment="0" applyProtection="0"/>
    <xf numFmtId="0" fontId="34" fillId="86" borderId="585" applyNumberFormat="0" applyAlignment="0" applyProtection="0"/>
    <xf numFmtId="0" fontId="34" fillId="86" borderId="496" applyNumberFormat="0" applyAlignment="0" applyProtection="0"/>
    <xf numFmtId="0" fontId="29" fillId="0" borderId="632">
      <alignment horizontal="left" vertical="center"/>
    </xf>
    <xf numFmtId="0" fontId="34" fillId="86" borderId="568" applyNumberFormat="0" applyAlignment="0" applyProtection="0"/>
    <xf numFmtId="0" fontId="29" fillId="0" borderId="603">
      <alignment horizontal="left" vertical="center"/>
    </xf>
    <xf numFmtId="0" fontId="24" fillId="0" borderId="566" applyNumberFormat="0" applyFill="0" applyAlignment="0" applyProtection="0"/>
    <xf numFmtId="43" fontId="3" fillId="0" borderId="0" applyFill="0" applyBorder="0" applyAlignment="0"/>
    <xf numFmtId="0" fontId="202" fillId="31" borderId="486" applyNumberFormat="0" applyAlignment="0" applyProtection="0">
      <alignment vertical="center"/>
    </xf>
    <xf numFmtId="0" fontId="29" fillId="0" borderId="542">
      <alignment horizontal="left" vertical="center"/>
    </xf>
    <xf numFmtId="0" fontId="29" fillId="0" borderId="529">
      <alignment horizontal="left" vertical="center"/>
    </xf>
    <xf numFmtId="0" fontId="24" fillId="0" borderId="518" applyNumberFormat="0" applyFill="0" applyAlignment="0" applyProtection="0"/>
    <xf numFmtId="0" fontId="189" fillId="31" borderId="540" applyNumberFormat="0" applyAlignment="0" applyProtection="0">
      <alignment vertical="center"/>
    </xf>
    <xf numFmtId="0" fontId="29" fillId="0" borderId="517">
      <alignment horizontal="left" vertical="center"/>
    </xf>
    <xf numFmtId="0" fontId="25" fillId="81" borderId="604" applyNumberFormat="0" applyAlignment="0" applyProtection="0"/>
    <xf numFmtId="0" fontId="18" fillId="79" borderId="477" applyNumberFormat="0" applyAlignment="0" applyProtection="0"/>
    <xf numFmtId="0" fontId="178" fillId="86" borderId="547" applyNumberFormat="0" applyAlignment="0" applyProtection="0">
      <alignment vertical="center"/>
    </xf>
    <xf numFmtId="0" fontId="18" fillId="31" borderId="629" applyNumberFormat="0" applyAlignment="0" applyProtection="0"/>
    <xf numFmtId="0" fontId="34" fillId="86" borderId="597" applyNumberFormat="0" applyAlignment="0" applyProtection="0"/>
    <xf numFmtId="0" fontId="34" fillId="86" borderId="623" applyNumberFormat="0" applyAlignment="0" applyProtection="0"/>
    <xf numFmtId="0" fontId="34" fillId="86" borderId="587" applyNumberFormat="0" applyAlignment="0" applyProtection="0"/>
    <xf numFmtId="0" fontId="202" fillId="31" borderId="526" applyNumberFormat="0" applyAlignment="0" applyProtection="0">
      <alignment vertical="center"/>
    </xf>
    <xf numFmtId="0" fontId="168" fillId="35" borderId="478" applyNumberFormat="0" applyFont="0" applyAlignment="0" applyProtection="0">
      <alignment vertical="center"/>
    </xf>
    <xf numFmtId="0" fontId="18" fillId="79" borderId="526" applyNumberFormat="0" applyAlignment="0" applyProtection="0"/>
    <xf numFmtId="0" fontId="189" fillId="31" borderId="625" applyNumberFormat="0" applyAlignment="0" applyProtection="0">
      <alignment vertical="center"/>
    </xf>
    <xf numFmtId="0" fontId="29" fillId="0" borderId="495" applyNumberFormat="0" applyAlignment="0" applyProtection="0">
      <alignment horizontal="left" vertical="center"/>
    </xf>
    <xf numFmtId="0" fontId="189" fillId="31" borderId="479" applyNumberFormat="0" applyAlignment="0" applyProtection="0">
      <alignment vertical="center"/>
    </xf>
    <xf numFmtId="0" fontId="18" fillId="79" borderId="514" applyNumberFormat="0" applyAlignment="0" applyProtection="0"/>
    <xf numFmtId="0" fontId="46" fillId="31" borderId="557" applyNumberFormat="0" applyAlignment="0" applyProtection="0"/>
    <xf numFmtId="0" fontId="34" fillId="86" borderId="607" applyNumberFormat="0" applyAlignment="0" applyProtection="0"/>
    <xf numFmtId="0" fontId="29" fillId="0" borderId="502" applyNumberFormat="0" applyAlignment="0" applyProtection="0"/>
    <xf numFmtId="0" fontId="18" fillId="79" borderId="496" applyNumberFormat="0" applyAlignment="0" applyProtection="0"/>
    <xf numFmtId="0" fontId="168" fillId="35" borderId="527" applyNumberFormat="0" applyFont="0" applyAlignment="0" applyProtection="0">
      <alignment vertical="center"/>
    </xf>
    <xf numFmtId="0" fontId="18" fillId="79" borderId="602" applyNumberFormat="0" applyAlignment="0" applyProtection="0"/>
    <xf numFmtId="0" fontId="34" fillId="86" borderId="496" applyNumberFormat="0" applyAlignment="0" applyProtection="0"/>
    <xf numFmtId="0" fontId="202" fillId="31" borderId="477" applyNumberFormat="0" applyAlignment="0" applyProtection="0">
      <alignment vertical="center"/>
    </xf>
    <xf numFmtId="0" fontId="34" fillId="86" borderId="486" applyNumberFormat="0" applyAlignment="0" applyProtection="0"/>
    <xf numFmtId="0" fontId="3" fillId="0" borderId="0"/>
    <xf numFmtId="0" fontId="195" fillId="0" borderId="481" applyNumberFormat="0" applyFill="0" applyAlignment="0" applyProtection="0">
      <alignment vertical="center"/>
    </xf>
    <xf numFmtId="0" fontId="202" fillId="31" borderId="514" applyNumberFormat="0" applyAlignment="0" applyProtection="0">
      <alignment vertical="center"/>
    </xf>
    <xf numFmtId="0" fontId="18" fillId="79" borderId="555" applyNumberFormat="0" applyAlignment="0" applyProtection="0"/>
    <xf numFmtId="0" fontId="18" fillId="79" borderId="631" applyNumberFormat="0" applyAlignment="0" applyProtection="0"/>
    <xf numFmtId="0" fontId="34" fillId="86" borderId="514" applyNumberFormat="0" applyAlignment="0" applyProtection="0"/>
    <xf numFmtId="0" fontId="24" fillId="0" borderId="583" applyNumberFormat="0" applyFill="0" applyAlignment="0" applyProtection="0"/>
    <xf numFmtId="0" fontId="18" fillId="79" borderId="538" applyNumberFormat="0" applyAlignment="0" applyProtection="0"/>
    <xf numFmtId="10" fontId="28" fillId="35" borderId="584" applyNumberFormat="0" applyBorder="0" applyAlignment="0" applyProtection="0"/>
    <xf numFmtId="0" fontId="34" fillId="86" borderId="592" applyNumberFormat="0" applyAlignment="0" applyProtection="0"/>
    <xf numFmtId="0" fontId="202" fillId="31" borderId="538" applyNumberFormat="0" applyAlignment="0" applyProtection="0">
      <alignment vertical="center"/>
    </xf>
    <xf numFmtId="0" fontId="34" fillId="66" borderId="587" applyNumberFormat="0" applyAlignment="0" applyProtection="0"/>
    <xf numFmtId="0" fontId="34" fillId="86" borderId="587" applyNumberFormat="0" applyAlignment="0" applyProtection="0"/>
    <xf numFmtId="0" fontId="29" fillId="0" borderId="517">
      <alignment horizontal="left" vertical="center"/>
    </xf>
    <xf numFmtId="0" fontId="18" fillId="79" borderId="656" applyNumberFormat="0" applyAlignment="0" applyProtection="0"/>
    <xf numFmtId="0" fontId="46" fillId="79" borderId="528" applyNumberFormat="0" applyAlignment="0" applyProtection="0"/>
    <xf numFmtId="0" fontId="34" fillId="86" borderId="486" applyNumberFormat="0" applyAlignment="0" applyProtection="0"/>
    <xf numFmtId="0" fontId="46" fillId="79" borderId="605" applyNumberFormat="0" applyAlignment="0" applyProtection="0"/>
    <xf numFmtId="0" fontId="34" fillId="66" borderId="579" applyNumberFormat="0" applyAlignment="0" applyProtection="0"/>
    <xf numFmtId="0" fontId="189" fillId="31" borderId="498" applyNumberFormat="0" applyAlignment="0" applyProtection="0">
      <alignment vertical="center"/>
    </xf>
    <xf numFmtId="0" fontId="34" fillId="86" borderId="496" applyNumberFormat="0" applyAlignment="0" applyProtection="0"/>
    <xf numFmtId="0" fontId="7" fillId="35" borderId="616" applyNumberFormat="0" applyFont="0" applyAlignment="0" applyProtection="0"/>
    <xf numFmtId="0" fontId="34" fillId="86" borderId="587" applyNumberFormat="0" applyAlignment="0" applyProtection="0"/>
    <xf numFmtId="0" fontId="46" fillId="79" borderId="570" applyNumberFormat="0" applyAlignment="0" applyProtection="0"/>
    <xf numFmtId="0" fontId="34" fillId="86" borderId="568" applyNumberFormat="0" applyAlignment="0" applyProtection="0"/>
    <xf numFmtId="0" fontId="34" fillId="66" borderId="538" applyNumberFormat="0" applyAlignment="0" applyProtection="0"/>
    <xf numFmtId="0" fontId="24" fillId="0" borderId="543" applyNumberFormat="0" applyFill="0" applyAlignment="0" applyProtection="0"/>
    <xf numFmtId="0" fontId="185" fillId="0" borderId="659" applyNumberFormat="0" applyFont="0">
      <alignment horizontal="center" vertical="center"/>
    </xf>
    <xf numFmtId="0" fontId="29" fillId="0" borderId="542">
      <alignment horizontal="left" vertical="center"/>
    </xf>
    <xf numFmtId="0" fontId="189" fillId="31" borderId="570" applyNumberFormat="0" applyAlignment="0" applyProtection="0">
      <alignment vertical="center"/>
    </xf>
    <xf numFmtId="0" fontId="34" fillId="66" borderId="631" applyNumberFormat="0" applyAlignment="0" applyProtection="0"/>
    <xf numFmtId="0" fontId="168" fillId="35" borderId="487" applyNumberFormat="0" applyFont="0" applyAlignment="0" applyProtection="0">
      <alignment vertical="center"/>
    </xf>
    <xf numFmtId="0" fontId="18" fillId="79" borderId="585" applyNumberFormat="0" applyAlignment="0" applyProtection="0"/>
    <xf numFmtId="0" fontId="178" fillId="86" borderId="526" applyNumberFormat="0" applyAlignment="0" applyProtection="0">
      <alignment vertical="center"/>
    </xf>
    <xf numFmtId="0" fontId="195" fillId="0" borderId="530" applyNumberFormat="0" applyFill="0" applyAlignment="0" applyProtection="0">
      <alignment vertical="center"/>
    </xf>
    <xf numFmtId="0" fontId="189" fillId="31" borderId="488" applyNumberFormat="0" applyAlignment="0" applyProtection="0">
      <alignment vertical="center"/>
    </xf>
    <xf numFmtId="0" fontId="195" fillId="0" borderId="530" applyNumberFormat="0" applyFill="0" applyAlignment="0" applyProtection="0">
      <alignment vertical="center"/>
    </xf>
    <xf numFmtId="0" fontId="7" fillId="35" borderId="604" applyNumberFormat="0" applyFont="0" applyAlignment="0" applyProtection="0"/>
    <xf numFmtId="0" fontId="29" fillId="0" borderId="512" applyNumberFormat="0" applyAlignment="0" applyProtection="0"/>
    <xf numFmtId="0" fontId="18" fillId="79" borderId="504" applyNumberFormat="0" applyAlignment="0" applyProtection="0"/>
    <xf numFmtId="0" fontId="29" fillId="0" borderId="558">
      <alignment horizontal="left" vertical="center"/>
    </xf>
    <xf numFmtId="0" fontId="34" fillId="86" borderId="504" applyNumberFormat="0" applyAlignment="0" applyProtection="0"/>
    <xf numFmtId="0" fontId="202" fillId="31" borderId="486" applyNumberFormat="0" applyAlignment="0" applyProtection="0">
      <alignment vertical="center"/>
    </xf>
    <xf numFmtId="0" fontId="34" fillId="86" borderId="496" applyNumberFormat="0" applyAlignment="0" applyProtection="0"/>
    <xf numFmtId="0" fontId="3" fillId="0" borderId="0"/>
    <xf numFmtId="0" fontId="195" fillId="0" borderId="490" applyNumberFormat="0" applyFill="0" applyAlignment="0" applyProtection="0">
      <alignment vertical="center"/>
    </xf>
    <xf numFmtId="0" fontId="18" fillId="31" borderId="602" applyNumberFormat="0" applyAlignment="0" applyProtection="0"/>
    <xf numFmtId="0" fontId="25" fillId="81" borderId="527" applyNumberFormat="0" applyAlignment="0" applyProtection="0"/>
    <xf numFmtId="0" fontId="34" fillId="66" borderId="585" applyNumberFormat="0" applyAlignment="0" applyProtection="0"/>
    <xf numFmtId="0" fontId="25" fillId="81" borderId="515" applyNumberFormat="0" applyAlignment="0" applyProtection="0"/>
    <xf numFmtId="0" fontId="46" fillId="79" borderId="570" applyNumberFormat="0" applyAlignment="0" applyProtection="0"/>
    <xf numFmtId="0" fontId="34" fillId="86" borderId="617" applyNumberFormat="0" applyAlignment="0" applyProtection="0"/>
    <xf numFmtId="0" fontId="29" fillId="0" borderId="550">
      <alignment horizontal="left" vertical="center"/>
    </xf>
    <xf numFmtId="0" fontId="25" fillId="81" borderId="657" applyNumberFormat="0" applyAlignment="0" applyProtection="0"/>
    <xf numFmtId="0" fontId="34" fillId="86" borderId="607" applyNumberFormat="0" applyAlignment="0" applyProtection="0"/>
    <xf numFmtId="0" fontId="34" fillId="66" borderId="568" applyNumberFormat="0" applyAlignment="0" applyProtection="0"/>
    <xf numFmtId="0" fontId="46" fillId="31" borderId="528" applyNumberFormat="0" applyAlignment="0" applyProtection="0"/>
    <xf numFmtId="43" fontId="1" fillId="0" borderId="0" applyFont="0" applyFill="0" applyBorder="0" applyAlignment="0" applyProtection="0"/>
    <xf numFmtId="0" fontId="7" fillId="89" borderId="0" applyNumberFormat="0" applyBorder="0" applyAlignment="0" applyProtection="0"/>
    <xf numFmtId="0" fontId="29" fillId="0" borderId="565">
      <alignment horizontal="left" vertical="center"/>
    </xf>
    <xf numFmtId="0" fontId="34" fillId="86" borderId="538" applyNumberFormat="0" applyAlignment="0" applyProtection="0"/>
    <xf numFmtId="0" fontId="34" fillId="86" borderId="496" applyNumberFormat="0" applyAlignment="0" applyProtection="0"/>
    <xf numFmtId="0" fontId="34" fillId="86" borderId="623" applyNumberFormat="0" applyAlignment="0" applyProtection="0"/>
    <xf numFmtId="0" fontId="189" fillId="31" borderId="506" applyNumberFormat="0" applyAlignment="0" applyProtection="0">
      <alignment vertical="center"/>
    </xf>
    <xf numFmtId="0" fontId="34" fillId="86" borderId="504" applyNumberFormat="0" applyAlignment="0" applyProtection="0"/>
    <xf numFmtId="0" fontId="46" fillId="31" borderId="520" applyNumberFormat="0" applyAlignment="0" applyProtection="0"/>
    <xf numFmtId="0" fontId="10" fillId="102" borderId="0" applyNumberFormat="0" applyBorder="0" applyAlignment="0" applyProtection="0"/>
    <xf numFmtId="0" fontId="34" fillId="86" borderId="514" applyNumberFormat="0" applyAlignment="0" applyProtection="0"/>
    <xf numFmtId="0" fontId="18" fillId="31" borderId="585" applyNumberFormat="0" applyAlignment="0" applyProtection="0"/>
    <xf numFmtId="0" fontId="34" fillId="86" borderId="526" applyNumberFormat="0" applyAlignment="0" applyProtection="0"/>
    <xf numFmtId="0" fontId="34" fillId="86" borderId="617" applyNumberFormat="0" applyAlignment="0" applyProtection="0"/>
    <xf numFmtId="43" fontId="3" fillId="0" borderId="0" applyFill="0" applyBorder="0" applyAlignment="0" applyProtection="0"/>
    <xf numFmtId="0" fontId="34" fillId="86" borderId="597" applyNumberFormat="0" applyAlignment="0" applyProtection="0"/>
    <xf numFmtId="0" fontId="34" fillId="86" borderId="602" applyNumberFormat="0" applyAlignment="0" applyProtection="0"/>
    <xf numFmtId="0" fontId="34" fillId="86" borderId="629" applyNumberFormat="0" applyAlignment="0" applyProtection="0"/>
    <xf numFmtId="0" fontId="18" fillId="79" borderId="656" applyNumberFormat="0" applyAlignment="0" applyProtection="0"/>
    <xf numFmtId="0" fontId="34" fillId="86" borderId="587" applyNumberFormat="0" applyAlignment="0" applyProtection="0"/>
    <xf numFmtId="0" fontId="168" fillId="35" borderId="497" applyNumberFormat="0" applyFont="0" applyAlignment="0" applyProtection="0">
      <alignment vertical="center"/>
    </xf>
    <xf numFmtId="0" fontId="29" fillId="0" borderId="529">
      <alignment horizontal="left" vertical="center"/>
    </xf>
    <xf numFmtId="0" fontId="18" fillId="79" borderId="538" applyNumberFormat="0" applyAlignment="0" applyProtection="0"/>
    <xf numFmtId="0" fontId="189" fillId="31" borderId="498" applyNumberFormat="0" applyAlignment="0" applyProtection="0">
      <alignment vertical="center"/>
    </xf>
    <xf numFmtId="43" fontId="3" fillId="0" borderId="0" applyFont="0" applyFill="0" applyBorder="0" applyAlignment="0" applyProtection="0"/>
    <xf numFmtId="2" fontId="174" fillId="0" borderId="561" applyFont="0" applyBorder="0" applyAlignment="0" applyProtection="0">
      <alignment horizontal="right"/>
    </xf>
    <xf numFmtId="0" fontId="25" fillId="81" borderId="569" applyNumberFormat="0" applyAlignment="0" applyProtection="0"/>
    <xf numFmtId="0" fontId="29" fillId="0" borderId="519" applyNumberFormat="0" applyAlignment="0" applyProtection="0"/>
    <xf numFmtId="0" fontId="29" fillId="0" borderId="628" applyNumberFormat="0" applyAlignment="0" applyProtection="0"/>
    <xf numFmtId="0" fontId="34" fillId="86" borderId="592" applyNumberFormat="0" applyAlignment="0" applyProtection="0"/>
    <xf numFmtId="0" fontId="18" fillId="31" borderId="617" applyNumberFormat="0" applyAlignment="0" applyProtection="0"/>
    <xf numFmtId="0" fontId="3" fillId="0" borderId="0"/>
    <xf numFmtId="0" fontId="202" fillId="31" borderId="496" applyNumberFormat="0" applyAlignment="0" applyProtection="0">
      <alignment vertical="center"/>
    </xf>
    <xf numFmtId="0" fontId="34" fillId="86" borderId="504" applyNumberFormat="0" applyAlignment="0" applyProtection="0"/>
    <xf numFmtId="0" fontId="3" fillId="0" borderId="0"/>
    <xf numFmtId="0" fontId="195" fillId="0" borderId="500" applyNumberFormat="0" applyFill="0" applyAlignment="0" applyProtection="0">
      <alignment vertical="center"/>
    </xf>
    <xf numFmtId="0" fontId="34" fillId="66" borderId="514" applyNumberFormat="0" applyAlignment="0" applyProtection="0"/>
    <xf numFmtId="43" fontId="3" fillId="0" borderId="0" applyFont="0" applyFill="0" applyBorder="0" applyAlignment="0" applyProtection="0"/>
    <xf numFmtId="0" fontId="29" fillId="0" borderId="519" applyNumberFormat="0" applyAlignment="0" applyProtection="0"/>
    <xf numFmtId="0" fontId="34" fillId="86" borderId="568" applyNumberFormat="0" applyAlignment="0" applyProtection="0"/>
    <xf numFmtId="0" fontId="34" fillId="86" borderId="547" applyNumberFormat="0" applyAlignment="0" applyProtection="0"/>
    <xf numFmtId="0" fontId="46" fillId="31" borderId="540" applyNumberFormat="0" applyAlignment="0" applyProtection="0"/>
    <xf numFmtId="0" fontId="46" fillId="79" borderId="540" applyNumberFormat="0" applyAlignment="0" applyProtection="0"/>
    <xf numFmtId="0" fontId="34" fillId="86" borderId="555" applyNumberFormat="0" applyAlignment="0" applyProtection="0"/>
    <xf numFmtId="0" fontId="29" fillId="0" borderId="524">
      <alignment horizontal="left" vertical="center"/>
    </xf>
    <xf numFmtId="0" fontId="34" fillId="66" borderId="587" applyNumberFormat="0" applyAlignment="0" applyProtection="0"/>
    <xf numFmtId="0" fontId="34" fillId="86" borderId="649" applyNumberFormat="0" applyAlignment="0" applyProtection="0"/>
    <xf numFmtId="0" fontId="34" fillId="86" borderId="587" applyNumberFormat="0" applyAlignment="0" applyProtection="0"/>
    <xf numFmtId="0" fontId="10" fillId="99" borderId="0" applyNumberFormat="0" applyBorder="0" applyAlignment="0" applyProtection="0"/>
    <xf numFmtId="0" fontId="34" fillId="86" borderId="504" applyNumberFormat="0" applyAlignment="0" applyProtection="0"/>
    <xf numFmtId="0" fontId="34" fillId="86" borderId="555" applyNumberFormat="0" applyAlignment="0" applyProtection="0"/>
    <xf numFmtId="0" fontId="29" fillId="0" borderId="558">
      <alignment horizontal="left" vertical="center"/>
    </xf>
    <xf numFmtId="0" fontId="18" fillId="31" borderId="631" applyNumberFormat="0" applyAlignment="0" applyProtection="0"/>
    <xf numFmtId="0" fontId="18" fillId="29" borderId="656" applyNumberFormat="0" applyAlignment="0" applyProtection="0"/>
    <xf numFmtId="0" fontId="34" fillId="86" borderId="631" applyNumberFormat="0" applyAlignment="0" applyProtection="0"/>
    <xf numFmtId="0" fontId="46" fillId="79" borderId="520" applyNumberFormat="0" applyAlignment="0" applyProtection="0"/>
    <xf numFmtId="0" fontId="202" fillId="31" borderId="568" applyNumberFormat="0" applyAlignment="0" applyProtection="0">
      <alignment vertical="center"/>
    </xf>
    <xf numFmtId="0" fontId="18" fillId="79" borderId="656" applyNumberFormat="0" applyAlignment="0" applyProtection="0"/>
    <xf numFmtId="0" fontId="34" fillId="66" borderId="547" applyNumberFormat="0" applyAlignment="0" applyProtection="0"/>
    <xf numFmtId="0" fontId="18" fillId="79" borderId="602" applyNumberFormat="0" applyAlignment="0" applyProtection="0"/>
    <xf numFmtId="0" fontId="2" fillId="37" borderId="669" applyNumberFormat="0" applyFont="0" applyAlignment="0" applyProtection="0">
      <alignment vertical="center"/>
    </xf>
    <xf numFmtId="0" fontId="34" fillId="86" borderId="617" applyNumberFormat="0" applyAlignment="0" applyProtection="0"/>
    <xf numFmtId="38" fontId="177" fillId="0" borderId="0" applyFont="0" applyFill="0" applyBorder="0" applyAlignment="0" applyProtection="0">
      <alignment vertical="center"/>
    </xf>
    <xf numFmtId="0" fontId="34" fillId="86" borderId="579" applyNumberFormat="0" applyAlignment="0" applyProtection="0"/>
    <xf numFmtId="0" fontId="46" fillId="31" borderId="605" applyNumberFormat="0" applyAlignment="0" applyProtection="0"/>
    <xf numFmtId="0" fontId="168" fillId="35" borderId="505" applyNumberFormat="0" applyFont="0" applyAlignment="0" applyProtection="0">
      <alignment vertical="center"/>
    </xf>
    <xf numFmtId="0" fontId="189" fillId="31" borderId="549" applyNumberFormat="0" applyAlignment="0" applyProtection="0">
      <alignment vertical="center"/>
    </xf>
    <xf numFmtId="0" fontId="189" fillId="31" borderId="506" applyNumberFormat="0" applyAlignment="0" applyProtection="0">
      <alignment vertical="center"/>
    </xf>
    <xf numFmtId="0" fontId="46" fillId="79" borderId="540" applyNumberFormat="0" applyAlignment="0" applyProtection="0"/>
    <xf numFmtId="0" fontId="25" fillId="81" borderId="539" applyNumberFormat="0" applyAlignment="0" applyProtection="0"/>
    <xf numFmtId="0" fontId="29" fillId="0" borderId="598">
      <alignment horizontal="left" vertical="center"/>
    </xf>
    <xf numFmtId="0" fontId="7" fillId="35" borderId="580" applyNumberFormat="0" applyFont="0" applyAlignment="0" applyProtection="0"/>
    <xf numFmtId="0" fontId="25" fillId="81" borderId="633" applyNumberFormat="0" applyAlignment="0" applyProtection="0"/>
    <xf numFmtId="0" fontId="18" fillId="31" borderId="597" applyNumberFormat="0" applyAlignment="0" applyProtection="0"/>
    <xf numFmtId="0" fontId="202" fillId="31" borderId="504" applyNumberFormat="0" applyAlignment="0" applyProtection="0">
      <alignment vertical="center"/>
    </xf>
    <xf numFmtId="0" fontId="34" fillId="86" borderId="514" applyNumberFormat="0" applyAlignment="0" applyProtection="0"/>
    <xf numFmtId="0" fontId="3" fillId="0" borderId="0"/>
    <xf numFmtId="0" fontId="195" fillId="0" borderId="508" applyNumberFormat="0" applyFill="0" applyAlignment="0" applyProtection="0">
      <alignment vertical="center"/>
    </xf>
    <xf numFmtId="0" fontId="46" fillId="31" borderId="581" applyNumberFormat="0" applyAlignment="0" applyProtection="0"/>
    <xf numFmtId="0" fontId="34" fillId="86" borderId="636" applyNumberFormat="0" applyAlignment="0" applyProtection="0"/>
    <xf numFmtId="0" fontId="34" fillId="86" borderId="587" applyNumberFormat="0" applyAlignment="0" applyProtection="0"/>
    <xf numFmtId="0" fontId="29" fillId="0" borderId="535" applyNumberFormat="0" applyAlignment="0" applyProtection="0"/>
    <xf numFmtId="0" fontId="25" fillId="81" borderId="589" applyNumberFormat="0" applyAlignment="0" applyProtection="0"/>
    <xf numFmtId="0" fontId="46" fillId="31" borderId="590" applyNumberFormat="0" applyAlignment="0" applyProtection="0"/>
    <xf numFmtId="0" fontId="34" fillId="66" borderId="585" applyNumberFormat="0" applyAlignment="0" applyProtection="0"/>
    <xf numFmtId="0" fontId="29" fillId="0" borderId="608" applyNumberFormat="0" applyAlignment="0" applyProtection="0"/>
    <xf numFmtId="0" fontId="18" fillId="31" borderId="587" applyNumberFormat="0" applyAlignment="0" applyProtection="0"/>
    <xf numFmtId="0" fontId="46" fillId="79" borderId="581" applyNumberFormat="0" applyAlignment="0" applyProtection="0"/>
    <xf numFmtId="0" fontId="34" fillId="86" borderId="538" applyNumberFormat="0" applyAlignment="0" applyProtection="0"/>
    <xf numFmtId="0" fontId="29" fillId="0" borderId="614" applyNumberFormat="0" applyAlignment="0" applyProtection="0"/>
    <xf numFmtId="177" fontId="210" fillId="0" borderId="0" applyFill="0" applyBorder="0" applyAlignment="0"/>
    <xf numFmtId="0" fontId="34" fillId="66" borderId="607" applyNumberFormat="0" applyAlignment="0" applyProtection="0"/>
    <xf numFmtId="0" fontId="34" fillId="86" borderId="526" applyNumberFormat="0" applyAlignment="0" applyProtection="0"/>
    <xf numFmtId="0" fontId="25" fillId="81" borderId="580" applyNumberFormat="0" applyAlignment="0" applyProtection="0"/>
    <xf numFmtId="0" fontId="25" fillId="81" borderId="624" applyNumberFormat="0" applyAlignment="0" applyProtection="0"/>
    <xf numFmtId="0" fontId="46" fillId="79" borderId="557" applyNumberFormat="0" applyAlignment="0" applyProtection="0"/>
    <xf numFmtId="0" fontId="18" fillId="31" borderId="592" applyNumberFormat="0" applyAlignment="0" applyProtection="0"/>
    <xf numFmtId="0" fontId="18" fillId="79" borderId="514" applyNumberFormat="0" applyAlignment="0" applyProtection="0"/>
    <xf numFmtId="0" fontId="34" fillId="66" borderId="526" applyNumberFormat="0" applyAlignment="0" applyProtection="0"/>
    <xf numFmtId="0" fontId="34" fillId="86" borderId="526" applyNumberFormat="0" applyAlignment="0" applyProtection="0"/>
    <xf numFmtId="0" fontId="29" fillId="0" borderId="603">
      <alignment horizontal="left" vertical="center"/>
    </xf>
    <xf numFmtId="0" fontId="34" fillId="86" borderId="602" applyNumberFormat="0" applyAlignment="0" applyProtection="0"/>
    <xf numFmtId="0" fontId="34" fillId="86" borderId="607" applyNumberFormat="0" applyAlignment="0" applyProtection="0"/>
    <xf numFmtId="0" fontId="24" fillId="0" borderId="530" applyNumberFormat="0" applyFill="0" applyAlignment="0" applyProtection="0"/>
    <xf numFmtId="0" fontId="168" fillId="35" borderId="515" applyNumberFormat="0" applyFont="0" applyAlignment="0" applyProtection="0">
      <alignment vertical="center"/>
    </xf>
    <xf numFmtId="0" fontId="46" fillId="79" borderId="581" applyNumberFormat="0" applyAlignment="0" applyProtection="0"/>
    <xf numFmtId="43" fontId="43" fillId="0" borderId="0" applyFont="0" applyFill="0" applyBorder="0" applyAlignment="0" applyProtection="0"/>
    <xf numFmtId="0" fontId="189" fillId="31" borderId="516" applyNumberFormat="0" applyAlignment="0" applyProtection="0">
      <alignment vertical="center"/>
    </xf>
    <xf numFmtId="43" fontId="3" fillId="0" borderId="0" applyFont="0" applyFill="0" applyBorder="0" applyAlignment="0" applyProtection="0"/>
    <xf numFmtId="0" fontId="195" fillId="0" borderId="572" applyNumberFormat="0" applyFill="0" applyAlignment="0" applyProtection="0">
      <alignment vertical="center"/>
    </xf>
    <xf numFmtId="0" fontId="34" fillId="8" borderId="656" applyNumberFormat="0" applyAlignment="0" applyProtection="0"/>
    <xf numFmtId="0" fontId="7" fillId="35" borderId="539" applyNumberFormat="0" applyFont="0" applyAlignment="0" applyProtection="0"/>
    <xf numFmtId="0" fontId="3" fillId="0" borderId="0"/>
    <xf numFmtId="0" fontId="34" fillId="86" borderId="592" applyNumberFormat="0" applyAlignment="0" applyProtection="0"/>
    <xf numFmtId="0" fontId="25" fillId="81" borderId="650" applyNumberFormat="0" applyAlignment="0" applyProtection="0"/>
    <xf numFmtId="0" fontId="34" fillId="86" borderId="623" applyNumberFormat="0" applyAlignment="0" applyProtection="0"/>
    <xf numFmtId="0" fontId="202" fillId="31" borderId="514" applyNumberFormat="0" applyAlignment="0" applyProtection="0">
      <alignment vertical="center"/>
    </xf>
    <xf numFmtId="0" fontId="18" fillId="31" borderId="585" applyNumberFormat="0" applyAlignment="0" applyProtection="0"/>
    <xf numFmtId="0" fontId="3" fillId="0" borderId="0"/>
    <xf numFmtId="0" fontId="195" fillId="0" borderId="518" applyNumberFormat="0" applyFill="0" applyAlignment="0" applyProtection="0">
      <alignment vertical="center"/>
    </xf>
    <xf numFmtId="0" fontId="34" fillId="86" borderId="629" applyNumberFormat="0" applyAlignment="0" applyProtection="0"/>
    <xf numFmtId="0" fontId="25" fillId="81" borderId="539" applyNumberFormat="0" applyAlignment="0" applyProtection="0"/>
    <xf numFmtId="0" fontId="46" fillId="79" borderId="595" applyNumberFormat="0" applyAlignment="0" applyProtection="0"/>
    <xf numFmtId="0" fontId="7" fillId="35" borderId="599" applyNumberFormat="0" applyFont="0" applyAlignment="0" applyProtection="0"/>
    <xf numFmtId="0" fontId="34" fillId="86" borderId="607" applyNumberFormat="0" applyAlignment="0" applyProtection="0"/>
    <xf numFmtId="0" fontId="34" fillId="86" borderId="592" applyNumberFormat="0" applyAlignment="0" applyProtection="0"/>
    <xf numFmtId="2" fontId="174" fillId="0" borderId="552" applyFont="0" applyBorder="0" applyAlignment="0" applyProtection="0">
      <alignment horizontal="right"/>
    </xf>
    <xf numFmtId="0" fontId="25" fillId="81" borderId="556" applyNumberFormat="0" applyAlignment="0" applyProtection="0"/>
    <xf numFmtId="0" fontId="7" fillId="35" borderId="637" applyNumberFormat="0" applyFont="0" applyAlignment="0" applyProtection="0"/>
    <xf numFmtId="0" fontId="34" fillId="86" borderId="547" applyNumberFormat="0" applyAlignment="0" applyProtection="0"/>
    <xf numFmtId="0" fontId="34" fillId="66" borderId="656" applyNumberFormat="0" applyAlignment="0" applyProtection="0"/>
    <xf numFmtId="0" fontId="34" fillId="86" borderId="597" applyNumberFormat="0" applyAlignment="0" applyProtection="0"/>
    <xf numFmtId="0" fontId="34" fillId="86" borderId="555" applyNumberFormat="0" applyAlignment="0" applyProtection="0"/>
    <xf numFmtId="0" fontId="189" fillId="31" borderId="549" applyNumberFormat="0" applyAlignment="0" applyProtection="0">
      <alignment vertical="center"/>
    </xf>
    <xf numFmtId="0" fontId="29" fillId="0" borderId="571">
      <alignment horizontal="left" vertical="center"/>
    </xf>
    <xf numFmtId="0" fontId="34" fillId="86" borderId="547" applyNumberFormat="0" applyAlignment="0" applyProtection="0"/>
    <xf numFmtId="0" fontId="202" fillId="31" borderId="623" applyNumberFormat="0" applyAlignment="0" applyProtection="0">
      <alignment vertical="center"/>
    </xf>
    <xf numFmtId="0" fontId="34" fillId="66" borderId="526" applyNumberFormat="0" applyAlignment="0" applyProtection="0"/>
    <xf numFmtId="0" fontId="34" fillId="86" borderId="585" applyNumberFormat="0" applyAlignment="0" applyProtection="0"/>
    <xf numFmtId="0" fontId="34" fillId="86" borderId="555" applyNumberFormat="0" applyAlignment="0" applyProtection="0"/>
    <xf numFmtId="0" fontId="29" fillId="0" borderId="576">
      <alignment horizontal="left" vertical="center"/>
    </xf>
    <xf numFmtId="0" fontId="34" fillId="66" borderId="555" applyNumberFormat="0" applyAlignment="0" applyProtection="0"/>
    <xf numFmtId="43" fontId="3" fillId="0" borderId="0" applyFont="0" applyFill="0" applyBorder="0" applyAlignment="0" applyProtection="0"/>
    <xf numFmtId="0" fontId="25" fillId="81" borderId="599" applyNumberFormat="0" applyAlignment="0" applyProtection="0"/>
    <xf numFmtId="0" fontId="168" fillId="35" borderId="569" applyNumberFormat="0" applyFont="0" applyAlignment="0" applyProtection="0">
      <alignment vertical="center"/>
    </xf>
    <xf numFmtId="0" fontId="29" fillId="0" borderId="525" applyNumberFormat="0" applyAlignment="0" applyProtection="0"/>
    <xf numFmtId="0" fontId="29" fillId="0" borderId="525" applyNumberFormat="0" applyAlignment="0" applyProtection="0"/>
    <xf numFmtId="0" fontId="34" fillId="86" borderId="568" applyNumberFormat="0" applyAlignment="0" applyProtection="0"/>
    <xf numFmtId="0" fontId="34" fillId="86" borderId="579" applyNumberFormat="0" applyAlignment="0" applyProtection="0"/>
    <xf numFmtId="0" fontId="24" fillId="0" borderId="551" applyNumberFormat="0" applyFill="0" applyAlignment="0" applyProtection="0"/>
    <xf numFmtId="43" fontId="1" fillId="0" borderId="0" applyFont="0" applyFill="0" applyBorder="0" applyAlignment="0" applyProtection="0"/>
    <xf numFmtId="0" fontId="46" fillId="79" borderId="634" applyNumberFormat="0" applyAlignment="0" applyProtection="0"/>
    <xf numFmtId="2" fontId="174" fillId="0" borderId="654" applyFont="0" applyBorder="0" applyAlignment="0" applyProtection="0">
      <alignment horizontal="right"/>
    </xf>
    <xf numFmtId="0" fontId="189" fillId="31" borderId="520" applyNumberFormat="0" applyAlignment="0" applyProtection="0">
      <alignment vertical="center"/>
    </xf>
    <xf numFmtId="0" fontId="46" fillId="79" borderId="605" applyNumberFormat="0" applyAlignment="0" applyProtection="0"/>
    <xf numFmtId="0" fontId="46" fillId="29" borderId="658" applyNumberFormat="0" applyAlignment="0" applyProtection="0"/>
    <xf numFmtId="0" fontId="25" fillId="81" borderId="624" applyNumberFormat="0" applyAlignment="0" applyProtection="0"/>
    <xf numFmtId="2" fontId="174" fillId="0" borderId="645" applyFont="0" applyBorder="0" applyAlignment="0" applyProtection="0">
      <alignment horizontal="right"/>
    </xf>
    <xf numFmtId="43" fontId="3" fillId="0" borderId="0" applyFont="0" applyFill="0" applyBorder="0" applyAlignment="0" applyProtection="0"/>
    <xf numFmtId="0" fontId="29" fillId="0" borderId="598">
      <alignment horizontal="left" vertical="center"/>
    </xf>
    <xf numFmtId="0" fontId="34" fillId="86" borderId="526" applyNumberFormat="0" applyAlignment="0" applyProtection="0"/>
    <xf numFmtId="0" fontId="3" fillId="0" borderId="0"/>
    <xf numFmtId="0" fontId="195" fillId="0" borderId="521" applyNumberFormat="0" applyFill="0" applyAlignment="0" applyProtection="0">
      <alignment vertical="center"/>
    </xf>
    <xf numFmtId="0" fontId="18" fillId="79" borderId="555" applyNumberFormat="0" applyAlignment="0" applyProtection="0"/>
    <xf numFmtId="0" fontId="34" fillId="86" borderId="602" applyNumberFormat="0" applyAlignment="0" applyProtection="0"/>
    <xf numFmtId="0" fontId="34" fillId="66" borderId="585" applyNumberFormat="0" applyAlignment="0" applyProtection="0"/>
    <xf numFmtId="0" fontId="18" fillId="79" borderId="579" applyNumberFormat="0" applyAlignment="0" applyProtection="0"/>
    <xf numFmtId="0" fontId="34" fillId="66" borderId="587" applyNumberFormat="0" applyAlignment="0" applyProtection="0"/>
    <xf numFmtId="0" fontId="73" fillId="8" borderId="656" applyNumberFormat="0" applyAlignment="0" applyProtection="0">
      <alignment vertical="center"/>
    </xf>
    <xf numFmtId="0" fontId="34" fillId="86" borderId="617" applyNumberFormat="0" applyAlignment="0" applyProtection="0"/>
    <xf numFmtId="0" fontId="24" fillId="0" borderId="530" applyNumberFormat="0" applyFill="0" applyAlignment="0" applyProtection="0"/>
    <xf numFmtId="0" fontId="178" fillId="86" borderId="649" applyNumberFormat="0" applyAlignment="0" applyProtection="0">
      <alignment vertical="center"/>
    </xf>
    <xf numFmtId="0" fontId="34" fillId="86" borderId="585" applyNumberFormat="0" applyAlignment="0" applyProtection="0"/>
    <xf numFmtId="0" fontId="34" fillId="86" borderId="597" applyNumberFormat="0" applyAlignment="0" applyProtection="0"/>
    <xf numFmtId="0" fontId="29" fillId="0" borderId="609">
      <alignment horizontal="left" vertical="center"/>
    </xf>
    <xf numFmtId="0" fontId="46" fillId="31" borderId="625" applyNumberFormat="0" applyAlignment="0" applyProtection="0"/>
    <xf numFmtId="0" fontId="7" fillId="90" borderId="0" applyNumberFormat="0" applyBorder="0" applyAlignment="0" applyProtection="0"/>
    <xf numFmtId="0" fontId="46" fillId="79" borderId="634" applyNumberFormat="0" applyAlignment="0" applyProtection="0"/>
    <xf numFmtId="0" fontId="18" fillId="79" borderId="526" applyNumberFormat="0" applyAlignment="0" applyProtection="0"/>
    <xf numFmtId="0" fontId="18" fillId="79" borderId="547" applyNumberFormat="0" applyAlignment="0" applyProtection="0"/>
    <xf numFmtId="0" fontId="195" fillId="0" borderId="640" applyNumberFormat="0" applyFill="0" applyAlignment="0" applyProtection="0">
      <alignment vertical="center"/>
    </xf>
    <xf numFmtId="0" fontId="185" fillId="0" borderId="562" applyNumberFormat="0" applyFont="0">
      <alignment horizontal="center" vertical="center"/>
    </xf>
    <xf numFmtId="0" fontId="34" fillId="86" borderId="597" applyNumberFormat="0" applyAlignment="0" applyProtection="0"/>
    <xf numFmtId="0" fontId="18" fillId="79" borderId="592" applyNumberFormat="0" applyAlignment="0" applyProtection="0"/>
    <xf numFmtId="0" fontId="34" fillId="86" borderId="629" applyNumberFormat="0" applyAlignment="0" applyProtection="0"/>
    <xf numFmtId="0" fontId="34" fillId="66" borderId="592" applyNumberFormat="0" applyAlignment="0" applyProtection="0"/>
    <xf numFmtId="0" fontId="34" fillId="86" borderId="623" applyNumberFormat="0" applyAlignment="0" applyProtection="0"/>
    <xf numFmtId="0" fontId="29" fillId="0" borderId="582">
      <alignment horizontal="left" vertical="center"/>
    </xf>
    <xf numFmtId="0" fontId="189" fillId="31" borderId="570" applyNumberFormat="0" applyAlignment="0" applyProtection="0">
      <alignment vertical="center"/>
    </xf>
    <xf numFmtId="0" fontId="34" fillId="66" borderId="526" applyNumberFormat="0" applyAlignment="0" applyProtection="0"/>
    <xf numFmtId="43" fontId="3" fillId="0" borderId="0" applyFont="0" applyFill="0" applyBorder="0" applyAlignment="0" applyProtection="0"/>
    <xf numFmtId="0" fontId="29" fillId="0" borderId="565">
      <alignment horizontal="left" vertical="center"/>
    </xf>
    <xf numFmtId="0" fontId="34" fillId="86" borderId="587" applyNumberFormat="0" applyAlignment="0" applyProtection="0"/>
    <xf numFmtId="0" fontId="34" fillId="86" borderId="629" applyNumberFormat="0" applyAlignment="0" applyProtection="0"/>
    <xf numFmtId="0" fontId="34" fillId="86" borderId="538" applyNumberFormat="0" applyAlignment="0" applyProtection="0"/>
    <xf numFmtId="0" fontId="7" fillId="86" borderId="0" applyNumberFormat="0" applyBorder="0" applyAlignment="0" applyProtection="0"/>
    <xf numFmtId="0" fontId="25" fillId="81" borderId="604" applyNumberFormat="0" applyAlignment="0" applyProtection="0"/>
    <xf numFmtId="0" fontId="29" fillId="0" borderId="619">
      <alignment horizontal="left" vertical="center"/>
    </xf>
    <xf numFmtId="0" fontId="10" fillId="100" borderId="0" applyNumberFormat="0" applyBorder="0" applyAlignment="0" applyProtection="0"/>
    <xf numFmtId="0" fontId="7" fillId="35" borderId="594" applyNumberFormat="0" applyFont="0" applyAlignment="0" applyProtection="0"/>
    <xf numFmtId="0" fontId="29" fillId="0" borderId="598">
      <alignment horizontal="left" vertical="center"/>
    </xf>
    <xf numFmtId="0" fontId="29" fillId="0" borderId="546" applyNumberFormat="0" applyAlignment="0" applyProtection="0"/>
    <xf numFmtId="0" fontId="34" fillId="66" borderId="597" applyNumberFormat="0" applyAlignment="0" applyProtection="0"/>
    <xf numFmtId="0" fontId="18" fillId="79" borderId="587" applyNumberFormat="0" applyAlignment="0" applyProtection="0"/>
    <xf numFmtId="0" fontId="34" fillId="86" borderId="631" applyNumberFormat="0" applyAlignment="0" applyProtection="0"/>
    <xf numFmtId="0" fontId="34" fillId="86" borderId="597" applyNumberFormat="0" applyAlignment="0" applyProtection="0"/>
    <xf numFmtId="0" fontId="7" fillId="89" borderId="0" applyNumberFormat="0" applyBorder="0" applyAlignment="0" applyProtection="0"/>
    <xf numFmtId="0" fontId="168" fillId="35" borderId="539" applyNumberFormat="0" applyFont="0" applyAlignment="0" applyProtection="0">
      <alignment vertical="center"/>
    </xf>
    <xf numFmtId="0" fontId="7" fillId="96" borderId="0" applyNumberFormat="0" applyBorder="0" applyAlignment="0" applyProtection="0"/>
    <xf numFmtId="0" fontId="189" fillId="31" borderId="540" applyNumberFormat="0" applyAlignment="0" applyProtection="0">
      <alignment vertical="center"/>
    </xf>
    <xf numFmtId="0" fontId="18" fillId="79" borderId="623" applyNumberFormat="0" applyAlignment="0" applyProtection="0"/>
    <xf numFmtId="0" fontId="46" fillId="79" borderId="570" applyNumberFormat="0" applyAlignment="0" applyProtection="0"/>
    <xf numFmtId="43" fontId="3" fillId="0" borderId="0" applyFont="0" applyFill="0" applyBorder="0" applyAlignment="0" applyProtection="0"/>
    <xf numFmtId="0" fontId="34" fillId="66" borderId="592" applyNumberFormat="0" applyAlignment="0" applyProtection="0"/>
    <xf numFmtId="0" fontId="202" fillId="31" borderId="538" applyNumberFormat="0" applyAlignment="0" applyProtection="0">
      <alignment vertical="center"/>
    </xf>
    <xf numFmtId="0" fontId="195" fillId="0" borderId="543" applyNumberFormat="0" applyFill="0" applyAlignment="0" applyProtection="0">
      <alignment vertical="center"/>
    </xf>
    <xf numFmtId="0" fontId="46" fillId="79" borderId="581" applyNumberFormat="0" applyAlignment="0" applyProtection="0"/>
    <xf numFmtId="0" fontId="34" fillId="86" borderId="585" applyNumberFormat="0" applyAlignment="0" applyProtection="0"/>
    <xf numFmtId="0" fontId="178" fillId="86" borderId="568" applyNumberFormat="0" applyAlignment="0" applyProtection="0">
      <alignment vertical="center"/>
    </xf>
    <xf numFmtId="0" fontId="34" fillId="86" borderId="617" applyNumberFormat="0" applyAlignment="0" applyProtection="0"/>
    <xf numFmtId="0" fontId="34" fillId="86" borderId="607" applyNumberFormat="0" applyAlignment="0" applyProtection="0"/>
    <xf numFmtId="0" fontId="189" fillId="31" borderId="581" applyNumberFormat="0" applyAlignment="0" applyProtection="0">
      <alignment vertical="center"/>
    </xf>
    <xf numFmtId="0" fontId="34" fillId="86" borderId="547" applyNumberFormat="0" applyAlignment="0" applyProtection="0"/>
    <xf numFmtId="0" fontId="34" fillId="86" borderId="592" applyNumberFormat="0" applyAlignment="0" applyProtection="0"/>
    <xf numFmtId="0" fontId="29" fillId="0" borderId="571">
      <alignment horizontal="left" vertical="center"/>
    </xf>
    <xf numFmtId="0" fontId="34" fillId="86" borderId="602" applyNumberFormat="0" applyAlignment="0" applyProtection="0"/>
    <xf numFmtId="0" fontId="19" fillId="85" borderId="3" applyNumberFormat="0" applyAlignment="0" applyProtection="0"/>
    <xf numFmtId="0" fontId="29" fillId="0" borderId="550">
      <alignment horizontal="left" vertical="center"/>
    </xf>
    <xf numFmtId="0" fontId="34" fillId="86" borderId="607" applyNumberFormat="0" applyAlignment="0" applyProtection="0"/>
    <xf numFmtId="0" fontId="202" fillId="31" borderId="579" applyNumberFormat="0" applyAlignment="0" applyProtection="0">
      <alignment vertical="center"/>
    </xf>
    <xf numFmtId="0" fontId="34" fillId="86" borderId="597" applyNumberFormat="0" applyAlignment="0" applyProtection="0"/>
    <xf numFmtId="0" fontId="29" fillId="0" borderId="648" applyNumberFormat="0" applyAlignment="0" applyProtection="0"/>
    <xf numFmtId="0" fontId="7" fillId="35" borderId="556" applyNumberFormat="0" applyFont="0" applyAlignment="0" applyProtection="0"/>
    <xf numFmtId="0" fontId="34" fillId="86" borderId="587" applyNumberFormat="0" applyAlignment="0" applyProtection="0"/>
    <xf numFmtId="0" fontId="34" fillId="86" borderId="587" applyNumberFormat="0" applyAlignment="0" applyProtection="0"/>
    <xf numFmtId="0" fontId="34" fillId="86" borderId="629" applyNumberFormat="0" applyAlignment="0" applyProtection="0"/>
    <xf numFmtId="0" fontId="18" fillId="31" borderId="587" applyNumberFormat="0" applyAlignment="0" applyProtection="0"/>
    <xf numFmtId="0" fontId="25" fillId="81" borderId="569" applyNumberFormat="0" applyAlignment="0" applyProtection="0"/>
    <xf numFmtId="194" fontId="211" fillId="0" borderId="0"/>
    <xf numFmtId="0" fontId="29" fillId="0" borderId="588">
      <alignment horizontal="left" vertical="center"/>
    </xf>
    <xf numFmtId="0" fontId="46" fillId="79" borderId="595" applyNumberFormat="0" applyAlignment="0" applyProtection="0"/>
    <xf numFmtId="0" fontId="29" fillId="0" borderId="564" applyNumberFormat="0" applyAlignment="0" applyProtection="0"/>
    <xf numFmtId="0" fontId="34" fillId="86" borderId="623" applyNumberFormat="0" applyAlignment="0" applyProtection="0"/>
    <xf numFmtId="0" fontId="34" fillId="86" borderId="631" applyNumberFormat="0" applyAlignment="0" applyProtection="0"/>
    <xf numFmtId="0" fontId="34" fillId="86" borderId="623" applyNumberFormat="0" applyAlignment="0" applyProtection="0"/>
    <xf numFmtId="0" fontId="18" fillId="79" borderId="597" applyNumberFormat="0" applyAlignment="0" applyProtection="0"/>
    <xf numFmtId="0" fontId="24" fillId="0" borderId="583" applyNumberFormat="0" applyFill="0" applyAlignment="0" applyProtection="0"/>
    <xf numFmtId="0" fontId="34" fillId="86" borderId="597" applyNumberFormat="0" applyAlignment="0" applyProtection="0"/>
    <xf numFmtId="0" fontId="29" fillId="0" borderId="564" applyNumberFormat="0" applyAlignment="0" applyProtection="0"/>
    <xf numFmtId="0" fontId="34" fillId="86" borderId="607" applyNumberFormat="0" applyAlignment="0" applyProtection="0"/>
    <xf numFmtId="0" fontId="29" fillId="0" borderId="546" applyNumberFormat="0" applyAlignment="0" applyProtection="0"/>
    <xf numFmtId="0" fontId="29" fillId="0" borderId="660">
      <alignment horizontal="left" vertical="center"/>
    </xf>
    <xf numFmtId="0" fontId="29" fillId="0" borderId="546" applyNumberFormat="0" applyAlignment="0" applyProtection="0"/>
    <xf numFmtId="0" fontId="34" fillId="86" borderId="587" applyNumberFormat="0" applyAlignment="0" applyProtection="0"/>
    <xf numFmtId="0" fontId="29" fillId="0" borderId="598">
      <alignment horizontal="left" vertical="center"/>
    </xf>
    <xf numFmtId="0" fontId="18" fillId="31" borderId="623" applyNumberFormat="0" applyAlignment="0" applyProtection="0"/>
    <xf numFmtId="0" fontId="34" fillId="86" borderId="592" applyNumberFormat="0" applyAlignment="0" applyProtection="0"/>
    <xf numFmtId="0" fontId="18" fillId="31" borderId="547" applyNumberFormat="0" applyAlignment="0" applyProtection="0"/>
    <xf numFmtId="0" fontId="46" fillId="79" borderId="549" applyNumberFormat="0" applyAlignment="0" applyProtection="0"/>
    <xf numFmtId="0" fontId="18" fillId="79" borderId="602" applyNumberFormat="0" applyAlignment="0" applyProtection="0"/>
    <xf numFmtId="9" fontId="3" fillId="0" borderId="0" applyFont="0" applyFill="0" applyBorder="0" applyAlignment="0" applyProtection="0"/>
    <xf numFmtId="0" fontId="34" fillId="66" borderId="636" applyNumberFormat="0" applyAlignment="0" applyProtection="0"/>
    <xf numFmtId="0" fontId="18" fillId="79" borderId="579" applyNumberFormat="0" applyAlignment="0" applyProtection="0"/>
    <xf numFmtId="0" fontId="34" fillId="86" borderId="579" applyNumberFormat="0" applyAlignment="0" applyProtection="0"/>
    <xf numFmtId="0" fontId="34" fillId="86" borderId="602" applyNumberFormat="0" applyAlignment="0" applyProtection="0"/>
    <xf numFmtId="0" fontId="34" fillId="86" borderId="547" applyNumberFormat="0" applyAlignment="0" applyProtection="0"/>
    <xf numFmtId="0" fontId="29" fillId="0" borderId="618" applyNumberFormat="0" applyAlignment="0" applyProtection="0">
      <alignment horizontal="left" vertical="center"/>
    </xf>
    <xf numFmtId="0" fontId="18" fillId="79" borderId="607" applyNumberFormat="0" applyAlignment="0" applyProtection="0"/>
    <xf numFmtId="0" fontId="189" fillId="31" borderId="557" applyNumberFormat="0" applyAlignment="0" applyProtection="0">
      <alignment vertical="center"/>
    </xf>
    <xf numFmtId="0" fontId="25" fillId="81" borderId="548" applyNumberFormat="0" applyAlignment="0" applyProtection="0"/>
    <xf numFmtId="0" fontId="46" fillId="79" borderId="540" applyNumberFormat="0" applyAlignment="0" applyProtection="0"/>
    <xf numFmtId="0" fontId="25" fillId="81" borderId="569" applyNumberFormat="0" applyAlignment="0" applyProtection="0"/>
    <xf numFmtId="0" fontId="34" fillId="86" borderId="585" applyNumberFormat="0" applyAlignment="0" applyProtection="0"/>
    <xf numFmtId="0" fontId="34" fillId="86" borderId="597" applyNumberFormat="0" applyAlignment="0" applyProtection="0"/>
    <xf numFmtId="0" fontId="34" fillId="86" borderId="617" applyNumberFormat="0" applyAlignment="0" applyProtection="0"/>
    <xf numFmtId="0" fontId="46" fillId="79" borderId="557" applyNumberFormat="0" applyAlignment="0" applyProtection="0"/>
    <xf numFmtId="0" fontId="29" fillId="0" borderId="615">
      <alignment horizontal="left" vertical="center"/>
    </xf>
    <xf numFmtId="0" fontId="7" fillId="35" borderId="594" applyNumberFormat="0" applyFont="0" applyAlignment="0" applyProtection="0"/>
    <xf numFmtId="43" fontId="3" fillId="0" borderId="0" applyFont="0" applyFill="0" applyBorder="0" applyAlignment="0" applyProtection="0"/>
    <xf numFmtId="0" fontId="29" fillId="0" borderId="563">
      <alignment horizontal="left" vertical="center"/>
    </xf>
    <xf numFmtId="0" fontId="34" fillId="86" borderId="607" applyNumberFormat="0" applyAlignment="0" applyProtection="0"/>
    <xf numFmtId="0" fontId="18" fillId="79" borderId="587" applyNumberFormat="0" applyAlignment="0" applyProtection="0"/>
    <xf numFmtId="40" fontId="168" fillId="0" borderId="0" applyFont="0" applyFill="0" applyBorder="0" applyAlignment="0" applyProtection="0">
      <alignment vertical="center"/>
    </xf>
    <xf numFmtId="0" fontId="34" fillId="86" borderId="631" applyNumberFormat="0" applyAlignment="0" applyProtection="0"/>
    <xf numFmtId="0" fontId="7" fillId="92" borderId="0" applyNumberFormat="0" applyBorder="0" applyAlignment="0" applyProtection="0"/>
    <xf numFmtId="0" fontId="195" fillId="0" borderId="559" applyNumberFormat="0" applyFill="0" applyAlignment="0" applyProtection="0">
      <alignment vertical="center"/>
    </xf>
    <xf numFmtId="0" fontId="34" fillId="86" borderId="592" applyNumberFormat="0" applyAlignment="0" applyProtection="0"/>
    <xf numFmtId="0" fontId="34" fillId="86" borderId="585" applyNumberFormat="0" applyAlignment="0" applyProtection="0"/>
    <xf numFmtId="0" fontId="34" fillId="86" borderId="585" applyNumberFormat="0" applyAlignment="0" applyProtection="0"/>
    <xf numFmtId="0" fontId="34" fillId="86" borderId="587" applyNumberFormat="0" applyAlignment="0" applyProtection="0"/>
    <xf numFmtId="0" fontId="18" fillId="31" borderId="587" applyNumberFormat="0" applyAlignment="0" applyProtection="0"/>
    <xf numFmtId="0" fontId="34" fillId="86" borderId="607" applyNumberFormat="0" applyAlignment="0" applyProtection="0"/>
    <xf numFmtId="0" fontId="34" fillId="86" borderId="602" applyNumberFormat="0" applyAlignment="0" applyProtection="0"/>
    <xf numFmtId="0" fontId="7" fillId="35" borderId="604" applyNumberFormat="0" applyFont="0" applyAlignment="0" applyProtection="0"/>
    <xf numFmtId="0" fontId="46" fillId="79" borderId="590" applyNumberFormat="0" applyAlignment="0" applyProtection="0"/>
    <xf numFmtId="0" fontId="168" fillId="35" borderId="556" applyNumberFormat="0" applyFont="0" applyAlignment="0" applyProtection="0">
      <alignment vertical="center"/>
    </xf>
    <xf numFmtId="0" fontId="34" fillId="86" borderId="602" applyNumberFormat="0" applyAlignment="0" applyProtection="0"/>
    <xf numFmtId="0" fontId="34" fillId="86" borderId="597" applyNumberFormat="0" applyAlignment="0" applyProtection="0"/>
    <xf numFmtId="0" fontId="189" fillId="31" borderId="557" applyNumberFormat="0" applyAlignment="0" applyProtection="0">
      <alignment vertical="center"/>
    </xf>
    <xf numFmtId="2" fontId="174" fillId="0" borderId="573" applyFont="0" applyBorder="0" applyAlignment="0" applyProtection="0">
      <alignment horizontal="right"/>
    </xf>
    <xf numFmtId="0" fontId="178" fillId="86" borderId="629" applyNumberFormat="0" applyAlignment="0" applyProtection="0">
      <alignment vertical="center"/>
    </xf>
    <xf numFmtId="0" fontId="25" fillId="81" borderId="633" applyNumberFormat="0" applyAlignment="0" applyProtection="0"/>
    <xf numFmtId="0" fontId="34" fillId="66" borderId="592" applyNumberFormat="0" applyAlignment="0" applyProtection="0"/>
    <xf numFmtId="0" fontId="46" fillId="79" borderId="600" applyNumberFormat="0" applyAlignment="0" applyProtection="0"/>
    <xf numFmtId="0" fontId="18" fillId="31" borderId="607" applyNumberFormat="0" applyAlignment="0" applyProtection="0"/>
    <xf numFmtId="0" fontId="34" fillId="86" borderId="597" applyNumberFormat="0" applyAlignment="0" applyProtection="0"/>
    <xf numFmtId="0" fontId="202" fillId="31" borderId="555" applyNumberFormat="0" applyAlignment="0" applyProtection="0">
      <alignment vertical="center"/>
    </xf>
    <xf numFmtId="0" fontId="34" fillId="86" borderId="579" applyNumberFormat="0" applyAlignment="0" applyProtection="0"/>
    <xf numFmtId="0" fontId="3" fillId="0" borderId="0"/>
    <xf numFmtId="0" fontId="195" fillId="0" borderId="559" applyNumberFormat="0" applyFill="0" applyAlignment="0" applyProtection="0">
      <alignment vertical="center"/>
    </xf>
    <xf numFmtId="0" fontId="34" fillId="86" borderId="602" applyNumberFormat="0" applyAlignment="0" applyProtection="0"/>
    <xf numFmtId="0" fontId="29" fillId="0" borderId="577" applyNumberFormat="0" applyAlignment="0" applyProtection="0"/>
    <xf numFmtId="0" fontId="34" fillId="86" borderId="617" applyNumberFormat="0" applyAlignment="0" applyProtection="0"/>
    <xf numFmtId="0" fontId="29" fillId="0" borderId="615">
      <alignment horizontal="left" vertical="center"/>
    </xf>
    <xf numFmtId="179" fontId="210" fillId="0" borderId="0" applyFill="0" applyBorder="0" applyAlignment="0"/>
    <xf numFmtId="0" fontId="34" fillId="66" borderId="631" applyNumberFormat="0" applyAlignment="0" applyProtection="0"/>
    <xf numFmtId="0" fontId="29" fillId="0" borderId="626">
      <alignment horizontal="left" vertical="center"/>
    </xf>
    <xf numFmtId="0" fontId="18" fillId="79" borderId="597" applyNumberFormat="0" applyAlignment="0" applyProtection="0"/>
    <xf numFmtId="43" fontId="3" fillId="0" borderId="0" applyFont="0" applyFill="0" applyBorder="0" applyAlignment="0" applyProtection="0"/>
    <xf numFmtId="0" fontId="34" fillId="86" borderId="636" applyNumberFormat="0" applyAlignment="0" applyProtection="0"/>
    <xf numFmtId="0" fontId="34" fillId="66" borderId="568" applyNumberFormat="0" applyAlignment="0" applyProtection="0"/>
    <xf numFmtId="0" fontId="34" fillId="86" borderId="597" applyNumberFormat="0" applyAlignment="0" applyProtection="0"/>
    <xf numFmtId="0" fontId="34" fillId="66" borderId="579" applyNumberFormat="0" applyAlignment="0" applyProtection="0"/>
    <xf numFmtId="0" fontId="25" fillId="81" borderId="589" applyNumberFormat="0" applyAlignment="0" applyProtection="0"/>
    <xf numFmtId="0" fontId="34" fillId="86" borderId="631" applyNumberFormat="0" applyAlignment="0" applyProtection="0"/>
    <xf numFmtId="0" fontId="34" fillId="86" borderId="623" applyNumberFormat="0" applyAlignment="0" applyProtection="0"/>
    <xf numFmtId="2" fontId="174" fillId="0" borderId="641" applyFont="0" applyBorder="0" applyAlignment="0" applyProtection="0">
      <alignment horizontal="right"/>
    </xf>
    <xf numFmtId="0" fontId="34" fillId="86" borderId="579" applyNumberFormat="0" applyAlignment="0" applyProtection="0"/>
    <xf numFmtId="0" fontId="34" fillId="86" borderId="597" applyNumberFormat="0" applyAlignment="0" applyProtection="0"/>
    <xf numFmtId="0" fontId="34" fillId="86" borderId="649" applyNumberFormat="0" applyAlignment="0" applyProtection="0"/>
    <xf numFmtId="0" fontId="34" fillId="86" borderId="585" applyNumberFormat="0" applyAlignment="0" applyProtection="0"/>
    <xf numFmtId="0" fontId="10" fillId="93" borderId="0" applyNumberFormat="0" applyBorder="0" applyAlignment="0" applyProtection="0"/>
    <xf numFmtId="0" fontId="29" fillId="0" borderId="567" applyNumberFormat="0" applyAlignment="0" applyProtection="0"/>
    <xf numFmtId="0" fontId="27" fillId="87" borderId="0" applyNumberFormat="0" applyBorder="0" applyAlignment="0" applyProtection="0"/>
    <xf numFmtId="43" fontId="1" fillId="0" borderId="0" applyFont="0" applyFill="0" applyBorder="0" applyAlignment="0" applyProtection="0"/>
    <xf numFmtId="0" fontId="34" fillId="86" borderId="587" applyNumberFormat="0" applyAlignment="0" applyProtection="0"/>
    <xf numFmtId="0" fontId="29" fillId="0" borderId="626">
      <alignment horizontal="left" vertical="center"/>
    </xf>
    <xf numFmtId="0" fontId="10" fillId="98" borderId="0" applyNumberFormat="0" applyBorder="0" applyAlignment="0" applyProtection="0"/>
    <xf numFmtId="0" fontId="29" fillId="0" borderId="655">
      <alignment horizontal="left" vertical="center"/>
    </xf>
    <xf numFmtId="0" fontId="18" fillId="79" borderId="579" applyNumberFormat="0" applyAlignment="0" applyProtection="0"/>
    <xf numFmtId="0" fontId="29" fillId="0" borderId="630" applyNumberFormat="0" applyAlignment="0" applyProtection="0"/>
    <xf numFmtId="0" fontId="34" fillId="86" borderId="592" applyNumberFormat="0" applyAlignment="0" applyProtection="0"/>
    <xf numFmtId="0" fontId="34" fillId="86" borderId="568" applyNumberFormat="0" applyAlignment="0" applyProtection="0"/>
    <xf numFmtId="0" fontId="195" fillId="0" borderId="566" applyNumberFormat="0" applyFill="0" applyAlignment="0" applyProtection="0">
      <alignment vertical="center"/>
    </xf>
    <xf numFmtId="0" fontId="34" fillId="86" borderId="585" applyNumberFormat="0" applyAlignment="0" applyProtection="0"/>
    <xf numFmtId="0" fontId="29" fillId="0" borderId="619">
      <alignment horizontal="left" vertical="center"/>
    </xf>
    <xf numFmtId="0" fontId="25" fillId="81" borderId="599" applyNumberFormat="0" applyAlignment="0" applyProtection="0"/>
    <xf numFmtId="0" fontId="24" fillId="0" borderId="627" applyNumberFormat="0" applyFill="0" applyAlignment="0" applyProtection="0"/>
    <xf numFmtId="0" fontId="195" fillId="0" borderId="661" applyNumberFormat="0" applyFill="0" applyAlignment="0" applyProtection="0">
      <alignment vertical="center"/>
    </xf>
    <xf numFmtId="0" fontId="34" fillId="86" borderId="585" applyNumberFormat="0" applyAlignment="0" applyProtection="0"/>
    <xf numFmtId="0" fontId="34" fillId="66" borderId="585" applyNumberFormat="0" applyAlignment="0" applyProtection="0"/>
    <xf numFmtId="0" fontId="18" fillId="79" borderId="587" applyNumberFormat="0" applyAlignment="0" applyProtection="0"/>
    <xf numFmtId="0" fontId="29" fillId="0" borderId="576">
      <alignment horizontal="left" vertical="center"/>
    </xf>
    <xf numFmtId="0" fontId="34" fillId="86" borderId="592" applyNumberFormat="0" applyAlignment="0" applyProtection="0"/>
    <xf numFmtId="0" fontId="18" fillId="79" borderId="568" applyNumberFormat="0" applyAlignment="0" applyProtection="0"/>
    <xf numFmtId="0" fontId="34" fillId="86" borderId="607" applyNumberFormat="0" applyAlignment="0" applyProtection="0"/>
    <xf numFmtId="0" fontId="29" fillId="0" borderId="576">
      <alignment horizontal="left" vertical="center"/>
    </xf>
    <xf numFmtId="0" fontId="18" fillId="79" borderId="568" applyNumberFormat="0" applyAlignment="0" applyProtection="0"/>
    <xf numFmtId="43" fontId="1" fillId="0" borderId="0" applyFont="0" applyFill="0" applyBorder="0" applyAlignment="0" applyProtection="0"/>
    <xf numFmtId="0" fontId="34" fillId="86" borderId="629" applyNumberFormat="0" applyAlignment="0" applyProtection="0"/>
    <xf numFmtId="0" fontId="34" fillId="66" borderId="623" applyNumberFormat="0" applyAlignment="0" applyProtection="0"/>
    <xf numFmtId="0" fontId="34" fillId="86" borderId="629" applyNumberFormat="0" applyAlignment="0" applyProtection="0"/>
    <xf numFmtId="0" fontId="185" fillId="0" borderId="575" applyNumberFormat="0" applyFont="0">
      <alignment horizontal="center" vertical="center"/>
    </xf>
    <xf numFmtId="0" fontId="18" fillId="31" borderId="592" applyNumberFormat="0" applyAlignment="0" applyProtection="0"/>
    <xf numFmtId="0" fontId="29" fillId="0" borderId="615">
      <alignment horizontal="left" vertical="center"/>
    </xf>
    <xf numFmtId="0" fontId="29" fillId="0" borderId="613" applyNumberFormat="0" applyAlignment="0" applyProtection="0">
      <alignment horizontal="left" vertical="center"/>
    </xf>
    <xf numFmtId="2" fontId="174" fillId="0" borderId="674" applyFont="0" applyBorder="0" applyAlignment="0" applyProtection="0">
      <alignment horizontal="right"/>
    </xf>
    <xf numFmtId="0" fontId="25" fillId="81" borderId="624" applyNumberFormat="0" applyAlignment="0" applyProtection="0"/>
    <xf numFmtId="0" fontId="34" fillId="86" borderId="597" applyNumberFormat="0" applyAlignment="0" applyProtection="0"/>
    <xf numFmtId="0" fontId="34" fillId="8" borderId="656" applyNumberFormat="0" applyAlignment="0" applyProtection="0"/>
    <xf numFmtId="0" fontId="34" fillId="86" borderId="579" applyNumberFormat="0" applyAlignment="0" applyProtection="0"/>
    <xf numFmtId="0" fontId="29" fillId="0" borderId="593">
      <alignment horizontal="left" vertical="center"/>
    </xf>
    <xf numFmtId="0" fontId="29" fillId="0" borderId="588">
      <alignment horizontal="left" vertical="center"/>
    </xf>
    <xf numFmtId="0" fontId="34" fillId="86" borderId="629" applyNumberFormat="0" applyAlignment="0" applyProtection="0"/>
    <xf numFmtId="0" fontId="34" fillId="86" borderId="602" applyNumberFormat="0" applyAlignment="0" applyProtection="0"/>
    <xf numFmtId="0" fontId="18" fillId="79" borderId="636" applyNumberFormat="0" applyAlignment="0" applyProtection="0"/>
    <xf numFmtId="179" fontId="210" fillId="0" borderId="0" applyFont="0" applyFill="0" applyBorder="0" applyAlignment="0" applyProtection="0"/>
    <xf numFmtId="0" fontId="34" fillId="86" borderId="631" applyNumberFormat="0" applyAlignment="0" applyProtection="0"/>
    <xf numFmtId="0" fontId="25" fillId="81" borderId="594" applyNumberFormat="0" applyAlignment="0" applyProtection="0"/>
    <xf numFmtId="0" fontId="34" fillId="86" borderId="656" applyNumberFormat="0" applyAlignment="0" applyProtection="0"/>
    <xf numFmtId="0" fontId="25" fillId="81" borderId="650" applyNumberFormat="0" applyAlignment="0" applyProtection="0"/>
    <xf numFmtId="0" fontId="168" fillId="35" borderId="580" applyNumberFormat="0" applyFont="0" applyAlignment="0" applyProtection="0">
      <alignment vertical="center"/>
    </xf>
    <xf numFmtId="0" fontId="176" fillId="0" borderId="450">
      <alignment horizontal="center"/>
    </xf>
    <xf numFmtId="0" fontId="18" fillId="79" borderId="631" applyNumberFormat="0" applyAlignment="0" applyProtection="0"/>
    <xf numFmtId="0" fontId="189" fillId="31" borderId="581" applyNumberFormat="0" applyAlignment="0" applyProtection="0">
      <alignment vertical="center"/>
    </xf>
    <xf numFmtId="0" fontId="168" fillId="0" borderId="0"/>
    <xf numFmtId="0" fontId="202" fillId="31" borderId="579" applyNumberFormat="0" applyAlignment="0" applyProtection="0">
      <alignment vertical="center"/>
    </xf>
    <xf numFmtId="0" fontId="195" fillId="0" borderId="583" applyNumberFormat="0" applyFill="0" applyAlignment="0" applyProtection="0">
      <alignment vertical="center"/>
    </xf>
    <xf numFmtId="0" fontId="29" fillId="0" borderId="542">
      <alignment horizontal="left" vertical="center"/>
    </xf>
    <xf numFmtId="0" fontId="24" fillId="0" borderId="640" applyNumberFormat="0" applyFill="0" applyAlignment="0" applyProtection="0"/>
    <xf numFmtId="0" fontId="10" fillId="97" borderId="0" applyNumberFormat="0" applyBorder="0" applyAlignment="0" applyProtection="0"/>
    <xf numFmtId="0" fontId="18" fillId="79" borderId="585" applyNumberFormat="0" applyAlignment="0" applyProtection="0"/>
    <xf numFmtId="0" fontId="34" fillId="66" borderId="617" applyNumberFormat="0" applyAlignment="0" applyProtection="0"/>
    <xf numFmtId="0" fontId="36" fillId="91" borderId="0" applyNumberFormat="0" applyBorder="0" applyAlignment="0" applyProtection="0"/>
    <xf numFmtId="0" fontId="34" fillId="86" borderId="597"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0" fontId="18" fillId="31" borderId="607" applyNumberFormat="0" applyAlignment="0" applyProtection="0"/>
    <xf numFmtId="0" fontId="34" fillId="86" borderId="597" applyNumberFormat="0" applyAlignment="0" applyProtection="0"/>
    <xf numFmtId="0" fontId="34" fillId="86" borderId="592" applyNumberFormat="0" applyAlignment="0" applyProtection="0"/>
    <xf numFmtId="0" fontId="34" fillId="66" borderId="617" applyNumberFormat="0" applyAlignment="0" applyProtection="0"/>
    <xf numFmtId="0" fontId="46" fillId="31" borderId="605" applyNumberFormat="0" applyAlignment="0" applyProtection="0"/>
    <xf numFmtId="0" fontId="25" fillId="81" borderId="650" applyNumberFormat="0" applyAlignment="0" applyProtection="0"/>
    <xf numFmtId="41" fontId="3" fillId="0" borderId="0" applyFont="0" applyFill="0" applyBorder="0" applyAlignment="0" applyProtection="0"/>
    <xf numFmtId="0" fontId="14" fillId="90" borderId="0" applyNumberFormat="0" applyBorder="0" applyAlignment="0" applyProtection="0"/>
    <xf numFmtId="0" fontId="34" fillId="66" borderId="656" applyNumberFormat="0" applyAlignment="0" applyProtection="0"/>
    <xf numFmtId="0" fontId="34" fillId="86" borderId="597" applyNumberFormat="0" applyAlignment="0" applyProtection="0"/>
    <xf numFmtId="0" fontId="7" fillId="35" borderId="604" applyNumberFormat="0" applyFont="0" applyAlignment="0" applyProtection="0"/>
    <xf numFmtId="0" fontId="34" fillId="86" borderId="623" applyNumberFormat="0" applyAlignment="0" applyProtection="0"/>
    <xf numFmtId="0" fontId="34" fillId="66" borderId="636" applyNumberFormat="0" applyAlignment="0" applyProtection="0"/>
    <xf numFmtId="0" fontId="34" fillId="86" borderId="623" applyNumberFormat="0" applyAlignment="0" applyProtection="0"/>
    <xf numFmtId="43" fontId="3" fillId="0" borderId="0" applyFont="0" applyFill="0" applyBorder="0" applyAlignment="0" applyProtection="0"/>
    <xf numFmtId="0" fontId="34" fillId="86" borderId="656" applyNumberFormat="0" applyAlignment="0" applyProtection="0"/>
    <xf numFmtId="0" fontId="34" fillId="86" borderId="623" applyNumberFormat="0" applyAlignment="0" applyProtection="0"/>
    <xf numFmtId="0" fontId="34" fillId="86" borderId="631" applyNumberFormat="0" applyAlignment="0" applyProtection="0"/>
    <xf numFmtId="0" fontId="34" fillId="8" borderId="656" applyNumberFormat="0" applyAlignment="0" applyProtection="0"/>
    <xf numFmtId="0" fontId="7" fillId="35" borderId="620" applyNumberFormat="0" applyFont="0" applyAlignment="0" applyProtection="0"/>
    <xf numFmtId="0" fontId="179" fillId="0" borderId="0" applyNumberFormat="0" applyFont="0" applyFill="0" applyBorder="0" applyAlignment="0" applyProtection="0">
      <alignment horizontal="left"/>
    </xf>
    <xf numFmtId="0" fontId="7" fillId="35" borderId="620" applyNumberFormat="0" applyFont="0" applyAlignment="0" applyProtection="0"/>
    <xf numFmtId="0" fontId="7" fillId="35" borderId="620" applyNumberFormat="0" applyFont="0" applyAlignment="0" applyProtection="0"/>
    <xf numFmtId="0" fontId="25" fillId="81" borderId="620" applyNumberFormat="0" applyAlignment="0" applyProtection="0"/>
    <xf numFmtId="15" fontId="179" fillId="0" borderId="0" applyFont="0" applyFill="0" applyBorder="0" applyAlignment="0" applyProtection="0"/>
    <xf numFmtId="0" fontId="25" fillId="81" borderId="620" applyNumberFormat="0" applyAlignment="0" applyProtection="0"/>
    <xf numFmtId="0" fontId="25" fillId="81" borderId="620" applyNumberFormat="0" applyAlignment="0" applyProtection="0"/>
    <xf numFmtId="0" fontId="34" fillId="66" borderId="623" applyNumberFormat="0" applyAlignment="0" applyProtection="0"/>
    <xf numFmtId="4" fontId="179" fillId="0" borderId="0" applyFont="0" applyFill="0" applyBorder="0" applyAlignment="0" applyProtection="0"/>
    <xf numFmtId="0" fontId="46" fillId="31" borderId="621" applyNumberFormat="0" applyAlignment="0" applyProtection="0"/>
    <xf numFmtId="0" fontId="176" fillId="0" borderId="13">
      <alignment horizontal="center"/>
    </xf>
    <xf numFmtId="0" fontId="46" fillId="79" borderId="621" applyNumberFormat="0" applyAlignment="0" applyProtection="0"/>
    <xf numFmtId="0" fontId="46" fillId="79" borderId="621" applyNumberFormat="0" applyAlignment="0" applyProtection="0"/>
    <xf numFmtId="0" fontId="46" fillId="79" borderId="621" applyNumberFormat="0" applyAlignment="0" applyProtection="0"/>
    <xf numFmtId="3" fontId="179" fillId="0" borderId="0" applyFont="0" applyFill="0" applyBorder="0" applyAlignment="0" applyProtection="0"/>
    <xf numFmtId="0" fontId="34" fillId="86" borderId="623" applyNumberFormat="0" applyAlignment="0" applyProtection="0"/>
    <xf numFmtId="0" fontId="179" fillId="39" borderId="0" applyNumberFormat="0" applyFont="0" applyBorder="0" applyAlignment="0" applyProtection="0"/>
    <xf numFmtId="0" fontId="18" fillId="79" borderId="649" applyNumberFormat="0" applyAlignment="0" applyProtection="0"/>
    <xf numFmtId="0" fontId="29" fillId="0" borderId="639">
      <alignment horizontal="left" vertical="center"/>
    </xf>
    <xf numFmtId="193" fontId="179" fillId="0" borderId="0">
      <alignment horizontal="center"/>
    </xf>
    <xf numFmtId="0" fontId="7" fillId="35" borderId="610" applyNumberFormat="0" applyFont="0" applyAlignment="0" applyProtection="0"/>
    <xf numFmtId="0" fontId="7" fillId="35" borderId="610" applyNumberFormat="0" applyFont="0" applyAlignment="0" applyProtection="0"/>
    <xf numFmtId="0" fontId="7" fillId="35" borderId="610" applyNumberFormat="0" applyFont="0" applyAlignment="0" applyProtection="0"/>
    <xf numFmtId="0" fontId="25" fillId="81" borderId="610" applyNumberFormat="0" applyAlignment="0" applyProtection="0"/>
    <xf numFmtId="0" fontId="25" fillId="81" borderId="610" applyNumberFormat="0" applyAlignment="0" applyProtection="0"/>
    <xf numFmtId="0" fontId="25" fillId="81" borderId="610" applyNumberFormat="0" applyAlignment="0" applyProtection="0"/>
    <xf numFmtId="0" fontId="25" fillId="81" borderId="610" applyNumberFormat="0" applyAlignment="0" applyProtection="0"/>
    <xf numFmtId="0" fontId="34" fillId="86" borderId="629" applyNumberFormat="0" applyAlignment="0" applyProtection="0"/>
    <xf numFmtId="0" fontId="46" fillId="31" borderId="611" applyNumberFormat="0" applyAlignment="0" applyProtection="0"/>
    <xf numFmtId="0" fontId="46" fillId="31" borderId="611" applyNumberFormat="0" applyAlignment="0" applyProtection="0"/>
    <xf numFmtId="0" fontId="46" fillId="31" borderId="611" applyNumberFormat="0" applyAlignment="0" applyProtection="0"/>
    <xf numFmtId="0" fontId="46" fillId="79" borderId="611" applyNumberFormat="0" applyAlignment="0" applyProtection="0"/>
    <xf numFmtId="0" fontId="46" fillId="79" borderId="611" applyNumberFormat="0" applyAlignment="0" applyProtection="0"/>
    <xf numFmtId="0" fontId="46" fillId="79" borderId="611" applyNumberFormat="0" applyAlignment="0" applyProtection="0"/>
    <xf numFmtId="0" fontId="46" fillId="79" borderId="611" applyNumberFormat="0" applyAlignment="0" applyProtection="0"/>
    <xf numFmtId="0" fontId="24" fillId="0" borderId="543" applyNumberFormat="0" applyFill="0" applyAlignment="0" applyProtection="0"/>
    <xf numFmtId="0" fontId="24" fillId="0" borderId="543" applyNumberFormat="0" applyFill="0" applyAlignment="0" applyProtection="0"/>
    <xf numFmtId="41" fontId="3" fillId="0" borderId="0">
      <alignment horizontal="left"/>
    </xf>
    <xf numFmtId="0" fontId="25" fillId="81" borderId="637" applyNumberFormat="0" applyAlignment="0" applyProtection="0"/>
    <xf numFmtId="0" fontId="7" fillId="35" borderId="633" applyNumberFormat="0" applyFont="0" applyAlignment="0" applyProtection="0"/>
    <xf numFmtId="0" fontId="29" fillId="0" borderId="667" applyNumberFormat="0" applyAlignment="0" applyProtection="0"/>
    <xf numFmtId="0" fontId="25" fillId="81" borderId="624" applyNumberFormat="0" applyAlignment="0" applyProtection="0"/>
    <xf numFmtId="0" fontId="34" fillId="86" borderId="623" applyNumberFormat="0" applyAlignment="0" applyProtection="0"/>
    <xf numFmtId="0" fontId="202" fillId="31" borderId="656" applyNumberFormat="0" applyAlignment="0" applyProtection="0">
      <alignment vertical="center"/>
    </xf>
    <xf numFmtId="0" fontId="25" fillId="81" borderId="657" applyNumberFormat="0" applyAlignment="0" applyProtection="0"/>
    <xf numFmtId="0" fontId="34" fillId="66" borderId="649" applyNumberFormat="0" applyAlignment="0" applyProtection="0"/>
    <xf numFmtId="0" fontId="29" fillId="0" borderId="652">
      <alignment horizontal="left" vertical="center"/>
    </xf>
    <xf numFmtId="0" fontId="168" fillId="35" borderId="539" applyNumberFormat="0" applyFont="0" applyAlignment="0" applyProtection="0">
      <alignment vertical="center"/>
    </xf>
    <xf numFmtId="0" fontId="168" fillId="35" borderId="539" applyNumberFormat="0" applyFont="0" applyAlignment="0" applyProtection="0">
      <alignment vertical="center"/>
    </xf>
    <xf numFmtId="0" fontId="34" fillId="86" borderId="629" applyNumberFormat="0" applyAlignment="0" applyProtection="0"/>
    <xf numFmtId="0" fontId="34" fillId="86" borderId="623" applyNumberFormat="0" applyAlignment="0" applyProtection="0"/>
    <xf numFmtId="0" fontId="46" fillId="79" borderId="658" applyNumberFormat="0" applyAlignment="0" applyProtection="0"/>
    <xf numFmtId="0" fontId="25" fillId="81" borderId="637" applyNumberFormat="0" applyAlignment="0" applyProtection="0"/>
    <xf numFmtId="0" fontId="178" fillId="86" borderId="585" applyNumberFormat="0" applyAlignment="0" applyProtection="0">
      <alignment vertical="center"/>
    </xf>
    <xf numFmtId="0" fontId="178" fillId="86" borderId="585" applyNumberFormat="0" applyAlignment="0" applyProtection="0">
      <alignment vertical="center"/>
    </xf>
    <xf numFmtId="0" fontId="178" fillId="86" borderId="585" applyNumberFormat="0" applyAlignment="0" applyProtection="0">
      <alignment vertical="center"/>
    </xf>
    <xf numFmtId="0" fontId="178" fillId="86" borderId="585" applyNumberFormat="0" applyAlignment="0" applyProtection="0">
      <alignment vertical="center"/>
    </xf>
    <xf numFmtId="0" fontId="195" fillId="0" borderId="640" applyNumberFormat="0" applyFill="0" applyAlignment="0" applyProtection="0">
      <alignment vertical="center"/>
    </xf>
    <xf numFmtId="0" fontId="189" fillId="31" borderId="540" applyNumberFormat="0" applyAlignment="0" applyProtection="0">
      <alignment vertical="center"/>
    </xf>
    <xf numFmtId="0" fontId="189" fillId="31" borderId="540" applyNumberFormat="0" applyAlignment="0" applyProtection="0">
      <alignment vertical="center"/>
    </xf>
    <xf numFmtId="0" fontId="24" fillId="0" borderId="596" applyNumberFormat="0" applyFill="0" applyAlignment="0" applyProtection="0"/>
    <xf numFmtId="0" fontId="24" fillId="0" borderId="596" applyNumberFormat="0" applyFill="0" applyAlignment="0" applyProtection="0"/>
    <xf numFmtId="2" fontId="174" fillId="0" borderId="573" applyFont="0" applyBorder="0" applyAlignment="0" applyProtection="0">
      <alignment horizontal="right"/>
    </xf>
    <xf numFmtId="0" fontId="24" fillId="0" borderId="596" applyNumberFormat="0" applyFill="0" applyAlignment="0" applyProtection="0"/>
    <xf numFmtId="0" fontId="24" fillId="0" borderId="596" applyNumberFormat="0" applyFill="0" applyAlignment="0" applyProtection="0"/>
    <xf numFmtId="0" fontId="178" fillId="86" borderId="623" applyNumberFormat="0" applyAlignment="0" applyProtection="0">
      <alignment vertical="center"/>
    </xf>
    <xf numFmtId="0" fontId="202" fillId="31" borderId="636" applyNumberFormat="0" applyAlignment="0" applyProtection="0">
      <alignment vertical="center"/>
    </xf>
    <xf numFmtId="0" fontId="34" fillId="86" borderId="636" applyNumberFormat="0" applyAlignment="0" applyProtection="0"/>
    <xf numFmtId="0" fontId="34" fillId="66" borderId="631" applyNumberFormat="0" applyAlignment="0" applyProtection="0"/>
    <xf numFmtId="0" fontId="149" fillId="0" borderId="665" applyNumberFormat="0" applyFont="0">
      <alignment horizontal="center" vertical="center"/>
    </xf>
    <xf numFmtId="0" fontId="185" fillId="0" borderId="586" applyNumberFormat="0" applyFont="0">
      <alignment horizontal="center" vertical="center"/>
    </xf>
    <xf numFmtId="0" fontId="86" fillId="0" borderId="661" applyNumberFormat="0" applyFill="0" applyAlignment="0" applyProtection="0">
      <alignment vertical="center"/>
    </xf>
    <xf numFmtId="0" fontId="34" fillId="86" borderId="631" applyNumberFormat="0" applyAlignment="0" applyProtection="0"/>
    <xf numFmtId="0" fontId="18" fillId="31" borderId="629" applyNumberFormat="0" applyAlignment="0" applyProtection="0"/>
    <xf numFmtId="43" fontId="1" fillId="0" borderId="0" applyFont="0" applyFill="0" applyBorder="0" applyAlignment="0" applyProtection="0"/>
    <xf numFmtId="0" fontId="202" fillId="31" borderId="585" applyNumberFormat="0" applyAlignment="0" applyProtection="0">
      <alignment vertical="center"/>
    </xf>
    <xf numFmtId="0" fontId="202" fillId="31" borderId="585" applyNumberFormat="0" applyAlignment="0" applyProtection="0">
      <alignment vertical="center"/>
    </xf>
    <xf numFmtId="0" fontId="202" fillId="31" borderId="585" applyNumberFormat="0" applyAlignment="0" applyProtection="0">
      <alignment vertical="center"/>
    </xf>
    <xf numFmtId="0" fontId="202" fillId="31" borderId="585" applyNumberFormat="0" applyAlignment="0" applyProtection="0">
      <alignment vertical="center"/>
    </xf>
    <xf numFmtId="0" fontId="29" fillId="0" borderId="608" applyNumberFormat="0" applyAlignment="0" applyProtection="0"/>
    <xf numFmtId="0" fontId="195" fillId="0" borderId="543" applyNumberFormat="0" applyFill="0" applyAlignment="0" applyProtection="0">
      <alignment vertical="center"/>
    </xf>
    <xf numFmtId="0" fontId="195" fillId="0" borderId="543" applyNumberFormat="0" applyFill="0" applyAlignment="0" applyProtection="0">
      <alignment vertical="center"/>
    </xf>
    <xf numFmtId="0" fontId="34" fillId="86" borderId="649" applyNumberFormat="0" applyAlignment="0" applyProtection="0"/>
    <xf numFmtId="0" fontId="29" fillId="0" borderId="588">
      <alignment horizontal="left" vertical="center"/>
    </xf>
    <xf numFmtId="0" fontId="34" fillId="86" borderId="649" applyNumberFormat="0" applyAlignment="0" applyProtection="0"/>
    <xf numFmtId="0" fontId="7" fillId="35" borderId="594" applyNumberFormat="0" applyFont="0" applyAlignment="0" applyProtection="0"/>
    <xf numFmtId="0" fontId="46" fillId="31" borderId="595" applyNumberFormat="0" applyAlignment="0" applyProtection="0"/>
    <xf numFmtId="0" fontId="34" fillId="86" borderId="602" applyNumberFormat="0" applyAlignment="0" applyProtection="0"/>
    <xf numFmtId="9" fontId="3" fillId="0" borderId="0" applyFont="0" applyFill="0" applyBorder="0" applyAlignment="0" applyProtection="0"/>
    <xf numFmtId="0" fontId="34" fillId="86" borderId="597" applyNumberFormat="0" applyAlignment="0" applyProtection="0"/>
    <xf numFmtId="0" fontId="34" fillId="86" borderId="607" applyNumberFormat="0" applyAlignment="0" applyProtection="0"/>
    <xf numFmtId="0" fontId="34" fillId="86" borderId="592" applyNumberFormat="0" applyAlignment="0" applyProtection="0"/>
    <xf numFmtId="0" fontId="7" fillId="35" borderId="624" applyNumberFormat="0" applyFont="0" applyAlignment="0" applyProtection="0"/>
    <xf numFmtId="0" fontId="34" fillId="86" borderId="656" applyNumberFormat="0" applyAlignment="0" applyProtection="0"/>
    <xf numFmtId="0" fontId="34" fillId="86" borderId="656" applyNumberFormat="0" applyAlignment="0" applyProtection="0"/>
    <xf numFmtId="0" fontId="25" fillId="81" borderId="624" applyNumberFormat="0" applyAlignment="0" applyProtection="0"/>
    <xf numFmtId="0" fontId="7" fillId="35" borderId="624" applyNumberFormat="0" applyFont="0" applyAlignment="0" applyProtection="0"/>
    <xf numFmtId="0" fontId="46" fillId="79" borderId="625" applyNumberFormat="0" applyAlignment="0" applyProtection="0"/>
    <xf numFmtId="0" fontId="46" fillId="31" borderId="625" applyNumberFormat="0" applyAlignment="0" applyProtection="0"/>
    <xf numFmtId="0" fontId="46" fillId="79" borderId="625" applyNumberFormat="0" applyAlignment="0" applyProtection="0"/>
    <xf numFmtId="0" fontId="46" fillId="79" borderId="625" applyNumberFormat="0" applyAlignment="0" applyProtection="0"/>
    <xf numFmtId="0" fontId="46" fillId="79" borderId="658" applyNumberFormat="0" applyAlignment="0" applyProtection="0"/>
    <xf numFmtId="0" fontId="82" fillId="29" borderId="656" applyNumberFormat="0" applyAlignment="0" applyProtection="0">
      <alignment vertical="center"/>
    </xf>
    <xf numFmtId="0" fontId="29" fillId="0" borderId="652">
      <alignment horizontal="left" vertical="center"/>
    </xf>
    <xf numFmtId="0" fontId="24" fillId="0" borderId="591" applyNumberFormat="0" applyFill="0" applyAlignment="0" applyProtection="0"/>
    <xf numFmtId="0" fontId="24" fillId="0" borderId="591" applyNumberFormat="0" applyFill="0" applyAlignment="0" applyProtection="0"/>
    <xf numFmtId="0" fontId="24" fillId="0" borderId="591" applyNumberFormat="0" applyFill="0" applyAlignment="0" applyProtection="0"/>
    <xf numFmtId="0" fontId="24" fillId="0" borderId="591" applyNumberFormat="0" applyFill="0" applyAlignment="0" applyProtection="0"/>
    <xf numFmtId="0" fontId="24" fillId="0" borderId="653" applyNumberFormat="0" applyFill="0" applyAlignment="0" applyProtection="0"/>
    <xf numFmtId="0" fontId="24" fillId="0" borderId="606" applyNumberFormat="0" applyFill="0" applyAlignment="0" applyProtection="0"/>
    <xf numFmtId="0" fontId="24" fillId="0" borderId="606" applyNumberFormat="0" applyFill="0" applyAlignment="0" applyProtection="0"/>
    <xf numFmtId="0" fontId="24" fillId="0" borderId="606" applyNumberFormat="0" applyFill="0" applyAlignment="0" applyProtection="0"/>
    <xf numFmtId="0" fontId="24" fillId="0" borderId="606" applyNumberFormat="0" applyFill="0" applyAlignment="0" applyProtection="0"/>
    <xf numFmtId="0" fontId="168" fillId="35" borderId="650" applyNumberFormat="0" applyFont="0" applyAlignment="0" applyProtection="0">
      <alignment vertical="center"/>
    </xf>
    <xf numFmtId="43" fontId="3" fillId="0" borderId="0" applyFont="0" applyFill="0" applyBorder="0" applyAlignment="0" applyProtection="0"/>
    <xf numFmtId="0" fontId="46" fillId="31" borderId="638" applyNumberFormat="0" applyAlignment="0" applyProtection="0"/>
    <xf numFmtId="0" fontId="46" fillId="79" borderId="638" applyNumberFormat="0" applyAlignment="0" applyProtection="0"/>
    <xf numFmtId="0" fontId="168" fillId="35" borderId="589" applyNumberFormat="0" applyFont="0" applyAlignment="0" applyProtection="0">
      <alignment vertical="center"/>
    </xf>
    <xf numFmtId="0" fontId="168" fillId="35" borderId="589" applyNumberFormat="0" applyFont="0" applyAlignment="0" applyProtection="0">
      <alignment vertical="center"/>
    </xf>
    <xf numFmtId="0" fontId="168" fillId="35" borderId="589" applyNumberFormat="0" applyFont="0" applyAlignment="0" applyProtection="0">
      <alignment vertical="center"/>
    </xf>
    <xf numFmtId="0" fontId="168" fillId="35" borderId="589" applyNumberFormat="0" applyFont="0" applyAlignment="0" applyProtection="0">
      <alignment vertical="center"/>
    </xf>
    <xf numFmtId="0" fontId="46" fillId="79" borderId="638" applyNumberFormat="0" applyAlignment="0" applyProtection="0"/>
    <xf numFmtId="0" fontId="7" fillId="35" borderId="650" applyNumberFormat="0" applyFont="0" applyAlignment="0" applyProtection="0"/>
    <xf numFmtId="0" fontId="189" fillId="31" borderId="658" applyNumberFormat="0" applyAlignment="0" applyProtection="0">
      <alignment vertical="center"/>
    </xf>
    <xf numFmtId="0" fontId="168" fillId="35" borderId="604" applyNumberFormat="0" applyFont="0" applyAlignment="0" applyProtection="0">
      <alignment vertical="center"/>
    </xf>
    <xf numFmtId="0" fontId="178" fillId="86" borderId="587" applyNumberFormat="0" applyAlignment="0" applyProtection="0">
      <alignment vertical="center"/>
    </xf>
    <xf numFmtId="0" fontId="178" fillId="86" borderId="587" applyNumberFormat="0" applyAlignment="0" applyProtection="0">
      <alignment vertical="center"/>
    </xf>
    <xf numFmtId="0" fontId="178" fillId="86" borderId="587" applyNumberFormat="0" applyAlignment="0" applyProtection="0">
      <alignment vertical="center"/>
    </xf>
    <xf numFmtId="0" fontId="178" fillId="86" borderId="587" applyNumberFormat="0" applyAlignment="0" applyProtection="0">
      <alignment vertical="center"/>
    </xf>
    <xf numFmtId="0" fontId="189" fillId="31" borderId="590" applyNumberFormat="0" applyAlignment="0" applyProtection="0">
      <alignment vertical="center"/>
    </xf>
    <xf numFmtId="0" fontId="189" fillId="31" borderId="590" applyNumberFormat="0" applyAlignment="0" applyProtection="0">
      <alignment vertical="center"/>
    </xf>
    <xf numFmtId="0" fontId="189" fillId="31" borderId="590" applyNumberFormat="0" applyAlignment="0" applyProtection="0">
      <alignment vertical="center"/>
    </xf>
    <xf numFmtId="0" fontId="189" fillId="31" borderId="590" applyNumberFormat="0" applyAlignment="0" applyProtection="0">
      <alignment vertical="center"/>
    </xf>
    <xf numFmtId="0" fontId="168" fillId="35" borderId="604" applyNumberFormat="0" applyFont="0" applyAlignment="0" applyProtection="0">
      <alignment vertical="center"/>
    </xf>
    <xf numFmtId="0" fontId="168" fillId="35" borderId="604" applyNumberFormat="0" applyFont="0" applyAlignment="0" applyProtection="0">
      <alignment vertical="center"/>
    </xf>
    <xf numFmtId="0" fontId="24" fillId="0" borderId="601" applyNumberFormat="0" applyFill="0" applyAlignment="0" applyProtection="0"/>
    <xf numFmtId="0" fontId="24" fillId="0" borderId="601" applyNumberFormat="0" applyFill="0" applyAlignment="0" applyProtection="0"/>
    <xf numFmtId="0" fontId="24" fillId="0" borderId="601" applyNumberFormat="0" applyFill="0" applyAlignment="0" applyProtection="0"/>
    <xf numFmtId="0" fontId="24" fillId="0" borderId="601" applyNumberFormat="0" applyFill="0" applyAlignment="0" applyProtection="0"/>
    <xf numFmtId="0" fontId="168" fillId="35" borderId="604" applyNumberFormat="0" applyFont="0" applyAlignment="0" applyProtection="0">
      <alignment vertical="center"/>
    </xf>
    <xf numFmtId="0" fontId="34" fillId="86" borderId="649" applyNumberFormat="0" applyAlignment="0" applyProtection="0"/>
    <xf numFmtId="0" fontId="178" fillId="86" borderId="602" applyNumberFormat="0" applyAlignment="0" applyProtection="0">
      <alignment vertical="center"/>
    </xf>
    <xf numFmtId="0" fontId="178" fillId="86" borderId="602" applyNumberFormat="0" applyAlignment="0" applyProtection="0">
      <alignment vertical="center"/>
    </xf>
    <xf numFmtId="0" fontId="178" fillId="86" borderId="602" applyNumberFormat="0" applyAlignment="0" applyProtection="0">
      <alignment vertical="center"/>
    </xf>
    <xf numFmtId="0" fontId="178" fillId="86" borderId="602" applyNumberFormat="0" applyAlignment="0" applyProtection="0">
      <alignment vertical="center"/>
    </xf>
    <xf numFmtId="0" fontId="189" fillId="31" borderId="605" applyNumberFormat="0" applyAlignment="0" applyProtection="0">
      <alignment vertical="center"/>
    </xf>
    <xf numFmtId="0" fontId="189" fillId="31" borderId="605" applyNumberFormat="0" applyAlignment="0" applyProtection="0">
      <alignment vertical="center"/>
    </xf>
    <xf numFmtId="0" fontId="189" fillId="31" borderId="605" applyNumberFormat="0" applyAlignment="0" applyProtection="0">
      <alignment vertical="center"/>
    </xf>
    <xf numFmtId="0" fontId="189" fillId="31" borderId="605" applyNumberFormat="0" applyAlignment="0" applyProtection="0">
      <alignment vertical="center"/>
    </xf>
    <xf numFmtId="0" fontId="18" fillId="31" borderId="656" applyNumberFormat="0" applyAlignment="0" applyProtection="0"/>
    <xf numFmtId="0" fontId="34" fillId="8" borderId="656" applyNumberFormat="0" applyAlignment="0" applyProtection="0"/>
    <xf numFmtId="0" fontId="34" fillId="8" borderId="668" applyNumberFormat="0" applyAlignment="0" applyProtection="0"/>
    <xf numFmtId="0" fontId="202" fillId="31" borderId="587" applyNumberFormat="0" applyAlignment="0" applyProtection="0">
      <alignment vertical="center"/>
    </xf>
    <xf numFmtId="0" fontId="202" fillId="31" borderId="587" applyNumberFormat="0" applyAlignment="0" applyProtection="0">
      <alignment vertical="center"/>
    </xf>
    <xf numFmtId="0" fontId="202" fillId="31" borderId="587" applyNumberFormat="0" applyAlignment="0" applyProtection="0">
      <alignment vertical="center"/>
    </xf>
    <xf numFmtId="0" fontId="202" fillId="31" borderId="587" applyNumberFormat="0" applyAlignment="0" applyProtection="0">
      <alignment vertical="center"/>
    </xf>
    <xf numFmtId="43" fontId="1" fillId="0" borderId="0" applyFont="0" applyFill="0" applyBorder="0" applyAlignment="0" applyProtection="0"/>
    <xf numFmtId="0" fontId="195" fillId="0" borderId="591" applyNumberFormat="0" applyFill="0" applyAlignment="0" applyProtection="0">
      <alignment vertical="center"/>
    </xf>
    <xf numFmtId="0" fontId="195" fillId="0" borderId="591" applyNumberFormat="0" applyFill="0" applyAlignment="0" applyProtection="0">
      <alignment vertical="center"/>
    </xf>
    <xf numFmtId="0" fontId="195" fillId="0" borderId="591" applyNumberFormat="0" applyFill="0" applyAlignment="0" applyProtection="0">
      <alignment vertical="center"/>
    </xf>
    <xf numFmtId="0" fontId="195" fillId="0" borderId="591" applyNumberFormat="0" applyFill="0" applyAlignment="0" applyProtection="0">
      <alignment vertical="center"/>
    </xf>
    <xf numFmtId="0" fontId="34" fillId="86" borderId="631" applyNumberFormat="0" applyAlignment="0" applyProtection="0"/>
    <xf numFmtId="0" fontId="7" fillId="35" borderId="616" applyNumberFormat="0" applyFont="0" applyAlignment="0" applyProtection="0"/>
    <xf numFmtId="0" fontId="25" fillId="81" borderId="616" applyNumberFormat="0" applyAlignment="0" applyProtection="0"/>
    <xf numFmtId="0" fontId="24" fillId="0" borderId="653" applyNumberFormat="0" applyFill="0" applyAlignment="0" applyProtection="0"/>
    <xf numFmtId="0" fontId="29" fillId="0" borderId="593">
      <alignment horizontal="left" vertical="center"/>
    </xf>
    <xf numFmtId="0" fontId="34" fillId="86" borderId="597" applyNumberFormat="0" applyAlignment="0" applyProtection="0"/>
    <xf numFmtId="0" fontId="46" fillId="79" borderId="605" applyNumberFormat="0" applyAlignment="0" applyProtection="0"/>
    <xf numFmtId="0" fontId="34" fillId="86" borderId="656" applyNumberFormat="0" applyAlignment="0" applyProtection="0"/>
    <xf numFmtId="0" fontId="29" fillId="0" borderId="639">
      <alignment horizontal="left" vertical="center"/>
    </xf>
    <xf numFmtId="0" fontId="46" fillId="29" borderId="670" applyNumberFormat="0" applyAlignment="0" applyProtection="0"/>
    <xf numFmtId="0" fontId="168" fillId="35" borderId="594" applyNumberFormat="0" applyFont="0" applyAlignment="0" applyProtection="0">
      <alignment vertical="center"/>
    </xf>
    <xf numFmtId="0" fontId="168" fillId="35" borderId="594" applyNumberFormat="0" applyFont="0" applyAlignment="0" applyProtection="0">
      <alignment vertical="center"/>
    </xf>
    <xf numFmtId="0" fontId="168" fillId="35" borderId="594" applyNumberFormat="0" applyFont="0" applyAlignment="0" applyProtection="0">
      <alignment vertical="center"/>
    </xf>
    <xf numFmtId="0" fontId="168" fillId="35" borderId="594" applyNumberFormat="0" applyFont="0" applyAlignment="0" applyProtection="0">
      <alignment vertical="center"/>
    </xf>
    <xf numFmtId="0" fontId="2" fillId="37" borderId="657" applyNumberFormat="0" applyFont="0" applyAlignment="0" applyProtection="0">
      <alignment vertical="center"/>
    </xf>
    <xf numFmtId="0" fontId="34" fillId="86" borderId="629" applyNumberFormat="0" applyAlignment="0" applyProtection="0"/>
    <xf numFmtId="0" fontId="73" fillId="8" borderId="668" applyNumberFormat="0" applyAlignment="0" applyProtection="0">
      <alignment vertical="center"/>
    </xf>
    <xf numFmtId="0" fontId="34" fillId="86" borderId="623" applyNumberFormat="0" applyAlignment="0" applyProtection="0"/>
    <xf numFmtId="0" fontId="3" fillId="0" borderId="0"/>
    <xf numFmtId="0" fontId="178" fillId="86" borderId="592" applyNumberFormat="0" applyAlignment="0" applyProtection="0">
      <alignment vertical="center"/>
    </xf>
    <xf numFmtId="0" fontId="178" fillId="86" borderId="592" applyNumberFormat="0" applyAlignment="0" applyProtection="0">
      <alignment vertical="center"/>
    </xf>
    <xf numFmtId="0" fontId="178" fillId="86" borderId="592" applyNumberFormat="0" applyAlignment="0" applyProtection="0">
      <alignment vertical="center"/>
    </xf>
    <xf numFmtId="0" fontId="178" fillId="86" borderId="592" applyNumberFormat="0" applyAlignment="0" applyProtection="0">
      <alignment vertical="center"/>
    </xf>
    <xf numFmtId="0" fontId="189" fillId="31" borderId="595" applyNumberFormat="0" applyAlignment="0" applyProtection="0">
      <alignment vertical="center"/>
    </xf>
    <xf numFmtId="0" fontId="189" fillId="31" borderId="595" applyNumberFormat="0" applyAlignment="0" applyProtection="0">
      <alignment vertical="center"/>
    </xf>
    <xf numFmtId="0" fontId="189" fillId="31" borderId="595" applyNumberFormat="0" applyAlignment="0" applyProtection="0">
      <alignment vertical="center"/>
    </xf>
    <xf numFmtId="0" fontId="189" fillId="31" borderId="595" applyNumberFormat="0" applyAlignment="0" applyProtection="0">
      <alignment vertical="center"/>
    </xf>
    <xf numFmtId="0" fontId="34" fillId="86" borderId="631" applyNumberFormat="0" applyAlignment="0" applyProtection="0"/>
    <xf numFmtId="0" fontId="189" fillId="31" borderId="651" applyNumberFormat="0" applyAlignment="0" applyProtection="0">
      <alignment vertical="center"/>
    </xf>
    <xf numFmtId="0" fontId="18" fillId="31" borderId="629" applyNumberFormat="0" applyAlignment="0" applyProtection="0"/>
    <xf numFmtId="0" fontId="29" fillId="0" borderId="626">
      <alignment horizontal="left" vertical="center"/>
    </xf>
    <xf numFmtId="0" fontId="34" fillId="86" borderId="636" applyNumberFormat="0" applyAlignment="0" applyProtection="0"/>
    <xf numFmtId="0" fontId="7" fillId="37" borderId="669" applyNumberFormat="0" applyFont="0" applyAlignment="0" applyProtection="0"/>
    <xf numFmtId="0" fontId="178" fillId="86" borderId="636" applyNumberFormat="0" applyAlignment="0" applyProtection="0">
      <alignment vertical="center"/>
    </xf>
    <xf numFmtId="0" fontId="195" fillId="0" borderId="653" applyNumberFormat="0" applyFill="0" applyAlignment="0" applyProtection="0">
      <alignment vertical="center"/>
    </xf>
    <xf numFmtId="0" fontId="29" fillId="0" borderId="648" applyNumberFormat="0" applyAlignment="0" applyProtection="0"/>
    <xf numFmtId="0" fontId="202" fillId="31" borderId="592" applyNumberFormat="0" applyAlignment="0" applyProtection="0">
      <alignment vertical="center"/>
    </xf>
    <xf numFmtId="0" fontId="202" fillId="31" borderId="592" applyNumberFormat="0" applyAlignment="0" applyProtection="0">
      <alignment vertical="center"/>
    </xf>
    <xf numFmtId="0" fontId="202" fillId="31" borderId="592" applyNumberFormat="0" applyAlignment="0" applyProtection="0">
      <alignment vertical="center"/>
    </xf>
    <xf numFmtId="0" fontId="202" fillId="31" borderId="592" applyNumberFormat="0" applyAlignment="0" applyProtection="0">
      <alignment vertical="center"/>
    </xf>
    <xf numFmtId="43" fontId="1" fillId="0" borderId="0" applyFont="0" applyFill="0" applyBorder="0" applyAlignment="0" applyProtection="0"/>
    <xf numFmtId="0" fontId="34" fillId="86" borderId="617" applyNumberFormat="0" applyAlignment="0" applyProtection="0"/>
    <xf numFmtId="0" fontId="195" fillId="0" borderId="596" applyNumberFormat="0" applyFill="0" applyAlignment="0" applyProtection="0">
      <alignment vertical="center"/>
    </xf>
    <xf numFmtId="0" fontId="195" fillId="0" borderId="596" applyNumberFormat="0" applyFill="0" applyAlignment="0" applyProtection="0">
      <alignment vertical="center"/>
    </xf>
    <xf numFmtId="0" fontId="195" fillId="0" borderId="596" applyNumberFormat="0" applyFill="0" applyAlignment="0" applyProtection="0">
      <alignment vertical="center"/>
    </xf>
    <xf numFmtId="0" fontId="195" fillId="0" borderId="596" applyNumberFormat="0" applyFill="0" applyAlignment="0" applyProtection="0">
      <alignment vertical="center"/>
    </xf>
    <xf numFmtId="0" fontId="34" fillId="86" borderId="607" applyNumberFormat="0" applyAlignment="0" applyProtection="0"/>
    <xf numFmtId="0" fontId="46" fillId="31" borderId="634" applyNumberFormat="0" applyAlignment="0" applyProtection="0"/>
    <xf numFmtId="0" fontId="18" fillId="31" borderId="602" applyNumberFormat="0" applyAlignment="0" applyProtection="0"/>
    <xf numFmtId="0" fontId="25" fillId="81" borderId="620" applyNumberFormat="0" applyAlignment="0" applyProtection="0"/>
    <xf numFmtId="0" fontId="34" fillId="66" borderId="607" applyNumberFormat="0" applyAlignment="0" applyProtection="0"/>
    <xf numFmtId="0" fontId="34" fillId="66" borderId="602" applyNumberFormat="0" applyAlignment="0" applyProtection="0"/>
    <xf numFmtId="0" fontId="34" fillId="86" borderId="636" applyNumberFormat="0" applyAlignment="0" applyProtection="0"/>
    <xf numFmtId="0" fontId="86" fillId="0" borderId="671" applyNumberFormat="0" applyFill="0" applyAlignment="0" applyProtection="0">
      <alignment vertical="center"/>
    </xf>
    <xf numFmtId="0" fontId="82" fillId="29" borderId="656" applyNumberFormat="0" applyAlignment="0" applyProtection="0">
      <alignment vertical="center"/>
    </xf>
    <xf numFmtId="0" fontId="18" fillId="79" borderId="636" applyNumberFormat="0" applyAlignment="0" applyProtection="0"/>
    <xf numFmtId="0" fontId="168" fillId="35" borderId="599" applyNumberFormat="0" applyFont="0" applyAlignment="0" applyProtection="0">
      <alignment vertical="center"/>
    </xf>
    <xf numFmtId="0" fontId="168" fillId="35" borderId="599" applyNumberFormat="0" applyFont="0" applyAlignment="0" applyProtection="0">
      <alignment vertical="center"/>
    </xf>
    <xf numFmtId="0" fontId="168" fillId="35" borderId="599" applyNumberFormat="0" applyFont="0" applyAlignment="0" applyProtection="0">
      <alignment vertical="center"/>
    </xf>
    <xf numFmtId="0" fontId="168" fillId="35" borderId="599" applyNumberFormat="0" applyFont="0" applyAlignment="0" applyProtection="0">
      <alignment vertical="center"/>
    </xf>
    <xf numFmtId="0" fontId="74" fillId="29" borderId="658" applyNumberFormat="0" applyAlignment="0" applyProtection="0">
      <alignment vertical="center"/>
    </xf>
    <xf numFmtId="0" fontId="178" fillId="86" borderId="597" applyNumberFormat="0" applyAlignment="0" applyProtection="0">
      <alignment vertical="center"/>
    </xf>
    <xf numFmtId="0" fontId="178" fillId="86" borderId="597" applyNumberFormat="0" applyAlignment="0" applyProtection="0">
      <alignment vertical="center"/>
    </xf>
    <xf numFmtId="0" fontId="178" fillId="86" borderId="597" applyNumberFormat="0" applyAlignment="0" applyProtection="0">
      <alignment vertical="center"/>
    </xf>
    <xf numFmtId="0" fontId="178" fillId="86" borderId="597" applyNumberFormat="0" applyAlignment="0" applyProtection="0">
      <alignment vertical="center"/>
    </xf>
    <xf numFmtId="0" fontId="189" fillId="31" borderId="600" applyNumberFormat="0" applyAlignment="0" applyProtection="0">
      <alignment vertical="center"/>
    </xf>
    <xf numFmtId="0" fontId="189" fillId="31" borderId="600" applyNumberFormat="0" applyAlignment="0" applyProtection="0">
      <alignment vertical="center"/>
    </xf>
    <xf numFmtId="0" fontId="189" fillId="31" borderId="600" applyNumberFormat="0" applyAlignment="0" applyProtection="0">
      <alignment vertical="center"/>
    </xf>
    <xf numFmtId="0" fontId="189" fillId="31" borderId="600" applyNumberFormat="0" applyAlignment="0" applyProtection="0">
      <alignment vertical="center"/>
    </xf>
    <xf numFmtId="43" fontId="1" fillId="0" borderId="0" applyFont="0" applyFill="0" applyBorder="0" applyAlignment="0" applyProtection="0"/>
    <xf numFmtId="0" fontId="202" fillId="31" borderId="602" applyNumberFormat="0" applyAlignment="0" applyProtection="0">
      <alignment vertical="center"/>
    </xf>
    <xf numFmtId="0" fontId="202" fillId="31" borderId="602" applyNumberFormat="0" applyAlignment="0" applyProtection="0">
      <alignment vertical="center"/>
    </xf>
    <xf numFmtId="0" fontId="202" fillId="31" borderId="602" applyNumberFormat="0" applyAlignment="0" applyProtection="0">
      <alignment vertical="center"/>
    </xf>
    <xf numFmtId="0" fontId="202" fillId="31" borderId="602" applyNumberFormat="0" applyAlignment="0" applyProtection="0">
      <alignment vertical="center"/>
    </xf>
    <xf numFmtId="0" fontId="195" fillId="0" borderId="606" applyNumberFormat="0" applyFill="0" applyAlignment="0" applyProtection="0">
      <alignment vertical="center"/>
    </xf>
    <xf numFmtId="0" fontId="195" fillId="0" borderId="606" applyNumberFormat="0" applyFill="0" applyAlignment="0" applyProtection="0">
      <alignment vertical="center"/>
    </xf>
    <xf numFmtId="0" fontId="195" fillId="0" borderId="606" applyNumberFormat="0" applyFill="0" applyAlignment="0" applyProtection="0">
      <alignment vertical="center"/>
    </xf>
    <xf numFmtId="0" fontId="195" fillId="0" borderId="606" applyNumberFormat="0" applyFill="0" applyAlignment="0" applyProtection="0">
      <alignment vertical="center"/>
    </xf>
    <xf numFmtId="0" fontId="34" fillId="86" borderId="631" applyNumberFormat="0" applyAlignment="0" applyProtection="0"/>
    <xf numFmtId="0" fontId="29" fillId="0" borderId="608" applyNumberFormat="0" applyAlignment="0" applyProtection="0"/>
    <xf numFmtId="0" fontId="18" fillId="79" borderId="617" applyNumberFormat="0" applyAlignment="0" applyProtection="0"/>
    <xf numFmtId="0" fontId="18" fillId="31" borderId="617" applyNumberFormat="0" applyAlignment="0" applyProtection="0"/>
    <xf numFmtId="0" fontId="34" fillId="86" borderId="656" applyNumberFormat="0" applyAlignment="0" applyProtection="0"/>
    <xf numFmtId="0" fontId="29" fillId="0" borderId="609">
      <alignment horizontal="left" vertical="center"/>
    </xf>
    <xf numFmtId="0" fontId="34" fillId="86" borderId="649" applyNumberFormat="0" applyAlignment="0" applyProtection="0"/>
    <xf numFmtId="0" fontId="202" fillId="31" borderId="597" applyNumberFormat="0" applyAlignment="0" applyProtection="0">
      <alignment vertical="center"/>
    </xf>
    <xf numFmtId="0" fontId="202" fillId="31" borderId="597" applyNumberFormat="0" applyAlignment="0" applyProtection="0">
      <alignment vertical="center"/>
    </xf>
    <xf numFmtId="0" fontId="202" fillId="31" borderId="597" applyNumberFormat="0" applyAlignment="0" applyProtection="0">
      <alignment vertical="center"/>
    </xf>
    <xf numFmtId="0" fontId="202" fillId="31" borderId="597" applyNumberFormat="0" applyAlignment="0" applyProtection="0">
      <alignment vertical="center"/>
    </xf>
    <xf numFmtId="43" fontId="1" fillId="0" borderId="0" applyFont="0" applyFill="0" applyBorder="0" applyAlignment="0" applyProtection="0"/>
    <xf numFmtId="0" fontId="34" fillId="86" borderId="607" applyNumberFormat="0" applyAlignment="0" applyProtection="0"/>
    <xf numFmtId="0" fontId="195" fillId="0" borderId="601" applyNumberFormat="0" applyFill="0" applyAlignment="0" applyProtection="0">
      <alignment vertical="center"/>
    </xf>
    <xf numFmtId="0" fontId="195" fillId="0" borderId="601" applyNumberFormat="0" applyFill="0" applyAlignment="0" applyProtection="0">
      <alignment vertical="center"/>
    </xf>
    <xf numFmtId="0" fontId="195" fillId="0" borderId="601" applyNumberFormat="0" applyFill="0" applyAlignment="0" applyProtection="0">
      <alignment vertical="center"/>
    </xf>
    <xf numFmtId="0" fontId="195" fillId="0" borderId="601" applyNumberFormat="0" applyFill="0" applyAlignment="0" applyProtection="0">
      <alignment vertical="center"/>
    </xf>
    <xf numFmtId="0" fontId="34" fillId="86" borderId="617" applyNumberFormat="0" applyAlignment="0" applyProtection="0"/>
    <xf numFmtId="0" fontId="18" fillId="79" borderId="649" applyNumberFormat="0" applyAlignment="0" applyProtection="0"/>
    <xf numFmtId="0" fontId="34" fillId="66" borderId="617" applyNumberFormat="0" applyAlignment="0" applyProtection="0"/>
    <xf numFmtId="0" fontId="34" fillId="86" borderId="607" applyNumberFormat="0" applyAlignment="0" applyProtection="0"/>
    <xf numFmtId="0" fontId="25" fillId="81" borderId="616" applyNumberFormat="0" applyAlignment="0" applyProtection="0"/>
    <xf numFmtId="0" fontId="34" fillId="8" borderId="668" applyNumberFormat="0" applyAlignment="0" applyProtection="0"/>
    <xf numFmtId="0" fontId="29" fillId="0" borderId="660">
      <alignment horizontal="left" vertical="center"/>
    </xf>
    <xf numFmtId="43" fontId="43" fillId="0" borderId="0" applyFont="0" applyFill="0" applyBorder="0" applyAlignment="0" applyProtection="0"/>
    <xf numFmtId="0" fontId="29" fillId="0" borderId="652">
      <alignment horizontal="left" vertical="center"/>
    </xf>
    <xf numFmtId="0" fontId="202" fillId="31" borderId="649" applyNumberFormat="0" applyAlignment="0" applyProtection="0">
      <alignment vertical="center"/>
    </xf>
    <xf numFmtId="0" fontId="3" fillId="0" borderId="0"/>
    <xf numFmtId="0" fontId="34" fillId="86" borderId="631" applyNumberFormat="0" applyAlignment="0" applyProtection="0"/>
    <xf numFmtId="0" fontId="34" fillId="86" borderId="631" applyNumberFormat="0" applyAlignment="0" applyProtection="0"/>
    <xf numFmtId="0" fontId="24" fillId="0" borderId="622" applyNumberFormat="0" applyFill="0" applyAlignment="0" applyProtection="0"/>
    <xf numFmtId="0" fontId="24" fillId="0" borderId="622" applyNumberFormat="0" applyFill="0" applyAlignment="0" applyProtection="0"/>
    <xf numFmtId="0" fontId="24" fillId="0" borderId="622" applyNumberFormat="0" applyFill="0" applyAlignment="0" applyProtection="0"/>
    <xf numFmtId="0" fontId="24" fillId="0" borderId="622" applyNumberFormat="0" applyFill="0" applyAlignment="0" applyProtection="0"/>
    <xf numFmtId="0" fontId="34" fillId="86" borderId="631" applyNumberFormat="0" applyAlignment="0" applyProtection="0"/>
    <xf numFmtId="43" fontId="1" fillId="0" borderId="0" applyFont="0" applyFill="0" applyBorder="0" applyAlignment="0" applyProtection="0"/>
    <xf numFmtId="0" fontId="29" fillId="0" borderId="632">
      <alignment horizontal="left" vertical="center"/>
    </xf>
    <xf numFmtId="0" fontId="18" fillId="79" borderId="629" applyNumberFormat="0" applyAlignment="0" applyProtection="0"/>
    <xf numFmtId="0" fontId="29" fillId="0" borderId="632">
      <alignment horizontal="left" vertical="center"/>
    </xf>
    <xf numFmtId="0" fontId="86" fillId="0" borderId="661" applyNumberFormat="0" applyFill="0" applyAlignment="0" applyProtection="0">
      <alignment vertical="center"/>
    </xf>
    <xf numFmtId="0" fontId="34" fillId="8" borderId="656" applyNumberFormat="0" applyAlignment="0" applyProtection="0"/>
    <xf numFmtId="0" fontId="168" fillId="35" borderId="637" applyNumberFormat="0" applyFont="0" applyAlignment="0" applyProtection="0">
      <alignment vertical="center"/>
    </xf>
    <xf numFmtId="0" fontId="46" fillId="79" borderId="658" applyNumberFormat="0" applyAlignment="0" applyProtection="0"/>
    <xf numFmtId="0" fontId="24" fillId="0" borderId="612" applyNumberFormat="0" applyFill="0" applyAlignment="0" applyProtection="0"/>
    <xf numFmtId="0" fontId="24" fillId="0" borderId="612" applyNumberFormat="0" applyFill="0" applyAlignment="0" applyProtection="0"/>
    <xf numFmtId="0" fontId="24" fillId="0" borderId="612" applyNumberFormat="0" applyFill="0" applyAlignment="0" applyProtection="0"/>
    <xf numFmtId="0" fontId="24" fillId="0" borderId="612" applyNumberFormat="0" applyFill="0" applyAlignment="0" applyProtection="0"/>
    <xf numFmtId="0" fontId="34" fillId="8" borderId="668" applyNumberFormat="0" applyAlignment="0" applyProtection="0"/>
    <xf numFmtId="0" fontId="34" fillId="86" borderId="636" applyNumberFormat="0" applyAlignment="0" applyProtection="0"/>
    <xf numFmtId="0" fontId="18" fillId="79" borderId="631" applyNumberFormat="0" applyAlignment="0" applyProtection="0"/>
    <xf numFmtId="0" fontId="18" fillId="31" borderId="623" applyNumberFormat="0" applyAlignment="0" applyProtection="0"/>
    <xf numFmtId="0" fontId="168" fillId="35" borderId="620" applyNumberFormat="0" applyFont="0" applyAlignment="0" applyProtection="0">
      <alignment vertical="center"/>
    </xf>
    <xf numFmtId="0" fontId="168" fillId="35" borderId="620" applyNumberFormat="0" applyFont="0" applyAlignment="0" applyProtection="0">
      <alignment vertical="center"/>
    </xf>
    <xf numFmtId="0" fontId="168" fillId="35" borderId="620" applyNumberFormat="0" applyFont="0" applyAlignment="0" applyProtection="0">
      <alignment vertical="center"/>
    </xf>
    <xf numFmtId="0" fontId="168" fillId="35" borderId="620" applyNumberFormat="0" applyFont="0" applyAlignment="0" applyProtection="0">
      <alignment vertical="center"/>
    </xf>
    <xf numFmtId="0" fontId="18" fillId="79" borderId="629" applyNumberFormat="0" applyAlignment="0" applyProtection="0"/>
    <xf numFmtId="0" fontId="46" fillId="79" borderId="625" applyNumberFormat="0" applyAlignment="0" applyProtection="0"/>
    <xf numFmtId="43" fontId="1" fillId="0" borderId="0" applyFont="0" applyFill="0" applyBorder="0" applyAlignment="0" applyProtection="0"/>
    <xf numFmtId="0" fontId="34" fillId="86" borderId="602" applyNumberFormat="0" applyAlignment="0" applyProtection="0"/>
    <xf numFmtId="0" fontId="46" fillId="31" borderId="621" applyNumberFormat="0" applyAlignment="0" applyProtection="0"/>
    <xf numFmtId="0" fontId="29" fillId="0" borderId="614" applyNumberFormat="0" applyAlignment="0" applyProtection="0"/>
    <xf numFmtId="0" fontId="34" fillId="86" borderId="602" applyNumberFormat="0" applyAlignment="0" applyProtection="0"/>
    <xf numFmtId="0" fontId="34" fillId="86" borderId="629" applyNumberFormat="0" applyAlignment="0" applyProtection="0"/>
    <xf numFmtId="0" fontId="34" fillId="86" borderId="617" applyNumberFormat="0" applyAlignment="0" applyProtection="0"/>
    <xf numFmtId="0" fontId="34" fillId="86" borderId="629" applyNumberFormat="0" applyAlignment="0" applyProtection="0"/>
    <xf numFmtId="0" fontId="3" fillId="0" borderId="0"/>
    <xf numFmtId="0" fontId="29" fillId="0" borderId="628" applyNumberFormat="0" applyAlignment="0" applyProtection="0"/>
    <xf numFmtId="0" fontId="34" fillId="66" borderId="623" applyNumberFormat="0" applyAlignment="0" applyProtection="0"/>
    <xf numFmtId="43" fontId="1" fillId="0" borderId="0" applyFont="0" applyFill="0" applyBorder="0" applyAlignment="0" applyProtection="0"/>
    <xf numFmtId="0" fontId="178" fillId="86" borderId="617" applyNumberFormat="0" applyAlignment="0" applyProtection="0">
      <alignment vertical="center"/>
    </xf>
    <xf numFmtId="0" fontId="178" fillId="86" borderId="617" applyNumberFormat="0" applyAlignment="0" applyProtection="0">
      <alignment vertical="center"/>
    </xf>
    <xf numFmtId="0" fontId="178" fillId="86" borderId="617" applyNumberFormat="0" applyAlignment="0" applyProtection="0">
      <alignment vertical="center"/>
    </xf>
    <xf numFmtId="0" fontId="178" fillId="86" borderId="617" applyNumberFormat="0" applyAlignment="0" applyProtection="0">
      <alignment vertical="center"/>
    </xf>
    <xf numFmtId="0" fontId="168" fillId="35" borderId="610" applyNumberFormat="0" applyFont="0" applyAlignment="0" applyProtection="0">
      <alignment vertical="center"/>
    </xf>
    <xf numFmtId="0" fontId="168" fillId="35" borderId="610" applyNumberFormat="0" applyFont="0" applyAlignment="0" applyProtection="0">
      <alignment vertical="center"/>
    </xf>
    <xf numFmtId="0" fontId="168" fillId="35" borderId="610" applyNumberFormat="0" applyFont="0" applyAlignment="0" applyProtection="0">
      <alignment vertical="center"/>
    </xf>
    <xf numFmtId="0" fontId="168" fillId="35" borderId="610" applyNumberFormat="0" applyFont="0" applyAlignment="0" applyProtection="0">
      <alignment vertical="center"/>
    </xf>
    <xf numFmtId="0" fontId="189" fillId="31" borderId="621" applyNumberFormat="0" applyAlignment="0" applyProtection="0">
      <alignment vertical="center"/>
    </xf>
    <xf numFmtId="0" fontId="189" fillId="31" borderId="621" applyNumberFormat="0" applyAlignment="0" applyProtection="0">
      <alignment vertical="center"/>
    </xf>
    <xf numFmtId="0" fontId="189" fillId="31" borderId="621" applyNumberFormat="0" applyAlignment="0" applyProtection="0">
      <alignment vertical="center"/>
    </xf>
    <xf numFmtId="0" fontId="189" fillId="31" borderId="621" applyNumberFormat="0" applyAlignment="0" applyProtection="0">
      <alignment vertical="center"/>
    </xf>
    <xf numFmtId="0" fontId="34" fillId="86" borderId="656" applyNumberFormat="0" applyAlignment="0" applyProtection="0"/>
    <xf numFmtId="0" fontId="178" fillId="86" borderId="607" applyNumberFormat="0" applyAlignment="0" applyProtection="0">
      <alignment vertical="center"/>
    </xf>
    <xf numFmtId="0" fontId="178" fillId="86" borderId="607" applyNumberFormat="0" applyAlignment="0" applyProtection="0">
      <alignment vertical="center"/>
    </xf>
    <xf numFmtId="0" fontId="178" fillId="86" borderId="607" applyNumberFormat="0" applyAlignment="0" applyProtection="0">
      <alignment vertical="center"/>
    </xf>
    <xf numFmtId="0" fontId="178" fillId="86" borderId="607" applyNumberFormat="0" applyAlignment="0" applyProtection="0">
      <alignment vertical="center"/>
    </xf>
    <xf numFmtId="0" fontId="189" fillId="31" borderId="611" applyNumberFormat="0" applyAlignment="0" applyProtection="0">
      <alignment vertical="center"/>
    </xf>
    <xf numFmtId="0" fontId="189" fillId="31" borderId="611" applyNumberFormat="0" applyAlignment="0" applyProtection="0">
      <alignment vertical="center"/>
    </xf>
    <xf numFmtId="0" fontId="189" fillId="31" borderId="611" applyNumberFormat="0" applyAlignment="0" applyProtection="0">
      <alignment vertical="center"/>
    </xf>
    <xf numFmtId="0" fontId="189" fillId="31" borderId="611" applyNumberFormat="0" applyAlignment="0" applyProtection="0">
      <alignment vertical="center"/>
    </xf>
    <xf numFmtId="0" fontId="34" fillId="66" borderId="631" applyNumberFormat="0" applyAlignment="0" applyProtection="0"/>
    <xf numFmtId="43" fontId="3" fillId="0" borderId="0" applyFont="0" applyFill="0" applyBorder="0" applyAlignment="0" applyProtection="0"/>
    <xf numFmtId="43" fontId="3" fillId="0" borderId="0" applyFont="0" applyFill="0" applyBorder="0" applyAlignment="0" applyProtection="0"/>
    <xf numFmtId="0" fontId="34" fillId="86" borderId="623" applyNumberFormat="0" applyAlignment="0" applyProtection="0"/>
    <xf numFmtId="0" fontId="3" fillId="0" borderId="0"/>
    <xf numFmtId="0" fontId="202" fillId="31" borderId="617" applyNumberFormat="0" applyAlignment="0" applyProtection="0">
      <alignment vertical="center"/>
    </xf>
    <xf numFmtId="0" fontId="202" fillId="31" borderId="617" applyNumberFormat="0" applyAlignment="0" applyProtection="0">
      <alignment vertical="center"/>
    </xf>
    <xf numFmtId="0" fontId="202" fillId="31" borderId="617" applyNumberFormat="0" applyAlignment="0" applyProtection="0">
      <alignment vertical="center"/>
    </xf>
    <xf numFmtId="0" fontId="202" fillId="31" borderId="607" applyNumberFormat="0" applyAlignment="0" applyProtection="0">
      <alignment vertical="center"/>
    </xf>
    <xf numFmtId="0" fontId="202" fillId="31" borderId="607" applyNumberFormat="0" applyAlignment="0" applyProtection="0">
      <alignment vertical="center"/>
    </xf>
    <xf numFmtId="0" fontId="202" fillId="31" borderId="607" applyNumberFormat="0" applyAlignment="0" applyProtection="0">
      <alignment vertical="center"/>
    </xf>
    <xf numFmtId="0" fontId="202" fillId="31" borderId="607" applyNumberFormat="0" applyAlignment="0" applyProtection="0">
      <alignment vertical="center"/>
    </xf>
    <xf numFmtId="43" fontId="1" fillId="0" borderId="0" applyFont="0" applyFill="0" applyBorder="0" applyAlignment="0" applyProtection="0"/>
    <xf numFmtId="0" fontId="34" fillId="86" borderId="617" applyNumberFormat="0" applyAlignment="0" applyProtection="0"/>
    <xf numFmtId="0" fontId="195" fillId="0" borderId="612" applyNumberFormat="0" applyFill="0" applyAlignment="0" applyProtection="0">
      <alignment vertical="center"/>
    </xf>
    <xf numFmtId="0" fontId="195" fillId="0" borderId="612" applyNumberFormat="0" applyFill="0" applyAlignment="0" applyProtection="0">
      <alignment vertical="center"/>
    </xf>
    <xf numFmtId="0" fontId="195" fillId="0" borderId="612" applyNumberFormat="0" applyFill="0" applyAlignment="0" applyProtection="0">
      <alignment vertical="center"/>
    </xf>
    <xf numFmtId="0" fontId="195" fillId="0" borderId="612" applyNumberFormat="0" applyFill="0" applyAlignment="0" applyProtection="0">
      <alignment vertical="center"/>
    </xf>
    <xf numFmtId="0" fontId="46" fillId="79" borderId="621" applyNumberFormat="0" applyAlignment="0" applyProtection="0"/>
    <xf numFmtId="0" fontId="34" fillId="66" borderId="649" applyNumberFormat="0" applyAlignment="0" applyProtection="0"/>
    <xf numFmtId="0" fontId="178" fillId="86" borderId="649" applyNumberFormat="0" applyAlignment="0" applyProtection="0">
      <alignment vertical="center"/>
    </xf>
    <xf numFmtId="0" fontId="185" fillId="0" borderId="642" applyNumberFormat="0" applyFont="0">
      <alignment horizontal="center" vertical="center"/>
    </xf>
    <xf numFmtId="0" fontId="34" fillId="8" borderId="656" applyNumberFormat="0" applyAlignment="0" applyProtection="0"/>
    <xf numFmtId="0" fontId="168" fillId="35" borderId="624" applyNumberFormat="0" applyFont="0" applyAlignment="0" applyProtection="0">
      <alignment vertical="center"/>
    </xf>
    <xf numFmtId="0" fontId="46" fillId="31" borderId="621" applyNumberFormat="0" applyAlignment="0" applyProtection="0"/>
    <xf numFmtId="0" fontId="34" fillId="8" borderId="668" applyNumberFormat="0" applyAlignment="0" applyProtection="0"/>
    <xf numFmtId="0" fontId="24" fillId="0" borderId="627" applyNumberFormat="0" applyFill="0" applyAlignment="0" applyProtection="0"/>
    <xf numFmtId="0" fontId="29" fillId="0" borderId="644" applyNumberFormat="0" applyAlignment="0" applyProtection="0"/>
    <xf numFmtId="0" fontId="29" fillId="0" borderId="666">
      <alignment horizontal="left" vertical="center"/>
    </xf>
    <xf numFmtId="0" fontId="29" fillId="0" borderId="644" applyNumberFormat="0" applyAlignment="0" applyProtection="0"/>
    <xf numFmtId="0" fontId="168" fillId="35" borderId="616" applyNumberFormat="0" applyFont="0" applyAlignment="0" applyProtection="0">
      <alignment vertical="center"/>
    </xf>
    <xf numFmtId="0" fontId="168" fillId="35" borderId="616" applyNumberFormat="0" applyFont="0" applyAlignment="0" applyProtection="0">
      <alignment vertical="center"/>
    </xf>
    <xf numFmtId="0" fontId="168" fillId="35" borderId="616" applyNumberFormat="0" applyFont="0" applyAlignment="0" applyProtection="0">
      <alignment vertical="center"/>
    </xf>
    <xf numFmtId="0" fontId="168" fillId="35" borderId="616" applyNumberFormat="0" applyFont="0" applyAlignment="0" applyProtection="0">
      <alignment vertical="center"/>
    </xf>
    <xf numFmtId="0" fontId="168" fillId="35" borderId="637" applyNumberFormat="0" applyFont="0" applyAlignment="0" applyProtection="0">
      <alignment vertical="center"/>
    </xf>
    <xf numFmtId="0" fontId="189" fillId="31" borderId="638" applyNumberFormat="0" applyAlignment="0" applyProtection="0">
      <alignment vertical="center"/>
    </xf>
    <xf numFmtId="0" fontId="7" fillId="37" borderId="657" applyNumberFormat="0" applyFont="0" applyAlignment="0" applyProtection="0"/>
    <xf numFmtId="0" fontId="168" fillId="35" borderId="624" applyNumberFormat="0" applyFont="0" applyAlignment="0" applyProtection="0">
      <alignment vertical="center"/>
    </xf>
    <xf numFmtId="0" fontId="3" fillId="0" borderId="0"/>
    <xf numFmtId="0" fontId="178" fillId="86" borderId="629" applyNumberFormat="0" applyAlignment="0" applyProtection="0">
      <alignment vertical="center"/>
    </xf>
    <xf numFmtId="0" fontId="178" fillId="86" borderId="629" applyNumberFormat="0" applyAlignment="0" applyProtection="0">
      <alignment vertical="center"/>
    </xf>
    <xf numFmtId="0" fontId="189" fillId="31" borderId="625" applyNumberFormat="0" applyAlignment="0" applyProtection="0">
      <alignment vertical="center"/>
    </xf>
    <xf numFmtId="0" fontId="34" fillId="86" borderId="656" applyNumberFormat="0" applyAlignment="0" applyProtection="0"/>
    <xf numFmtId="0" fontId="202" fillId="31" borderId="623" applyNumberFormat="0" applyAlignment="0" applyProtection="0">
      <alignment vertical="center"/>
    </xf>
    <xf numFmtId="0" fontId="195" fillId="0" borderId="627" applyNumberFormat="0" applyFill="0" applyAlignment="0" applyProtection="0">
      <alignment vertical="center"/>
    </xf>
    <xf numFmtId="0" fontId="18" fillId="79" borderId="649" applyNumberFormat="0" applyAlignment="0" applyProtection="0"/>
    <xf numFmtId="0" fontId="202" fillId="31" borderId="636" applyNumberFormat="0" applyAlignment="0" applyProtection="0">
      <alignment vertical="center"/>
    </xf>
    <xf numFmtId="0" fontId="34" fillId="86" borderId="631" applyNumberFormat="0" applyAlignment="0" applyProtection="0"/>
    <xf numFmtId="0" fontId="34" fillId="86" borderId="649" applyNumberFormat="0" applyAlignment="0" applyProtection="0"/>
    <xf numFmtId="43" fontId="1" fillId="0" borderId="0" applyFont="0" applyFill="0" applyBorder="0" applyAlignment="0" applyProtection="0"/>
    <xf numFmtId="0" fontId="34" fillId="86" borderId="623" applyNumberFormat="0" applyAlignment="0" applyProtection="0"/>
    <xf numFmtId="0" fontId="46" fillId="79" borderId="658" applyNumberFormat="0" applyAlignment="0" applyProtection="0"/>
    <xf numFmtId="0" fontId="34" fillId="86" borderId="617" applyNumberFormat="0" applyAlignment="0" applyProtection="0"/>
    <xf numFmtId="0" fontId="7" fillId="35" borderId="633" applyNumberFormat="0" applyFont="0" applyAlignment="0" applyProtection="0"/>
    <xf numFmtId="0" fontId="25" fillId="81" borderId="637" applyNumberFormat="0" applyAlignment="0" applyProtection="0"/>
    <xf numFmtId="0" fontId="34" fillId="86" borderId="617" applyNumberFormat="0" applyAlignment="0" applyProtection="0"/>
    <xf numFmtId="0" fontId="29" fillId="0" borderId="667" applyNumberFormat="0" applyAlignment="0" applyProtection="0"/>
    <xf numFmtId="0" fontId="29" fillId="0" borderId="626">
      <alignment horizontal="left" vertical="center"/>
    </xf>
    <xf numFmtId="0" fontId="18" fillId="31" borderId="617" applyNumberFormat="0" applyAlignment="0" applyProtection="0"/>
    <xf numFmtId="0" fontId="25" fillId="81" borderId="637" applyNumberFormat="0" applyAlignment="0" applyProtection="0"/>
    <xf numFmtId="0" fontId="202" fillId="31" borderId="617" applyNumberFormat="0" applyAlignment="0" applyProtection="0">
      <alignment vertical="center"/>
    </xf>
    <xf numFmtId="0" fontId="195" fillId="0" borderId="622" applyNumberFormat="0" applyFill="0" applyAlignment="0" applyProtection="0">
      <alignment vertical="center"/>
    </xf>
    <xf numFmtId="0" fontId="195" fillId="0" borderId="622" applyNumberFormat="0" applyFill="0" applyAlignment="0" applyProtection="0">
      <alignment vertical="center"/>
    </xf>
    <xf numFmtId="0" fontId="195" fillId="0" borderId="622" applyNumberFormat="0" applyFill="0" applyAlignment="0" applyProtection="0">
      <alignment vertical="center"/>
    </xf>
    <xf numFmtId="0" fontId="195" fillId="0" borderId="622" applyNumberFormat="0" applyFill="0" applyAlignment="0" applyProtection="0">
      <alignment vertical="center"/>
    </xf>
    <xf numFmtId="0" fontId="18" fillId="79" borderId="636" applyNumberFormat="0" applyAlignment="0" applyProtection="0"/>
    <xf numFmtId="0" fontId="25" fillId="81" borderId="633" applyNumberFormat="0" applyAlignment="0" applyProtection="0"/>
    <xf numFmtId="0" fontId="18" fillId="79" borderId="636" applyNumberFormat="0" applyAlignment="0" applyProtection="0"/>
    <xf numFmtId="0" fontId="34" fillId="66" borderId="636" applyNumberFormat="0" applyAlignment="0" applyProtection="0"/>
    <xf numFmtId="0" fontId="178" fillId="86" borderId="656" applyNumberFormat="0" applyAlignment="0" applyProtection="0">
      <alignment vertical="center"/>
    </xf>
    <xf numFmtId="2" fontId="148" fillId="0" borderId="664" applyFont="0" applyBorder="0" applyAlignment="0" applyProtection="0">
      <alignment horizontal="right"/>
    </xf>
    <xf numFmtId="0" fontId="185" fillId="0" borderId="646" applyNumberFormat="0" applyFont="0">
      <alignment horizontal="center" vertical="center"/>
    </xf>
    <xf numFmtId="0" fontId="34" fillId="8" borderId="656" applyNumberFormat="0" applyAlignment="0" applyProtection="0"/>
    <xf numFmtId="0" fontId="29" fillId="0" borderId="630" applyNumberFormat="0" applyAlignment="0" applyProtection="0"/>
    <xf numFmtId="0" fontId="18" fillId="79" borderId="656" applyNumberFormat="0" applyAlignment="0" applyProtection="0"/>
    <xf numFmtId="43" fontId="3" fillId="0" borderId="0" applyFont="0" applyFill="0" applyBorder="0" applyAlignment="0" applyProtection="0"/>
    <xf numFmtId="0" fontId="29" fillId="0" borderId="666">
      <alignment horizontal="left" vertical="center"/>
    </xf>
    <xf numFmtId="0" fontId="34" fillId="86" borderId="636" applyNumberFormat="0" applyAlignment="0" applyProtection="0"/>
    <xf numFmtId="0" fontId="24" fillId="0" borderId="671" applyNumberFormat="0" applyFill="0" applyAlignment="0" applyProtection="0"/>
    <xf numFmtId="0" fontId="29" fillId="0" borderId="639">
      <alignment horizontal="left" vertical="center"/>
    </xf>
    <xf numFmtId="0" fontId="24" fillId="0" borderId="627" applyNumberFormat="0" applyFill="0" applyAlignment="0" applyProtection="0"/>
    <xf numFmtId="0" fontId="24" fillId="0" borderId="627" applyNumberFormat="0" applyFill="0" applyAlignment="0" applyProtection="0"/>
    <xf numFmtId="0" fontId="34" fillId="86" borderId="649" applyNumberFormat="0" applyAlignment="0" applyProtection="0"/>
    <xf numFmtId="0" fontId="3" fillId="0" borderId="0"/>
    <xf numFmtId="0" fontId="24" fillId="0" borderId="635" applyNumberFormat="0" applyFill="0" applyAlignment="0" applyProtection="0"/>
    <xf numFmtId="0" fontId="24" fillId="0" borderId="635" applyNumberFormat="0" applyFill="0" applyAlignment="0" applyProtection="0"/>
    <xf numFmtId="0" fontId="24" fillId="0" borderId="635" applyNumberFormat="0" applyFill="0" applyAlignment="0" applyProtection="0"/>
    <xf numFmtId="0" fontId="24" fillId="0" borderId="635" applyNumberFormat="0" applyFill="0" applyAlignment="0" applyProtection="0"/>
    <xf numFmtId="2" fontId="148" fillId="0" borderId="664" applyFont="0" applyBorder="0" applyAlignment="0" applyProtection="0">
      <alignment horizontal="right"/>
    </xf>
    <xf numFmtId="0" fontId="24" fillId="0" borderId="661" applyNumberFormat="0" applyFill="0" applyAlignment="0" applyProtection="0"/>
    <xf numFmtId="0" fontId="168" fillId="35" borderId="624" applyNumberFormat="0" applyFont="0" applyAlignment="0" applyProtection="0">
      <alignment vertical="center"/>
    </xf>
    <xf numFmtId="0" fontId="168" fillId="35" borderId="624" applyNumberFormat="0" applyFont="0" applyAlignment="0" applyProtection="0">
      <alignment vertical="center"/>
    </xf>
    <xf numFmtId="0" fontId="34" fillId="8" borderId="656" applyNumberFormat="0" applyAlignment="0" applyProtection="0"/>
    <xf numFmtId="0" fontId="74" fillId="29" borderId="670" applyNumberFormat="0" applyAlignment="0" applyProtection="0">
      <alignment vertical="center"/>
    </xf>
    <xf numFmtId="0" fontId="178" fillId="86" borderId="623" applyNumberFormat="0" applyAlignment="0" applyProtection="0">
      <alignment vertical="center"/>
    </xf>
    <xf numFmtId="0" fontId="178" fillId="86" borderId="623" applyNumberFormat="0" applyAlignment="0" applyProtection="0">
      <alignment vertical="center"/>
    </xf>
    <xf numFmtId="0" fontId="7" fillId="35" borderId="657" applyNumberFormat="0" applyFont="0" applyAlignment="0" applyProtection="0"/>
    <xf numFmtId="0" fontId="189" fillId="31" borderId="625" applyNumberFormat="0" applyAlignment="0" applyProtection="0">
      <alignment vertical="center"/>
    </xf>
    <xf numFmtId="0" fontId="189" fillId="31" borderId="625" applyNumberFormat="0" applyAlignment="0" applyProtection="0">
      <alignment vertical="center"/>
    </xf>
    <xf numFmtId="0" fontId="18" fillId="31" borderId="649" applyNumberFormat="0" applyAlignment="0" applyProtection="0"/>
    <xf numFmtId="0" fontId="24" fillId="0" borderId="661" applyNumberFormat="0" applyFill="0" applyAlignment="0" applyProtection="0"/>
    <xf numFmtId="0" fontId="24" fillId="0" borderId="661" applyNumberFormat="0" applyFill="0" applyAlignment="0" applyProtection="0"/>
    <xf numFmtId="0" fontId="168" fillId="35" borderId="633" applyNumberFormat="0" applyFont="0" applyAlignment="0" applyProtection="0">
      <alignment vertical="center"/>
    </xf>
    <xf numFmtId="0" fontId="168" fillId="35" borderId="633" applyNumberFormat="0" applyFont="0" applyAlignment="0" applyProtection="0">
      <alignment vertical="center"/>
    </xf>
    <xf numFmtId="0" fontId="168" fillId="35" borderId="633" applyNumberFormat="0" applyFont="0" applyAlignment="0" applyProtection="0">
      <alignment vertical="center"/>
    </xf>
    <xf numFmtId="0" fontId="168" fillId="35" borderId="633" applyNumberFormat="0" applyFont="0" applyAlignment="0" applyProtection="0">
      <alignment vertical="center"/>
    </xf>
    <xf numFmtId="9" fontId="3" fillId="0" borderId="0" applyFont="0" applyFill="0" applyBorder="0" applyAlignment="0" applyProtection="0"/>
    <xf numFmtId="0" fontId="34" fillId="66" borderId="656" applyNumberFormat="0" applyAlignment="0" applyProtection="0"/>
    <xf numFmtId="0" fontId="34" fillId="8" borderId="656" applyNumberFormat="0" applyAlignment="0" applyProtection="0"/>
    <xf numFmtId="0" fontId="178" fillId="86" borderId="631" applyNumberFormat="0" applyAlignment="0" applyProtection="0">
      <alignment vertical="center"/>
    </xf>
    <xf numFmtId="0" fontId="178" fillId="86" borderId="631" applyNumberFormat="0" applyAlignment="0" applyProtection="0">
      <alignment vertical="center"/>
    </xf>
    <xf numFmtId="0" fontId="178" fillId="86" borderId="631" applyNumberFormat="0" applyAlignment="0" applyProtection="0">
      <alignment vertical="center"/>
    </xf>
    <xf numFmtId="0" fontId="178" fillId="86" borderId="631" applyNumberFormat="0" applyAlignment="0" applyProtection="0">
      <alignment vertical="center"/>
    </xf>
    <xf numFmtId="0" fontId="189" fillId="31" borderId="634" applyNumberFormat="0" applyAlignment="0" applyProtection="0">
      <alignment vertical="center"/>
    </xf>
    <xf numFmtId="0" fontId="189" fillId="31" borderId="634" applyNumberFormat="0" applyAlignment="0" applyProtection="0">
      <alignment vertical="center"/>
    </xf>
    <xf numFmtId="0" fontId="189" fillId="31" borderId="634" applyNumberFormat="0" applyAlignment="0" applyProtection="0">
      <alignment vertical="center"/>
    </xf>
    <xf numFmtId="0" fontId="189" fillId="31" borderId="634" applyNumberFormat="0" applyAlignment="0" applyProtection="0">
      <alignment vertical="center"/>
    </xf>
    <xf numFmtId="0" fontId="178" fillId="86" borderId="656" applyNumberFormat="0" applyAlignment="0" applyProtection="0">
      <alignment vertical="center"/>
    </xf>
    <xf numFmtId="0" fontId="202" fillId="31" borderId="623" applyNumberFormat="0" applyAlignment="0" applyProtection="0">
      <alignment vertical="center"/>
    </xf>
    <xf numFmtId="0" fontId="202" fillId="31" borderId="623" applyNumberFormat="0" applyAlignment="0" applyProtection="0">
      <alignment vertical="center"/>
    </xf>
    <xf numFmtId="43" fontId="1" fillId="0" borderId="0" applyFont="0" applyFill="0" applyBorder="0" applyAlignment="0" applyProtection="0"/>
    <xf numFmtId="0" fontId="34" fillId="86" borderId="631" applyNumberFormat="0" applyAlignment="0" applyProtection="0"/>
    <xf numFmtId="0" fontId="195" fillId="0" borderId="627" applyNumberFormat="0" applyFill="0" applyAlignment="0" applyProtection="0">
      <alignment vertical="center"/>
    </xf>
    <xf numFmtId="0" fontId="195" fillId="0" borderId="627" applyNumberFormat="0" applyFill="0" applyAlignment="0" applyProtection="0">
      <alignment vertical="center"/>
    </xf>
    <xf numFmtId="0" fontId="34" fillId="66" borderId="629" applyNumberFormat="0" applyAlignment="0" applyProtection="0"/>
    <xf numFmtId="0" fontId="46" fillId="79" borderId="634" applyNumberFormat="0" applyAlignment="0" applyProtection="0"/>
    <xf numFmtId="0" fontId="34" fillId="66" borderId="656" applyNumberFormat="0" applyAlignment="0" applyProtection="0"/>
    <xf numFmtId="0" fontId="34" fillId="86" borderId="629" applyNumberFormat="0" applyAlignment="0" applyProtection="0"/>
    <xf numFmtId="0" fontId="34" fillId="86" borderId="631" applyNumberFormat="0" applyAlignment="0" applyProtection="0"/>
    <xf numFmtId="0" fontId="195" fillId="0" borderId="653" applyNumberFormat="0" applyFill="0" applyAlignment="0" applyProtection="0">
      <alignment vertical="center"/>
    </xf>
    <xf numFmtId="0" fontId="1" fillId="0" borderId="0"/>
    <xf numFmtId="9" fontId="3" fillId="0" borderId="0" applyFont="0" applyFill="0" applyBorder="0" applyAlignment="0" applyProtection="0"/>
    <xf numFmtId="0" fontId="202" fillId="31" borderId="629" applyNumberFormat="0" applyAlignment="0" applyProtection="0">
      <alignment vertical="center"/>
    </xf>
    <xf numFmtId="0" fontId="202" fillId="31" borderId="629" applyNumberFormat="0" applyAlignment="0" applyProtection="0">
      <alignment vertical="center"/>
    </xf>
    <xf numFmtId="0" fontId="202" fillId="31" borderId="629" applyNumberFormat="0" applyAlignment="0" applyProtection="0">
      <alignment vertical="center"/>
    </xf>
    <xf numFmtId="0" fontId="202" fillId="31" borderId="629" applyNumberFormat="0" applyAlignment="0" applyProtection="0">
      <alignment vertical="center"/>
    </xf>
    <xf numFmtId="43" fontId="1" fillId="0" borderId="0" applyFont="0" applyFill="0" applyBorder="0" applyAlignment="0" applyProtection="0"/>
    <xf numFmtId="0" fontId="34" fillId="86" borderId="631" applyNumberFormat="0" applyAlignment="0" applyProtection="0"/>
    <xf numFmtId="0" fontId="46" fillId="79" borderId="638" applyNumberFormat="0" applyAlignment="0" applyProtection="0"/>
    <xf numFmtId="0" fontId="34" fillId="86" borderId="631" applyNumberFormat="0" applyAlignment="0" applyProtection="0"/>
    <xf numFmtId="0" fontId="29" fillId="0" borderId="660">
      <alignment horizontal="left" vertical="center"/>
    </xf>
    <xf numFmtId="0" fontId="18" fillId="79" borderId="649" applyNumberFormat="0" applyAlignment="0" applyProtection="0"/>
    <xf numFmtId="0" fontId="18" fillId="79" borderId="631" applyNumberFormat="0" applyAlignment="0" applyProtection="0"/>
    <xf numFmtId="0" fontId="74" fillId="29" borderId="658" applyNumberFormat="0" applyAlignment="0" applyProtection="0">
      <alignment vertical="center"/>
    </xf>
    <xf numFmtId="0" fontId="34" fillId="86" borderId="656" applyNumberFormat="0" applyAlignment="0" applyProtection="0"/>
    <xf numFmtId="0" fontId="18" fillId="31" borderId="636" applyNumberFormat="0" applyAlignment="0" applyProtection="0"/>
    <xf numFmtId="0" fontId="29" fillId="0" borderId="644" applyNumberFormat="0" applyAlignment="0" applyProtection="0"/>
    <xf numFmtId="0" fontId="46" fillId="79" borderId="638" applyNumberFormat="0" applyAlignment="0" applyProtection="0"/>
    <xf numFmtId="0" fontId="34" fillId="8" borderId="668" applyNumberFormat="0" applyAlignment="0" applyProtection="0"/>
    <xf numFmtId="43" fontId="3" fillId="0" borderId="0" applyFont="0" applyFill="0" applyBorder="0" applyAlignment="0" applyProtection="0"/>
    <xf numFmtId="0" fontId="34" fillId="66" borderId="649" applyNumberFormat="0" applyAlignment="0" applyProtection="0"/>
    <xf numFmtId="0" fontId="34" fillId="86" borderId="636" applyNumberFormat="0" applyAlignment="0" applyProtection="0"/>
    <xf numFmtId="0" fontId="3" fillId="0" borderId="0"/>
    <xf numFmtId="0" fontId="202" fillId="31" borderId="631" applyNumberFormat="0" applyAlignment="0" applyProtection="0">
      <alignment vertical="center"/>
    </xf>
    <xf numFmtId="0" fontId="202" fillId="31" borderId="631" applyNumberFormat="0" applyAlignment="0" applyProtection="0">
      <alignment vertical="center"/>
    </xf>
    <xf numFmtId="0" fontId="202" fillId="31" borderId="631" applyNumberFormat="0" applyAlignment="0" applyProtection="0">
      <alignment vertical="center"/>
    </xf>
    <xf numFmtId="0" fontId="202" fillId="31" borderId="631" applyNumberFormat="0" applyAlignment="0" applyProtection="0">
      <alignment vertical="center"/>
    </xf>
    <xf numFmtId="0" fontId="195" fillId="0" borderId="635" applyNumberFormat="0" applyFill="0" applyAlignment="0" applyProtection="0">
      <alignment vertical="center"/>
    </xf>
    <xf numFmtId="0" fontId="195" fillId="0" borderId="635" applyNumberFormat="0" applyFill="0" applyAlignment="0" applyProtection="0">
      <alignment vertical="center"/>
    </xf>
    <xf numFmtId="0" fontId="195" fillId="0" borderId="635" applyNumberFormat="0" applyFill="0" applyAlignment="0" applyProtection="0">
      <alignment vertical="center"/>
    </xf>
    <xf numFmtId="0" fontId="195" fillId="0" borderId="635" applyNumberFormat="0" applyFill="0" applyAlignment="0" applyProtection="0">
      <alignment vertical="center"/>
    </xf>
    <xf numFmtId="0" fontId="82" fillId="29" borderId="668" applyNumberFormat="0" applyAlignment="0" applyProtection="0">
      <alignment vertical="center"/>
    </xf>
    <xf numFmtId="0" fontId="29" fillId="0" borderId="648" applyNumberFormat="0" applyAlignment="0" applyProtection="0"/>
    <xf numFmtId="0" fontId="29" fillId="0" borderId="648" applyNumberFormat="0" applyAlignment="0" applyProtection="0"/>
    <xf numFmtId="0" fontId="46" fillId="79" borderId="651" applyNumberFormat="0" applyAlignment="0" applyProtection="0"/>
    <xf numFmtId="0" fontId="34" fillId="8" borderId="656" applyNumberFormat="0" applyAlignment="0" applyProtection="0"/>
    <xf numFmtId="0" fontId="29" fillId="0" borderId="660">
      <alignment horizontal="left" vertical="center"/>
    </xf>
    <xf numFmtId="0" fontId="34" fillId="86" borderId="649" applyNumberFormat="0" applyAlignment="0" applyProtection="0"/>
    <xf numFmtId="0" fontId="34" fillId="86" borderId="649" applyNumberFormat="0" applyAlignment="0" applyProtection="0"/>
    <xf numFmtId="0" fontId="29" fillId="0" borderId="667" applyNumberFormat="0" applyAlignment="0" applyProtection="0"/>
    <xf numFmtId="0" fontId="25" fillId="81" borderId="650" applyNumberFormat="0" applyAlignment="0" applyProtection="0"/>
    <xf numFmtId="0" fontId="25" fillId="81" borderId="657" applyNumberFormat="0" applyAlignment="0" applyProtection="0"/>
    <xf numFmtId="0" fontId="73" fillId="8" borderId="656" applyNumberFormat="0" applyAlignment="0" applyProtection="0">
      <alignment vertical="center"/>
    </xf>
    <xf numFmtId="9" fontId="3" fillId="0" borderId="0" applyFont="0" applyFill="0" applyBorder="0" applyAlignment="0" applyProtection="0"/>
    <xf numFmtId="0" fontId="29" fillId="0" borderId="667" applyNumberFormat="0" applyAlignment="0" applyProtection="0"/>
    <xf numFmtId="0" fontId="168" fillId="35" borderId="657" applyNumberFormat="0" applyFont="0" applyAlignment="0" applyProtection="0">
      <alignment vertical="center"/>
    </xf>
    <xf numFmtId="0" fontId="189" fillId="31" borderId="658" applyNumberFormat="0" applyAlignment="0" applyProtection="0">
      <alignment vertical="center"/>
    </xf>
    <xf numFmtId="0" fontId="202" fillId="31" borderId="656" applyNumberFormat="0" applyAlignment="0" applyProtection="0">
      <alignment vertical="center"/>
    </xf>
    <xf numFmtId="0" fontId="195" fillId="0" borderId="661" applyNumberFormat="0" applyFill="0" applyAlignment="0" applyProtection="0">
      <alignment vertical="center"/>
    </xf>
    <xf numFmtId="0" fontId="34" fillId="8" borderId="668" applyNumberFormat="0" applyAlignment="0" applyProtection="0"/>
    <xf numFmtId="0" fontId="34" fillId="8" borderId="656" applyNumberFormat="0" applyAlignment="0" applyProtection="0"/>
    <xf numFmtId="0" fontId="29" fillId="0" borderId="675">
      <alignment horizontal="left" vertical="center"/>
    </xf>
    <xf numFmtId="0" fontId="3" fillId="0" borderId="0"/>
    <xf numFmtId="0" fontId="3" fillId="0" borderId="0"/>
    <xf numFmtId="0" fontId="212" fillId="0" borderId="0">
      <alignment vertical="center"/>
    </xf>
    <xf numFmtId="0" fontId="1" fillId="0" borderId="0"/>
    <xf numFmtId="0" fontId="1" fillId="0" borderId="0"/>
    <xf numFmtId="9" fontId="3" fillId="0" borderId="0" applyFont="0" applyFill="0" applyBorder="0" applyAlignment="0" applyProtection="0"/>
    <xf numFmtId="0" fontId="3" fillId="0" borderId="0"/>
    <xf numFmtId="0" fontId="34" fillId="86" borderId="668" applyNumberFormat="0" applyAlignment="0" applyProtection="0"/>
    <xf numFmtId="0" fontId="24" fillId="0" borderId="706" applyNumberFormat="0" applyFill="0" applyAlignment="0" applyProtection="0"/>
    <xf numFmtId="43" fontId="3" fillId="0" borderId="0" applyFont="0" applyFill="0" applyBorder="0" applyAlignment="0" applyProtection="0"/>
    <xf numFmtId="0" fontId="34" fillId="86" borderId="692" applyNumberFormat="0" applyAlignment="0" applyProtection="0"/>
    <xf numFmtId="0" fontId="34" fillId="86" borderId="684" applyNumberFormat="0" applyAlignment="0" applyProtection="0"/>
    <xf numFmtId="0" fontId="46" fillId="79" borderId="670" applyNumberFormat="0" applyAlignment="0" applyProtection="0"/>
    <xf numFmtId="0" fontId="34" fillId="86" borderId="692" applyNumberFormat="0" applyAlignment="0" applyProtection="0"/>
    <xf numFmtId="0" fontId="18" fillId="31" borderId="668" applyNumberFormat="0" applyAlignment="0" applyProtection="0"/>
    <xf numFmtId="0" fontId="46" fillId="79" borderId="703" applyNumberFormat="0" applyAlignment="0" applyProtection="0"/>
    <xf numFmtId="43" fontId="3" fillId="0" borderId="0" applyFill="0" applyBorder="0" applyAlignment="0"/>
    <xf numFmtId="0" fontId="18" fillId="79" borderId="684" applyNumberFormat="0" applyAlignment="0" applyProtection="0"/>
    <xf numFmtId="0" fontId="34" fillId="86" borderId="684" applyNumberFormat="0" applyAlignment="0" applyProtection="0"/>
    <xf numFmtId="0" fontId="29" fillId="0" borderId="707" applyNumberFormat="0" applyAlignment="0" applyProtection="0"/>
    <xf numFmtId="0" fontId="34" fillId="86" borderId="692" applyNumberFormat="0" applyAlignment="0" applyProtection="0"/>
    <xf numFmtId="0" fontId="25" fillId="81" borderId="685" applyNumberFormat="0" applyAlignment="0" applyProtection="0"/>
    <xf numFmtId="0" fontId="25" fillId="81" borderId="709" applyNumberFormat="0" applyAlignment="0" applyProtection="0"/>
    <xf numFmtId="0" fontId="46" fillId="79" borderId="710" applyNumberFormat="0" applyAlignment="0" applyProtection="0"/>
    <xf numFmtId="0" fontId="34" fillId="66" borderId="701" applyNumberFormat="0" applyAlignment="0" applyProtection="0"/>
    <xf numFmtId="0" fontId="46" fillId="31" borderId="710" applyNumberFormat="0" applyAlignment="0" applyProtection="0"/>
    <xf numFmtId="0" fontId="34" fillId="86" borderId="701" applyNumberFormat="0" applyAlignment="0" applyProtection="0"/>
    <xf numFmtId="0" fontId="178" fillId="86" borderId="701" applyNumberFormat="0" applyAlignment="0" applyProtection="0">
      <alignment vertical="center"/>
    </xf>
    <xf numFmtId="0" fontId="34" fillId="86" borderId="701" applyNumberFormat="0" applyAlignment="0" applyProtection="0"/>
    <xf numFmtId="0" fontId="29" fillId="0" borderId="681">
      <alignment horizontal="left" vertical="center"/>
    </xf>
    <xf numFmtId="2" fontId="174" fillId="0" borderId="678" applyFont="0" applyBorder="0" applyAlignment="0" applyProtection="0">
      <alignment horizontal="right"/>
    </xf>
    <xf numFmtId="0" fontId="34" fillId="86" borderId="668" applyNumberFormat="0" applyAlignment="0" applyProtection="0"/>
    <xf numFmtId="0" fontId="34" fillId="86" borderId="692" applyNumberFormat="0" applyAlignment="0" applyProtection="0"/>
    <xf numFmtId="0" fontId="34" fillId="66" borderId="701" applyNumberFormat="0" applyAlignment="0" applyProtection="0"/>
    <xf numFmtId="0" fontId="34" fillId="86" borderId="708" applyNumberFormat="0" applyAlignment="0" applyProtection="0"/>
    <xf numFmtId="43" fontId="3" fillId="0" borderId="0" applyFont="0" applyFill="0" applyBorder="0" applyAlignment="0" applyProtection="0"/>
    <xf numFmtId="0" fontId="34" fillId="86" borderId="708" applyNumberFormat="0" applyAlignment="0" applyProtection="0"/>
    <xf numFmtId="0" fontId="168" fillId="35" borderId="693" applyNumberFormat="0" applyFont="0" applyAlignment="0" applyProtection="0">
      <alignment vertical="center"/>
    </xf>
    <xf numFmtId="0" fontId="25" fillId="81" borderId="702" applyNumberFormat="0" applyAlignment="0" applyProtection="0"/>
    <xf numFmtId="0" fontId="178" fillId="86" borderId="668" applyNumberFormat="0" applyAlignment="0" applyProtection="0">
      <alignment vertical="center"/>
    </xf>
    <xf numFmtId="0" fontId="202" fillId="31" borderId="701" applyNumberFormat="0" applyAlignment="0" applyProtection="0">
      <alignment vertical="center"/>
    </xf>
    <xf numFmtId="0" fontId="7" fillId="35" borderId="702" applyNumberFormat="0" applyFont="0" applyAlignment="0" applyProtection="0"/>
    <xf numFmtId="0" fontId="34" fillId="86" borderId="668" applyNumberFormat="0" applyAlignment="0" applyProtection="0"/>
    <xf numFmtId="0" fontId="25" fillId="81" borderId="669" applyNumberFormat="0" applyAlignment="0" applyProtection="0"/>
    <xf numFmtId="0" fontId="34" fillId="86" borderId="708" applyNumberFormat="0" applyAlignment="0" applyProtection="0"/>
    <xf numFmtId="0" fontId="18" fillId="31" borderId="708" applyNumberFormat="0" applyAlignment="0" applyProtection="0"/>
    <xf numFmtId="0" fontId="34" fillId="66" borderId="708" applyNumberFormat="0" applyAlignment="0" applyProtection="0"/>
    <xf numFmtId="0" fontId="34" fillId="66" borderId="708" applyNumberFormat="0" applyAlignment="0" applyProtection="0"/>
    <xf numFmtId="0" fontId="185" fillId="0" borderId="704" applyNumberFormat="0" applyFont="0">
      <alignment horizontal="center" vertical="center"/>
    </xf>
    <xf numFmtId="0" fontId="185" fillId="0" borderId="687" applyNumberFormat="0" applyFont="0">
      <alignment horizontal="center" vertical="center"/>
    </xf>
    <xf numFmtId="0" fontId="168" fillId="35" borderId="669" applyNumberFormat="0" applyFont="0" applyAlignment="0" applyProtection="0">
      <alignment vertical="center"/>
    </xf>
    <xf numFmtId="0" fontId="29" fillId="0" borderId="688">
      <alignment horizontal="left" vertical="center"/>
    </xf>
    <xf numFmtId="0" fontId="46" fillId="79" borderId="703" applyNumberFormat="0" applyAlignment="0" applyProtection="0"/>
    <xf numFmtId="0" fontId="34" fillId="66" borderId="684" applyNumberFormat="0" applyAlignment="0" applyProtection="0"/>
    <xf numFmtId="0" fontId="195" fillId="0" borderId="697" applyNumberFormat="0" applyFill="0" applyAlignment="0" applyProtection="0">
      <alignment vertical="center"/>
    </xf>
    <xf numFmtId="0" fontId="46" fillId="79" borderId="703" applyNumberFormat="0" applyAlignment="0" applyProtection="0"/>
    <xf numFmtId="0" fontId="46" fillId="79" borderId="686" applyNumberFormat="0" applyAlignment="0" applyProtection="0"/>
    <xf numFmtId="0" fontId="34" fillId="86" borderId="668" applyNumberFormat="0" applyAlignment="0" applyProtection="0"/>
    <xf numFmtId="0" fontId="46" fillId="79" borderId="686" applyNumberFormat="0" applyAlignment="0" applyProtection="0"/>
    <xf numFmtId="0" fontId="29" fillId="0" borderId="683">
      <alignment horizontal="left" vertical="center"/>
    </xf>
    <xf numFmtId="0" fontId="34" fillId="66" borderId="668" applyNumberFormat="0" applyAlignment="0" applyProtection="0"/>
    <xf numFmtId="0" fontId="46" fillId="31" borderId="686" applyNumberFormat="0" applyAlignment="0" applyProtection="0"/>
    <xf numFmtId="0" fontId="46" fillId="79" borderId="686" applyNumberFormat="0" applyAlignment="0" applyProtection="0"/>
    <xf numFmtId="0" fontId="34" fillId="86" borderId="692" applyNumberFormat="0" applyAlignment="0" applyProtection="0"/>
    <xf numFmtId="0" fontId="7" fillId="35" borderId="685" applyNumberFormat="0" applyFont="0" applyAlignment="0" applyProtection="0"/>
    <xf numFmtId="0" fontId="18" fillId="79" borderId="692" applyNumberFormat="0" applyAlignment="0" applyProtection="0"/>
    <xf numFmtId="0" fontId="34" fillId="86" borderId="668" applyNumberFormat="0" applyAlignment="0" applyProtection="0"/>
    <xf numFmtId="0" fontId="25" fillId="81" borderId="685" applyNumberFormat="0" applyAlignment="0" applyProtection="0"/>
    <xf numFmtId="0" fontId="34" fillId="86" borderId="668" applyNumberFormat="0" applyAlignment="0" applyProtection="0"/>
    <xf numFmtId="0" fontId="34" fillId="86" borderId="668" applyNumberFormat="0" applyAlignment="0" applyProtection="0"/>
    <xf numFmtId="43" fontId="3" fillId="0" borderId="0" applyFill="0" applyBorder="0" applyAlignment="0"/>
    <xf numFmtId="0" fontId="34" fillId="86" borderId="692" applyNumberFormat="0" applyAlignment="0" applyProtection="0"/>
    <xf numFmtId="0" fontId="34" fillId="86" borderId="708" applyNumberFormat="0" applyAlignment="0" applyProtection="0"/>
    <xf numFmtId="0" fontId="46" fillId="79" borderId="694" applyNumberFormat="0" applyAlignment="0" applyProtection="0"/>
    <xf numFmtId="43" fontId="3" fillId="0" borderId="0" applyFill="0" applyBorder="0" applyAlignment="0"/>
    <xf numFmtId="0" fontId="18" fillId="79" borderId="668" applyNumberFormat="0" applyAlignment="0" applyProtection="0"/>
    <xf numFmtId="2" fontId="174" fillId="0" borderId="682" applyFont="0" applyBorder="0" applyAlignment="0" applyProtection="0">
      <alignment horizontal="right"/>
    </xf>
    <xf numFmtId="0" fontId="18" fillId="31" borderId="692" applyNumberFormat="0" applyAlignment="0" applyProtection="0"/>
    <xf numFmtId="0" fontId="29" fillId="0" borderId="705">
      <alignment horizontal="left" vertical="center"/>
    </xf>
    <xf numFmtId="0" fontId="18" fillId="79" borderId="668" applyNumberFormat="0" applyAlignment="0" applyProtection="0"/>
    <xf numFmtId="0" fontId="34" fillId="86" borderId="692" applyNumberFormat="0" applyAlignment="0" applyProtection="0"/>
    <xf numFmtId="0" fontId="18" fillId="79" borderId="668" applyNumberFormat="0" applyAlignment="0" applyProtection="0"/>
    <xf numFmtId="0" fontId="34" fillId="66" borderId="692" applyNumberFormat="0" applyAlignment="0" applyProtection="0"/>
    <xf numFmtId="0" fontId="34" fillId="86" borderId="668" applyNumberFormat="0" applyAlignment="0" applyProtection="0"/>
    <xf numFmtId="0" fontId="34" fillId="86" borderId="708" applyNumberFormat="0" applyAlignment="0" applyProtection="0"/>
    <xf numFmtId="0" fontId="46" fillId="79" borderId="710" applyNumberFormat="0" applyAlignment="0" applyProtection="0"/>
    <xf numFmtId="0" fontId="34" fillId="86" borderId="708" applyNumberFormat="0" applyAlignment="0" applyProtection="0"/>
    <xf numFmtId="0" fontId="29" fillId="0" borderId="705">
      <alignment horizontal="left" vertical="center"/>
    </xf>
    <xf numFmtId="0" fontId="29" fillId="0" borderId="712">
      <alignment horizontal="left" vertical="center"/>
    </xf>
    <xf numFmtId="0" fontId="189" fillId="31" borderId="670" applyNumberFormat="0" applyAlignment="0" applyProtection="0">
      <alignment vertical="center"/>
    </xf>
    <xf numFmtId="0" fontId="25" fillId="81" borderId="685" applyNumberFormat="0" applyAlignment="0" applyProtection="0"/>
    <xf numFmtId="0" fontId="25" fillId="81" borderId="669" applyNumberFormat="0" applyAlignment="0" applyProtection="0"/>
    <xf numFmtId="0" fontId="178" fillId="86" borderId="708" applyNumberFormat="0" applyAlignment="0" applyProtection="0">
      <alignment vertical="center"/>
    </xf>
    <xf numFmtId="0" fontId="25" fillId="81" borderId="693" applyNumberFormat="0" applyAlignment="0" applyProtection="0"/>
    <xf numFmtId="0" fontId="46" fillId="79" borderId="710" applyNumberFormat="0" applyAlignment="0" applyProtection="0"/>
    <xf numFmtId="0" fontId="34" fillId="86" borderId="684" applyNumberFormat="0" applyAlignment="0" applyProtection="0"/>
    <xf numFmtId="0" fontId="34" fillId="86" borderId="701" applyNumberFormat="0" applyAlignment="0" applyProtection="0"/>
    <xf numFmtId="0" fontId="25" fillId="81" borderId="709" applyNumberFormat="0" applyAlignment="0" applyProtection="0"/>
    <xf numFmtId="0" fontId="34" fillId="86" borderId="684" applyNumberFormat="0" applyAlignment="0" applyProtection="0"/>
    <xf numFmtId="0" fontId="29" fillId="0" borderId="696">
      <alignment horizontal="left" vertical="center"/>
    </xf>
    <xf numFmtId="0" fontId="34" fillId="66" borderId="692" applyNumberFormat="0" applyAlignment="0" applyProtection="0"/>
    <xf numFmtId="0" fontId="34" fillId="86" borderId="701" applyNumberFormat="0" applyAlignment="0" applyProtection="0"/>
    <xf numFmtId="0" fontId="18" fillId="79" borderId="708" applyNumberFormat="0" applyAlignment="0" applyProtection="0"/>
    <xf numFmtId="0" fontId="34" fillId="86" borderId="701" applyNumberFormat="0" applyAlignment="0" applyProtection="0"/>
    <xf numFmtId="0" fontId="195" fillId="0" borderId="671" applyNumberFormat="0" applyFill="0" applyAlignment="0" applyProtection="0">
      <alignment vertical="center"/>
    </xf>
    <xf numFmtId="0" fontId="46" fillId="79" borderId="694" applyNumberFormat="0" applyAlignment="0" applyProtection="0"/>
    <xf numFmtId="0" fontId="24" fillId="0" borderId="697" applyNumberFormat="0" applyFill="0" applyAlignment="0" applyProtection="0"/>
    <xf numFmtId="0" fontId="202" fillId="31" borderId="692" applyNumberFormat="0" applyAlignment="0" applyProtection="0">
      <alignment vertical="center"/>
    </xf>
    <xf numFmtId="0" fontId="24" fillId="0" borderId="697" applyNumberFormat="0" applyFill="0" applyAlignment="0" applyProtection="0"/>
    <xf numFmtId="0" fontId="178" fillId="86" borderId="668" applyNumberFormat="0" applyAlignment="0" applyProtection="0">
      <alignment vertical="center"/>
    </xf>
    <xf numFmtId="0" fontId="25" fillId="81" borderId="702" applyNumberFormat="0" applyAlignment="0" applyProtection="0"/>
    <xf numFmtId="0" fontId="34" fillId="66" borderId="701" applyNumberFormat="0" applyAlignment="0" applyProtection="0"/>
    <xf numFmtId="0" fontId="202" fillId="31" borderId="684" applyNumberFormat="0" applyAlignment="0" applyProtection="0">
      <alignment vertical="center"/>
    </xf>
    <xf numFmtId="0" fontId="18" fillId="79" borderId="708" applyNumberFormat="0" applyAlignment="0" applyProtection="0"/>
    <xf numFmtId="0" fontId="25" fillId="81" borderId="709" applyNumberFormat="0" applyAlignment="0" applyProtection="0"/>
    <xf numFmtId="0" fontId="34" fillId="86" borderId="684" applyNumberFormat="0" applyAlignment="0" applyProtection="0"/>
    <xf numFmtId="0" fontId="34" fillId="66" borderId="684" applyNumberFormat="0" applyAlignment="0" applyProtection="0"/>
    <xf numFmtId="0" fontId="34" fillId="86" borderId="692" applyNumberFormat="0" applyAlignment="0" applyProtection="0"/>
    <xf numFmtId="0" fontId="178" fillId="86" borderId="684" applyNumberFormat="0" applyAlignment="0" applyProtection="0">
      <alignment vertical="center"/>
    </xf>
    <xf numFmtId="0" fontId="29" fillId="0" borderId="705">
      <alignment horizontal="left" vertical="center"/>
    </xf>
    <xf numFmtId="43" fontId="3" fillId="0" borderId="0" applyFill="0" applyBorder="0" applyAlignment="0"/>
    <xf numFmtId="0" fontId="29" fillId="0" borderId="688">
      <alignment horizontal="left" vertical="center"/>
    </xf>
    <xf numFmtId="43" fontId="3" fillId="0" borderId="0" applyFill="0" applyBorder="0" applyAlignment="0"/>
    <xf numFmtId="0" fontId="34" fillId="66" borderId="668" applyNumberFormat="0" applyAlignment="0" applyProtection="0"/>
    <xf numFmtId="0" fontId="34" fillId="66" borderId="668" applyNumberFormat="0" applyAlignment="0" applyProtection="0"/>
    <xf numFmtId="43" fontId="3" fillId="0" borderId="0" applyFill="0" applyBorder="0" applyAlignment="0"/>
    <xf numFmtId="43" fontId="3" fillId="0" borderId="0" applyFill="0" applyBorder="0" applyAlignment="0"/>
    <xf numFmtId="43" fontId="3" fillId="0" borderId="0" applyFill="0" applyBorder="0" applyAlignment="0"/>
    <xf numFmtId="0" fontId="29" fillId="0" borderId="696">
      <alignment horizontal="left" vertical="center"/>
    </xf>
    <xf numFmtId="0" fontId="178" fillId="86" borderId="692" applyNumberFormat="0" applyAlignment="0" applyProtection="0">
      <alignment vertical="center"/>
    </xf>
    <xf numFmtId="0" fontId="18" fillId="79" borderId="668" applyNumberFormat="0" applyAlignment="0" applyProtection="0"/>
    <xf numFmtId="0" fontId="46" fillId="31" borderId="703" applyNumberFormat="0" applyAlignment="0" applyProtection="0"/>
    <xf numFmtId="0" fontId="29" fillId="0" borderId="681">
      <alignment horizontal="left" vertical="center"/>
    </xf>
    <xf numFmtId="0" fontId="18" fillId="79" borderId="692" applyNumberFormat="0" applyAlignment="0" applyProtection="0"/>
    <xf numFmtId="0" fontId="24" fillId="0" borderId="689" applyNumberFormat="0" applyFill="0" applyAlignment="0" applyProtection="0"/>
    <xf numFmtId="0" fontId="34" fillId="86" borderId="701" applyNumberFormat="0" applyAlignment="0" applyProtection="0"/>
    <xf numFmtId="0" fontId="189" fillId="31" borderId="710" applyNumberFormat="0" applyAlignment="0" applyProtection="0">
      <alignment vertical="center"/>
    </xf>
    <xf numFmtId="0" fontId="25" fillId="81" borderId="693" applyNumberFormat="0" applyAlignment="0" applyProtection="0"/>
    <xf numFmtId="0" fontId="18" fillId="79" borderId="692" applyNumberFormat="0" applyAlignment="0" applyProtection="0"/>
    <xf numFmtId="0" fontId="25" fillId="81" borderId="669" applyNumberFormat="0" applyAlignment="0" applyProtection="0"/>
    <xf numFmtId="0" fontId="189" fillId="31" borderId="694" applyNumberFormat="0" applyAlignment="0" applyProtection="0">
      <alignment vertical="center"/>
    </xf>
    <xf numFmtId="0" fontId="7" fillId="35" borderId="709" applyNumberFormat="0" applyFont="0" applyAlignment="0" applyProtection="0"/>
    <xf numFmtId="0" fontId="29" fillId="0" borderId="696">
      <alignment horizontal="left" vertical="center"/>
    </xf>
    <xf numFmtId="0" fontId="34" fillId="86" borderId="684" applyNumberFormat="0" applyAlignment="0" applyProtection="0"/>
    <xf numFmtId="0" fontId="18" fillId="79" borderId="692" applyNumberFormat="0" applyAlignment="0" applyProtection="0"/>
    <xf numFmtId="0" fontId="185" fillId="0" borderId="695" applyNumberFormat="0" applyFont="0">
      <alignment horizontal="center" vertical="center"/>
    </xf>
    <xf numFmtId="0" fontId="29" fillId="0" borderId="699">
      <alignment horizontal="left" vertical="center"/>
    </xf>
    <xf numFmtId="0" fontId="29" fillId="0" borderId="688">
      <alignment horizontal="left" vertical="center"/>
    </xf>
    <xf numFmtId="0" fontId="29" fillId="0" borderId="691">
      <alignment horizontal="left" vertical="center"/>
    </xf>
    <xf numFmtId="0" fontId="168" fillId="35" borderId="709" applyNumberFormat="0" applyFont="0" applyAlignment="0" applyProtection="0">
      <alignment vertical="center"/>
    </xf>
    <xf numFmtId="0" fontId="18" fillId="79" borderId="684" applyNumberFormat="0" applyAlignment="0" applyProtection="0"/>
    <xf numFmtId="0" fontId="29" fillId="0" borderId="679">
      <alignment horizontal="left" vertical="center"/>
    </xf>
    <xf numFmtId="0" fontId="34" fillId="66" borderId="684" applyNumberFormat="0" applyAlignment="0" applyProtection="0"/>
    <xf numFmtId="0" fontId="29" fillId="0" borderId="681">
      <alignment horizontal="left" vertical="center"/>
    </xf>
    <xf numFmtId="0" fontId="29" fillId="0" borderId="681">
      <alignment horizontal="left" vertical="center"/>
    </xf>
    <xf numFmtId="0" fontId="34" fillId="66" borderId="668" applyNumberFormat="0" applyAlignment="0" applyProtection="0"/>
    <xf numFmtId="0" fontId="34" fillId="86" borderId="668" applyNumberFormat="0" applyAlignment="0" applyProtection="0"/>
    <xf numFmtId="0" fontId="34" fillId="86" borderId="668" applyNumberFormat="0" applyAlignment="0" applyProtection="0"/>
    <xf numFmtId="0" fontId="34" fillId="86" borderId="668" applyNumberFormat="0" applyAlignment="0" applyProtection="0"/>
    <xf numFmtId="0" fontId="29" fillId="0" borderId="700" applyNumberFormat="0" applyAlignment="0" applyProtection="0"/>
    <xf numFmtId="0" fontId="202" fillId="31" borderId="668" applyNumberFormat="0" applyAlignment="0" applyProtection="0">
      <alignment vertical="center"/>
    </xf>
    <xf numFmtId="0" fontId="18" fillId="79" borderId="701" applyNumberFormat="0" applyAlignment="0" applyProtection="0"/>
    <xf numFmtId="0" fontId="195" fillId="0" borderId="689" applyNumberFormat="0" applyFill="0" applyAlignment="0" applyProtection="0">
      <alignment vertical="center"/>
    </xf>
    <xf numFmtId="0" fontId="46" fillId="79" borderId="710" applyNumberFormat="0" applyAlignment="0" applyProtection="0"/>
    <xf numFmtId="0" fontId="18" fillId="79" borderId="701" applyNumberFormat="0" applyAlignment="0" applyProtection="0"/>
    <xf numFmtId="0" fontId="178" fillId="86" borderId="708" applyNumberFormat="0" applyAlignment="0" applyProtection="0">
      <alignment vertical="center"/>
    </xf>
    <xf numFmtId="0" fontId="18" fillId="79" borderId="701" applyNumberFormat="0" applyAlignment="0" applyProtection="0"/>
    <xf numFmtId="0" fontId="24" fillId="0" borderId="713" applyNumberFormat="0" applyFill="0" applyAlignment="0" applyProtection="0"/>
    <xf numFmtId="0" fontId="46" fillId="79" borderId="694" applyNumberFormat="0" applyAlignment="0" applyProtection="0"/>
    <xf numFmtId="0" fontId="25" fillId="81" borderId="702" applyNumberFormat="0" applyAlignment="0" applyProtection="0"/>
    <xf numFmtId="43" fontId="3" fillId="0" borderId="0" applyFont="0" applyFill="0" applyBorder="0" applyAlignment="0" applyProtection="0"/>
    <xf numFmtId="0" fontId="18" fillId="79" borderId="708" applyNumberFormat="0" applyAlignment="0" applyProtection="0"/>
    <xf numFmtId="0" fontId="25" fillId="81" borderId="685" applyNumberFormat="0" applyAlignment="0" applyProtection="0"/>
    <xf numFmtId="0" fontId="189" fillId="31" borderId="686" applyNumberFormat="0" applyAlignment="0" applyProtection="0">
      <alignment vertical="center"/>
    </xf>
    <xf numFmtId="0" fontId="29" fillId="0" borderId="705">
      <alignment horizontal="left" vertical="center"/>
    </xf>
    <xf numFmtId="0" fontId="18" fillId="31" borderId="684" applyNumberFormat="0" applyAlignment="0" applyProtection="0"/>
    <xf numFmtId="0" fontId="25" fillId="81" borderId="693" applyNumberFormat="0" applyAlignment="0" applyProtection="0"/>
    <xf numFmtId="0" fontId="25" fillId="81" borderId="693" applyNumberFormat="0" applyAlignment="0" applyProtection="0"/>
    <xf numFmtId="0" fontId="46" fillId="31" borderId="694" applyNumberFormat="0" applyAlignment="0" applyProtection="0"/>
    <xf numFmtId="0" fontId="7" fillId="35" borderId="693" applyNumberFormat="0" applyFont="0" applyAlignment="0" applyProtection="0"/>
    <xf numFmtId="0" fontId="18" fillId="79" borderId="684" applyNumberFormat="0" applyAlignment="0" applyProtection="0"/>
    <xf numFmtId="0" fontId="3" fillId="0" borderId="0"/>
    <xf numFmtId="2" fontId="174" fillId="0" borderId="698" applyFont="0" applyBorder="0" applyAlignment="0" applyProtection="0">
      <alignment horizontal="right"/>
    </xf>
    <xf numFmtId="0" fontId="46" fillId="79" borderId="694" applyNumberFormat="0" applyAlignment="0" applyProtection="0"/>
    <xf numFmtId="0" fontId="18" fillId="79" borderId="701" applyNumberFormat="0" applyAlignment="0" applyProtection="0"/>
    <xf numFmtId="0" fontId="34" fillId="86" borderId="692" applyNumberFormat="0" applyAlignment="0" applyProtection="0"/>
    <xf numFmtId="0" fontId="46" fillId="79" borderId="686" applyNumberFormat="0" applyAlignment="0" applyProtection="0"/>
    <xf numFmtId="0" fontId="18" fillId="79" borderId="684" applyNumberFormat="0" applyAlignment="0" applyProtection="0"/>
    <xf numFmtId="0" fontId="25" fillId="81" borderId="709" applyNumberFormat="0" applyAlignment="0" applyProtection="0"/>
    <xf numFmtId="0" fontId="25" fillId="81" borderId="702" applyNumberFormat="0" applyAlignment="0" applyProtection="0"/>
    <xf numFmtId="0" fontId="29" fillId="0" borderId="700" applyNumberFormat="0" applyAlignment="0" applyProtection="0"/>
    <xf numFmtId="0" fontId="34" fillId="86" borderId="684" applyNumberFormat="0" applyAlignment="0" applyProtection="0"/>
    <xf numFmtId="0" fontId="34" fillId="86" borderId="684" applyNumberFormat="0" applyAlignment="0" applyProtection="0"/>
    <xf numFmtId="0" fontId="25" fillId="81" borderId="669" applyNumberFormat="0" applyAlignment="0" applyProtection="0"/>
    <xf numFmtId="0" fontId="7" fillId="35" borderId="669" applyNumberFormat="0" applyFont="0" applyAlignment="0" applyProtection="0"/>
    <xf numFmtId="0" fontId="178" fillId="86" borderId="684" applyNumberFormat="0" applyAlignment="0" applyProtection="0">
      <alignment vertical="center"/>
    </xf>
    <xf numFmtId="0" fontId="46" fillId="79" borderId="670" applyNumberFormat="0" applyAlignment="0" applyProtection="0"/>
    <xf numFmtId="0" fontId="46" fillId="31" borderId="670" applyNumberFormat="0" applyAlignment="0" applyProtection="0"/>
    <xf numFmtId="0" fontId="46" fillId="79" borderId="670" applyNumberFormat="0" applyAlignment="0" applyProtection="0"/>
    <xf numFmtId="0" fontId="46" fillId="79" borderId="670" applyNumberFormat="0" applyAlignment="0" applyProtection="0"/>
    <xf numFmtId="0" fontId="34" fillId="66" borderId="708" applyNumberFormat="0" applyAlignment="0" applyProtection="0"/>
    <xf numFmtId="0" fontId="34" fillId="66" borderId="684" applyNumberFormat="0" applyAlignment="0" applyProtection="0"/>
    <xf numFmtId="0" fontId="185" fillId="0" borderId="680" applyNumberFormat="0" applyFont="0">
      <alignment horizontal="center" vertical="center"/>
    </xf>
    <xf numFmtId="0" fontId="29" fillId="0" borderId="700" applyNumberFormat="0" applyAlignment="0" applyProtection="0"/>
    <xf numFmtId="0" fontId="29" fillId="0" borderId="700" applyNumberFormat="0" applyAlignment="0" applyProtection="0"/>
    <xf numFmtId="0" fontId="168" fillId="35" borderId="702" applyNumberFormat="0" applyFont="0" applyAlignment="0" applyProtection="0">
      <alignment vertical="center"/>
    </xf>
    <xf numFmtId="0" fontId="195" fillId="0" borderId="713" applyNumberFormat="0" applyFill="0" applyAlignment="0" applyProtection="0">
      <alignment vertical="center"/>
    </xf>
    <xf numFmtId="0" fontId="34" fillId="86" borderId="684" applyNumberFormat="0" applyAlignment="0" applyProtection="0"/>
    <xf numFmtId="0" fontId="178" fillId="86" borderId="692" applyNumberFormat="0" applyAlignment="0" applyProtection="0">
      <alignment vertical="center"/>
    </xf>
    <xf numFmtId="0" fontId="34" fillId="66" borderId="692" applyNumberFormat="0" applyAlignment="0" applyProtection="0"/>
    <xf numFmtId="0" fontId="178" fillId="86" borderId="701" applyNumberFormat="0" applyAlignment="0" applyProtection="0">
      <alignment vertical="center"/>
    </xf>
    <xf numFmtId="0" fontId="202" fillId="31" borderId="708" applyNumberFormat="0" applyAlignment="0" applyProtection="0">
      <alignment vertical="center"/>
    </xf>
    <xf numFmtId="0" fontId="185" fillId="0" borderId="711" applyNumberFormat="0" applyFont="0">
      <alignment horizontal="center" vertical="center"/>
    </xf>
    <xf numFmtId="2" fontId="174" fillId="0" borderId="690" applyFont="0" applyBorder="0" applyAlignment="0" applyProtection="0">
      <alignment horizontal="right"/>
    </xf>
    <xf numFmtId="0" fontId="3" fillId="0" borderId="0"/>
    <xf numFmtId="0" fontId="34" fillId="66" borderId="692" applyNumberFormat="0" applyAlignment="0" applyProtection="0"/>
    <xf numFmtId="0" fontId="29" fillId="0" borderId="688">
      <alignment horizontal="left" vertical="center"/>
    </xf>
    <xf numFmtId="0" fontId="34" fillId="86" borderId="701" applyNumberFormat="0" applyAlignment="0" applyProtection="0"/>
    <xf numFmtId="0" fontId="34" fillId="86" borderId="708" applyNumberFormat="0" applyAlignment="0" applyProtection="0"/>
    <xf numFmtId="0" fontId="168" fillId="35" borderId="669" applyNumberFormat="0" applyFont="0" applyAlignment="0" applyProtection="0">
      <alignment vertical="center"/>
    </xf>
    <xf numFmtId="0" fontId="189" fillId="31" borderId="670" applyNumberFormat="0" applyAlignment="0" applyProtection="0">
      <alignment vertical="center"/>
    </xf>
    <xf numFmtId="0" fontId="34" fillId="86" borderId="692" applyNumberFormat="0" applyAlignment="0" applyProtection="0"/>
    <xf numFmtId="0" fontId="202" fillId="31" borderId="668" applyNumberFormat="0" applyAlignment="0" applyProtection="0">
      <alignment vertical="center"/>
    </xf>
    <xf numFmtId="0" fontId="34" fillId="86" borderId="684" applyNumberFormat="0" applyAlignment="0" applyProtection="0"/>
    <xf numFmtId="0" fontId="3" fillId="0" borderId="0"/>
    <xf numFmtId="0" fontId="195" fillId="0" borderId="671" applyNumberFormat="0" applyFill="0" applyAlignment="0" applyProtection="0">
      <alignment vertical="center"/>
    </xf>
    <xf numFmtId="9" fontId="1" fillId="0" borderId="0" applyFont="0" applyFill="0" applyBorder="0" applyAlignment="0" applyProtection="0"/>
    <xf numFmtId="0" fontId="34" fillId="66" borderId="708" applyNumberFormat="0" applyAlignment="0" applyProtection="0"/>
    <xf numFmtId="0" fontId="34" fillId="86" borderId="701" applyNumberFormat="0" applyAlignment="0" applyProtection="0"/>
    <xf numFmtId="43" fontId="1" fillId="0" borderId="0" applyFont="0" applyFill="0" applyBorder="0" applyAlignment="0" applyProtection="0"/>
    <xf numFmtId="9" fontId="3" fillId="0" borderId="0" applyFont="0" applyFill="0" applyBorder="0" applyAlignment="0" applyProtection="0"/>
    <xf numFmtId="0" fontId="34" fillId="86" borderId="701" applyNumberFormat="0" applyAlignment="0" applyProtection="0"/>
    <xf numFmtId="0" fontId="18" fillId="79" borderId="708" applyNumberFormat="0" applyAlignment="0" applyProtection="0"/>
    <xf numFmtId="0" fontId="29" fillId="0" borderId="712">
      <alignment horizontal="left" vertical="center"/>
    </xf>
    <xf numFmtId="43" fontId="1" fillId="0" borderId="0" applyFont="0" applyFill="0" applyBorder="0" applyAlignment="0" applyProtection="0"/>
    <xf numFmtId="0" fontId="168" fillId="35" borderId="685" applyNumberFormat="0" applyFont="0" applyAlignment="0" applyProtection="0">
      <alignment vertical="center"/>
    </xf>
    <xf numFmtId="0" fontId="34" fillId="86" borderId="684" applyNumberFormat="0" applyAlignment="0" applyProtection="0"/>
    <xf numFmtId="0" fontId="29" fillId="0" borderId="696">
      <alignment horizontal="left" vertical="center"/>
    </xf>
    <xf numFmtId="0" fontId="24" fillId="0" borderId="689" applyNumberFormat="0" applyFill="0" applyAlignment="0" applyProtection="0"/>
    <xf numFmtId="0" fontId="168" fillId="35" borderId="685" applyNumberFormat="0" applyFont="0" applyAlignment="0" applyProtection="0">
      <alignment vertical="center"/>
    </xf>
    <xf numFmtId="0" fontId="189" fillId="31" borderId="686" applyNumberFormat="0" applyAlignment="0" applyProtection="0">
      <alignment vertical="center"/>
    </xf>
    <xf numFmtId="0" fontId="34" fillId="86" borderId="701" applyNumberFormat="0" applyAlignment="0" applyProtection="0"/>
    <xf numFmtId="0" fontId="29" fillId="0" borderId="712">
      <alignment horizontal="left" vertical="center"/>
    </xf>
    <xf numFmtId="0" fontId="202" fillId="31" borderId="684" applyNumberFormat="0" applyAlignment="0" applyProtection="0">
      <alignment vertical="center"/>
    </xf>
    <xf numFmtId="0" fontId="195" fillId="0" borderId="689" applyNumberFormat="0" applyFill="0" applyAlignment="0" applyProtection="0">
      <alignment vertical="center"/>
    </xf>
    <xf numFmtId="43" fontId="3" fillId="0" borderId="0" applyFont="0" applyFill="0" applyBorder="0" applyAlignment="0" applyProtection="0"/>
    <xf numFmtId="9" fontId="3" fillId="0" borderId="0" applyFont="0" applyFill="0" applyBorder="0" applyAlignment="0" applyProtection="0"/>
    <xf numFmtId="0" fontId="34" fillId="86" borderId="701" applyNumberFormat="0" applyAlignment="0" applyProtection="0"/>
    <xf numFmtId="0" fontId="34" fillId="86" borderId="708" applyNumberFormat="0" applyAlignment="0" applyProtection="0"/>
    <xf numFmtId="0" fontId="34" fillId="86" borderId="692" applyNumberFormat="0" applyAlignment="0" applyProtection="0"/>
    <xf numFmtId="0" fontId="18" fillId="31" borderId="701" applyNumberFormat="0" applyAlignment="0" applyProtection="0"/>
    <xf numFmtId="0" fontId="29" fillId="0" borderId="712">
      <alignment horizontal="left" vertical="center"/>
    </xf>
    <xf numFmtId="0" fontId="46" fillId="79" borderId="703" applyNumberFormat="0" applyAlignment="0" applyProtection="0"/>
    <xf numFmtId="0" fontId="24" fillId="0" borderId="713" applyNumberFormat="0" applyFill="0" applyAlignment="0" applyProtection="0"/>
    <xf numFmtId="0" fontId="34" fillId="86" borderId="708" applyNumberFormat="0" applyAlignment="0" applyProtection="0"/>
    <xf numFmtId="0" fontId="168" fillId="35" borderId="693" applyNumberFormat="0" applyFont="0" applyAlignment="0" applyProtection="0">
      <alignment vertical="center"/>
    </xf>
    <xf numFmtId="43" fontId="3" fillId="0" borderId="0" applyFont="0" applyFill="0" applyBorder="0" applyAlignment="0" applyProtection="0"/>
    <xf numFmtId="0" fontId="189" fillId="31" borderId="694" applyNumberFormat="0" applyAlignment="0" applyProtection="0">
      <alignment vertical="center"/>
    </xf>
    <xf numFmtId="0" fontId="202" fillId="31" borderId="692" applyNumberFormat="0" applyAlignment="0" applyProtection="0">
      <alignment vertical="center"/>
    </xf>
    <xf numFmtId="0" fontId="195" fillId="0" borderId="697" applyNumberFormat="0" applyFill="0" applyAlignment="0" applyProtection="0">
      <alignment vertical="center"/>
    </xf>
    <xf numFmtId="0" fontId="189" fillId="31" borderId="703" applyNumberFormat="0" applyAlignment="0" applyProtection="0">
      <alignment vertical="center"/>
    </xf>
    <xf numFmtId="9" fontId="3" fillId="0" borderId="0" applyFont="0" applyFill="0" applyBorder="0" applyAlignment="0" applyProtection="0"/>
    <xf numFmtId="0" fontId="34" fillId="86" borderId="708" applyNumberFormat="0" applyAlignment="0" applyProtection="0"/>
    <xf numFmtId="0" fontId="195" fillId="0" borderId="706" applyNumberFormat="0" applyFill="0" applyAlignment="0" applyProtection="0">
      <alignment vertical="center"/>
    </xf>
    <xf numFmtId="0" fontId="34" fillId="66" borderId="701" applyNumberFormat="0" applyAlignment="0" applyProtection="0"/>
    <xf numFmtId="0" fontId="24" fillId="0" borderId="706" applyNumberFormat="0" applyFill="0" applyAlignment="0" applyProtection="0"/>
    <xf numFmtId="0" fontId="29" fillId="0" borderId="707" applyNumberFormat="0" applyAlignment="0" applyProtection="0"/>
    <xf numFmtId="0" fontId="29" fillId="0" borderId="707" applyNumberFormat="0" applyAlignment="0" applyProtection="0"/>
    <xf numFmtId="0" fontId="29" fillId="0" borderId="707" applyNumberFormat="0" applyAlignment="0" applyProtection="0"/>
    <xf numFmtId="0" fontId="168" fillId="35" borderId="702" applyNumberFormat="0" applyFont="0" applyAlignment="0" applyProtection="0">
      <alignment vertical="center"/>
    </xf>
    <xf numFmtId="0" fontId="189" fillId="31" borderId="703" applyNumberFormat="0" applyAlignment="0" applyProtection="0">
      <alignment vertical="center"/>
    </xf>
    <xf numFmtId="0" fontId="202" fillId="31" borderId="701" applyNumberFormat="0" applyAlignment="0" applyProtection="0">
      <alignment vertical="center"/>
    </xf>
    <xf numFmtId="0" fontId="34" fillId="86" borderId="708" applyNumberFormat="0" applyAlignment="0" applyProtection="0"/>
    <xf numFmtId="0" fontId="3" fillId="0" borderId="0"/>
    <xf numFmtId="0" fontId="195" fillId="0" borderId="706" applyNumberFormat="0" applyFill="0" applyAlignment="0" applyProtection="0">
      <alignment vertical="center"/>
    </xf>
    <xf numFmtId="43" fontId="1"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68" fillId="35" borderId="709" applyNumberFormat="0" applyFont="0" applyAlignment="0" applyProtection="0">
      <alignment vertical="center"/>
    </xf>
    <xf numFmtId="0" fontId="189" fillId="31" borderId="710" applyNumberFormat="0" applyAlignment="0" applyProtection="0">
      <alignment vertical="center"/>
    </xf>
    <xf numFmtId="0" fontId="202" fillId="31" borderId="708" applyNumberFormat="0" applyAlignment="0" applyProtection="0">
      <alignment vertical="center"/>
    </xf>
    <xf numFmtId="0" fontId="195" fillId="0" borderId="713" applyNumberFormat="0" applyFill="0" applyAlignment="0" applyProtection="0">
      <alignment vertical="center"/>
    </xf>
    <xf numFmtId="9" fontId="3" fillId="0" borderId="0" applyFont="0" applyFill="0" applyBorder="0" applyAlignment="0" applyProtection="0"/>
    <xf numFmtId="0" fontId="213" fillId="0" borderId="0"/>
    <xf numFmtId="43" fontId="1" fillId="0" borderId="0" applyFont="0" applyFill="0" applyBorder="0" applyAlignment="0" applyProtection="0"/>
    <xf numFmtId="0" fontId="34" fillId="66" borderId="720" applyNumberFormat="0" applyAlignment="0" applyProtection="0"/>
    <xf numFmtId="9" fontId="214" fillId="0" borderId="0" applyFont="0" applyFill="0" applyBorder="0" applyAlignment="0" applyProtection="0"/>
    <xf numFmtId="0" fontId="18" fillId="79" borderId="760" applyNumberFormat="0" applyAlignment="0" applyProtection="0"/>
    <xf numFmtId="0" fontId="46" fillId="79" borderId="753" applyNumberFormat="0" applyAlignment="0" applyProtection="0"/>
    <xf numFmtId="0" fontId="18" fillId="79" borderId="769" applyNumberFormat="0" applyAlignment="0" applyProtection="0"/>
    <xf numFmtId="0" fontId="34" fillId="86" borderId="799" applyNumberFormat="0" applyAlignment="0" applyProtection="0"/>
    <xf numFmtId="0" fontId="18" fillId="79" borderId="751" applyNumberFormat="0" applyAlignment="0" applyProtection="0"/>
    <xf numFmtId="0" fontId="24" fillId="0" borderId="774" applyNumberFormat="0" applyFill="0" applyAlignment="0" applyProtection="0"/>
    <xf numFmtId="0" fontId="213" fillId="0" borderId="0"/>
    <xf numFmtId="0" fontId="215" fillId="0" borderId="0"/>
    <xf numFmtId="0" fontId="46" fillId="79" borderId="771" applyNumberFormat="0" applyAlignment="0" applyProtection="0"/>
    <xf numFmtId="0" fontId="195" fillId="0" borderId="724" applyNumberFormat="0" applyFill="0" applyAlignment="0" applyProtection="0">
      <alignment vertical="center"/>
    </xf>
    <xf numFmtId="0" fontId="214" fillId="0" borderId="0"/>
    <xf numFmtId="0" fontId="34" fillId="86" borderId="725" applyNumberFormat="0" applyAlignment="0" applyProtection="0"/>
    <xf numFmtId="0" fontId="202" fillId="31" borderId="720" applyNumberFormat="0" applyAlignment="0" applyProtection="0">
      <alignment vertical="center"/>
    </xf>
    <xf numFmtId="0" fontId="7" fillId="35" borderId="744" applyNumberFormat="0" applyFont="0" applyAlignment="0" applyProtection="0"/>
    <xf numFmtId="0" fontId="46" fillId="79" borderId="727" applyNumberFormat="0" applyAlignment="0" applyProtection="0"/>
    <xf numFmtId="0" fontId="34" fillId="86" borderId="743" applyNumberFormat="0" applyAlignment="0" applyProtection="0"/>
    <xf numFmtId="0" fontId="189" fillId="31" borderId="722" applyNumberFormat="0" applyAlignment="0" applyProtection="0">
      <alignment vertical="center"/>
    </xf>
    <xf numFmtId="0" fontId="34" fillId="86" borderId="751" applyNumberFormat="0" applyAlignment="0" applyProtection="0"/>
    <xf numFmtId="0" fontId="34" fillId="86" borderId="760" applyNumberFormat="0" applyAlignment="0" applyProtection="0"/>
    <xf numFmtId="0" fontId="168" fillId="35" borderId="721" applyNumberFormat="0" applyFont="0" applyAlignment="0" applyProtection="0">
      <alignment vertical="center"/>
    </xf>
    <xf numFmtId="0" fontId="29" fillId="0" borderId="750" applyNumberFormat="0" applyAlignment="0" applyProtection="0"/>
    <xf numFmtId="0" fontId="73" fillId="8" borderId="769" applyNumberFormat="0" applyAlignment="0" applyProtection="0">
      <alignment vertical="center"/>
    </xf>
    <xf numFmtId="0" fontId="24" fillId="0" borderId="724" applyNumberFormat="0" applyFill="0" applyAlignment="0" applyProtection="0"/>
    <xf numFmtId="0" fontId="168" fillId="35" borderId="761" applyNumberFormat="0" applyFont="0" applyAlignment="0" applyProtection="0">
      <alignment vertical="center"/>
    </xf>
    <xf numFmtId="0" fontId="29" fillId="0" borderId="742" applyNumberFormat="0" applyAlignment="0" applyProtection="0"/>
    <xf numFmtId="0" fontId="18" fillId="79" borderId="743" applyNumberFormat="0" applyAlignment="0" applyProtection="0"/>
    <xf numFmtId="0" fontId="189" fillId="31" borderId="794" applyNumberFormat="0" applyAlignment="0" applyProtection="0">
      <alignment vertical="center"/>
    </xf>
    <xf numFmtId="0" fontId="24" fillId="0" borderId="738" applyNumberFormat="0" applyFill="0" applyAlignment="0" applyProtection="0"/>
    <xf numFmtId="43" fontId="1" fillId="0" borderId="0" applyFont="0" applyFill="0" applyBorder="0" applyAlignment="0" applyProtection="0"/>
    <xf numFmtId="0" fontId="46" fillId="79" borderId="771" applyNumberFormat="0" applyAlignment="0" applyProtection="0"/>
    <xf numFmtId="0" fontId="34" fillId="86" borderId="725" applyNumberFormat="0" applyAlignment="0" applyProtection="0"/>
    <xf numFmtId="0" fontId="18" fillId="29" borderId="769" applyNumberFormat="0" applyAlignment="0" applyProtection="0"/>
    <xf numFmtId="0" fontId="25" fillId="81" borderId="744" applyNumberFormat="0" applyAlignment="0" applyProtection="0"/>
    <xf numFmtId="0" fontId="29" fillId="0" borderId="733" applyNumberFormat="0" applyAlignment="0" applyProtection="0"/>
    <xf numFmtId="0" fontId="178" fillId="86" borderId="743" applyNumberFormat="0" applyAlignment="0" applyProtection="0">
      <alignment vertical="center"/>
    </xf>
    <xf numFmtId="0" fontId="29" fillId="0" borderId="746">
      <alignment horizontal="left" vertical="center"/>
    </xf>
    <xf numFmtId="0" fontId="178" fillId="86" borderId="725" applyNumberFormat="0" applyAlignment="0" applyProtection="0">
      <alignment vertical="center"/>
    </xf>
    <xf numFmtId="0" fontId="34" fillId="8" borderId="769" applyNumberFormat="0" applyAlignment="0" applyProtection="0"/>
    <xf numFmtId="0" fontId="34" fillId="8" borderId="792" applyNumberFormat="0" applyAlignment="0" applyProtection="0"/>
    <xf numFmtId="0" fontId="2" fillId="37" borderId="770" applyNumberFormat="0" applyFont="0" applyAlignment="0" applyProtection="0">
      <alignment vertical="center"/>
    </xf>
    <xf numFmtId="0" fontId="25" fillId="81" borderId="800" applyNumberFormat="0" applyAlignment="0" applyProtection="0"/>
    <xf numFmtId="0" fontId="29" fillId="0" borderId="746">
      <alignment horizontal="left" vertical="center"/>
    </xf>
    <xf numFmtId="0" fontId="18" fillId="31" borderId="760" applyNumberFormat="0" applyAlignment="0" applyProtection="0"/>
    <xf numFmtId="0" fontId="215" fillId="0" borderId="0"/>
    <xf numFmtId="0" fontId="214" fillId="0" borderId="0"/>
    <xf numFmtId="0" fontId="185" fillId="0" borderId="731" applyNumberFormat="0" applyFont="0">
      <alignment horizontal="center" vertical="center"/>
    </xf>
    <xf numFmtId="2" fontId="174" fillId="0" borderId="766" applyFont="0" applyBorder="0" applyAlignment="0" applyProtection="0">
      <alignment horizontal="right"/>
    </xf>
    <xf numFmtId="0" fontId="34" fillId="86" borderId="792" applyNumberFormat="0" applyAlignment="0" applyProtection="0"/>
    <xf numFmtId="0" fontId="46" fillId="79" borderId="745" applyNumberFormat="0" applyAlignment="0" applyProtection="0"/>
    <xf numFmtId="0" fontId="29" fillId="0" borderId="749">
      <alignment horizontal="left" vertical="center"/>
    </xf>
    <xf numFmtId="0" fontId="46" fillId="79" borderId="722" applyNumberFormat="0" applyAlignment="0" applyProtection="0"/>
    <xf numFmtId="0" fontId="46" fillId="79" borderId="722" applyNumberFormat="0" applyAlignment="0" applyProtection="0"/>
    <xf numFmtId="0" fontId="46" fillId="31" borderId="722" applyNumberFormat="0" applyAlignment="0" applyProtection="0"/>
    <xf numFmtId="0" fontId="46" fillId="79" borderId="722" applyNumberFormat="0" applyAlignment="0" applyProtection="0"/>
    <xf numFmtId="0" fontId="34" fillId="8" borderId="769" applyNumberFormat="0" applyAlignment="0" applyProtection="0"/>
    <xf numFmtId="0" fontId="34" fillId="86" borderId="725" applyNumberFormat="0" applyAlignment="0" applyProtection="0"/>
    <xf numFmtId="0" fontId="34" fillId="8" borderId="780" applyNumberFormat="0" applyAlignment="0" applyProtection="0"/>
    <xf numFmtId="0" fontId="7" fillId="35" borderId="721" applyNumberFormat="0" applyFont="0" applyAlignment="0" applyProtection="0"/>
    <xf numFmtId="0" fontId="25" fillId="81" borderId="721" applyNumberFormat="0" applyAlignment="0" applyProtection="0"/>
    <xf numFmtId="0" fontId="185" fillId="0" borderId="763" applyNumberFormat="0" applyFont="0">
      <alignment horizontal="center" vertical="center"/>
    </xf>
    <xf numFmtId="0" fontId="34" fillId="86" borderId="769" applyNumberFormat="0" applyAlignment="0" applyProtection="0"/>
    <xf numFmtId="0" fontId="34" fillId="86" borderId="792" applyNumberFormat="0" applyAlignment="0" applyProtection="0"/>
    <xf numFmtId="0" fontId="18" fillId="31" borderId="725" applyNumberFormat="0" applyAlignment="0" applyProtection="0"/>
    <xf numFmtId="0" fontId="25" fillId="81" borderId="744" applyNumberFormat="0" applyAlignment="0" applyProtection="0"/>
    <xf numFmtId="0" fontId="168" fillId="35" borderId="744" applyNumberFormat="0" applyFont="0" applyAlignment="0" applyProtection="0">
      <alignment vertical="center"/>
    </xf>
    <xf numFmtId="2" fontId="174" fillId="0" borderId="748" applyFont="0" applyBorder="0" applyAlignment="0" applyProtection="0">
      <alignment horizontal="right"/>
    </xf>
    <xf numFmtId="0" fontId="74" fillId="29" borderId="788" applyNumberFormat="0" applyAlignment="0" applyProtection="0">
      <alignment vertical="center"/>
    </xf>
    <xf numFmtId="0" fontId="18" fillId="79" borderId="799" applyNumberFormat="0" applyAlignment="0" applyProtection="0"/>
    <xf numFmtId="0" fontId="18" fillId="79" borderId="725" applyNumberFormat="0" applyAlignment="0" applyProtection="0"/>
    <xf numFmtId="0" fontId="46" fillId="79" borderId="736" applyNumberFormat="0" applyAlignment="0" applyProtection="0"/>
    <xf numFmtId="0" fontId="34" fillId="86" borderId="743" applyNumberFormat="0" applyAlignment="0" applyProtection="0"/>
    <xf numFmtId="0" fontId="25" fillId="81" borderId="744" applyNumberFormat="0" applyAlignment="0" applyProtection="0"/>
    <xf numFmtId="0" fontId="46" fillId="79" borderId="794" applyNumberFormat="0" applyAlignment="0" applyProtection="0"/>
    <xf numFmtId="0" fontId="29" fillId="0" borderId="737">
      <alignment horizontal="left" vertical="center"/>
    </xf>
    <xf numFmtId="0" fontId="185" fillId="0" borderId="754" applyNumberFormat="0" applyFont="0">
      <alignment horizontal="center" vertical="center"/>
    </xf>
    <xf numFmtId="0" fontId="34" fillId="86" borderId="751" applyNumberFormat="0" applyAlignment="0" applyProtection="0"/>
    <xf numFmtId="0" fontId="34" fillId="86" borderId="743" applyNumberFormat="0" applyAlignment="0" applyProtection="0"/>
    <xf numFmtId="43" fontId="3" fillId="0" borderId="0" applyFill="0" applyBorder="0" applyAlignment="0"/>
    <xf numFmtId="43" fontId="3" fillId="0" borderId="0" applyFill="0" applyBorder="0" applyAlignment="0"/>
    <xf numFmtId="43" fontId="3" fillId="0" borderId="0" applyFill="0" applyBorder="0" applyAlignment="0"/>
    <xf numFmtId="43" fontId="3" fillId="0" borderId="0" applyFill="0" applyBorder="0" applyAlignment="0"/>
    <xf numFmtId="0" fontId="24" fillId="0" borderId="795" applyNumberFormat="0" applyFill="0" applyAlignment="0" applyProtection="0"/>
    <xf numFmtId="0" fontId="29" fillId="0" borderId="785" applyNumberFormat="0" applyAlignment="0" applyProtection="0"/>
    <xf numFmtId="0" fontId="7" fillId="35" borderId="735" applyNumberFormat="0" applyFont="0" applyAlignment="0" applyProtection="0"/>
    <xf numFmtId="0" fontId="189" fillId="31" borderId="727" applyNumberFormat="0" applyAlignment="0" applyProtection="0">
      <alignment vertical="center"/>
    </xf>
    <xf numFmtId="0" fontId="202" fillId="31" borderId="734" applyNumberFormat="0" applyAlignment="0" applyProtection="0">
      <alignment vertical="center"/>
    </xf>
    <xf numFmtId="0" fontId="34" fillId="86" borderId="760" applyNumberFormat="0" applyAlignment="0" applyProtection="0"/>
    <xf numFmtId="0" fontId="25" fillId="81" borderId="726" applyNumberFormat="0" applyAlignment="0" applyProtection="0"/>
    <xf numFmtId="0" fontId="46" fillId="79" borderId="771" applyNumberFormat="0" applyAlignment="0" applyProtection="0"/>
    <xf numFmtId="43" fontId="3" fillId="0" borderId="0" applyFont="0" applyFill="0" applyBorder="0" applyAlignment="0" applyProtection="0"/>
    <xf numFmtId="2" fontId="174" fillId="0" borderId="796" applyFont="0" applyBorder="0" applyAlignment="0" applyProtection="0">
      <alignment horizontal="right"/>
    </xf>
    <xf numFmtId="43" fontId="3" fillId="0" borderId="0" applyFill="0" applyBorder="0" applyAlignment="0"/>
    <xf numFmtId="43" fontId="3" fillId="0" borderId="0" applyFill="0" applyBorder="0" applyAlignment="0"/>
    <xf numFmtId="43" fontId="3" fillId="0" borderId="0" applyFill="0" applyBorder="0" applyAlignment="0"/>
    <xf numFmtId="43" fontId="3" fillId="0" borderId="0" applyFill="0" applyBorder="0" applyAlignment="0"/>
    <xf numFmtId="0" fontId="73" fillId="8" borderId="769" applyNumberFormat="0" applyAlignment="0" applyProtection="0">
      <alignment vertical="center"/>
    </xf>
    <xf numFmtId="0" fontId="34" fillId="8" borderId="769" applyNumberFormat="0" applyAlignment="0" applyProtection="0"/>
    <xf numFmtId="0" fontId="7" fillId="37" borderId="781" applyNumberFormat="0" applyFont="0" applyAlignment="0" applyProtection="0"/>
    <xf numFmtId="0" fontId="18" fillId="31" borderId="656" applyNumberFormat="0" applyAlignment="0" applyProtection="0"/>
    <xf numFmtId="0" fontId="46" fillId="79" borderId="736" applyNumberFormat="0" applyAlignment="0" applyProtection="0"/>
    <xf numFmtId="0" fontId="18" fillId="79" borderId="656" applyNumberFormat="0" applyAlignment="0" applyProtection="0"/>
    <xf numFmtId="0" fontId="46" fillId="31" borderId="736" applyNumberFormat="0" applyAlignment="0" applyProtection="0"/>
    <xf numFmtId="0" fontId="34" fillId="86" borderId="725" applyNumberFormat="0" applyAlignment="0" applyProtection="0"/>
    <xf numFmtId="0" fontId="34" fillId="86" borderId="725" applyNumberFormat="0" applyAlignment="0" applyProtection="0"/>
    <xf numFmtId="0" fontId="34" fillId="8" borderId="769" applyNumberFormat="0" applyAlignment="0" applyProtection="0"/>
    <xf numFmtId="0" fontId="34" fillId="86" borderId="743" applyNumberFormat="0" applyAlignment="0" applyProtection="0"/>
    <xf numFmtId="0" fontId="34" fillId="8" borderId="769" applyNumberFormat="0" applyAlignment="0" applyProtection="0"/>
    <xf numFmtId="2" fontId="148" fillId="0" borderId="776" applyFont="0" applyBorder="0" applyAlignment="0" applyProtection="0">
      <alignment horizontal="right"/>
    </xf>
    <xf numFmtId="0" fontId="18" fillId="79" borderId="760" applyNumberFormat="0" applyAlignment="0" applyProtection="0"/>
    <xf numFmtId="0" fontId="149" fillId="0" borderId="777" applyNumberFormat="0" applyFont="0">
      <alignment horizontal="center" vertical="center"/>
    </xf>
    <xf numFmtId="0" fontId="168" fillId="35" borderId="793" applyNumberFormat="0" applyFont="0" applyAlignment="0" applyProtection="0">
      <alignment vertical="center"/>
    </xf>
    <xf numFmtId="0" fontId="178" fillId="86" borderId="751" applyNumberFormat="0" applyAlignment="0" applyProtection="0">
      <alignment vertical="center"/>
    </xf>
    <xf numFmtId="0" fontId="24" fillId="0" borderId="765" applyNumberFormat="0" applyFill="0" applyAlignment="0" applyProtection="0"/>
    <xf numFmtId="0" fontId="34" fillId="86" borderId="751" applyNumberFormat="0" applyAlignment="0" applyProtection="0"/>
    <xf numFmtId="0" fontId="29" fillId="0" borderId="768" applyNumberFormat="0" applyAlignment="0" applyProtection="0"/>
    <xf numFmtId="0" fontId="34" fillId="86" borderId="734" applyNumberFormat="0" applyAlignment="0" applyProtection="0"/>
    <xf numFmtId="0" fontId="34" fillId="66" borderId="784" applyNumberFormat="0" applyAlignment="0" applyProtection="0"/>
    <xf numFmtId="0" fontId="202" fillId="31" borderId="720" applyNumberFormat="0" applyAlignment="0" applyProtection="0">
      <alignment vertical="center"/>
    </xf>
    <xf numFmtId="41" fontId="3" fillId="0" borderId="0" applyFont="0" applyFill="0" applyBorder="0" applyAlignment="0" applyProtection="0"/>
    <xf numFmtId="0" fontId="178" fillId="86" borderId="734" applyNumberFormat="0" applyAlignment="0" applyProtection="0">
      <alignment vertical="center"/>
    </xf>
    <xf numFmtId="43" fontId="1" fillId="0" borderId="0" applyFont="0" applyFill="0" applyBorder="0" applyAlignment="0" applyProtection="0"/>
    <xf numFmtId="0" fontId="34" fillId="86" borderId="720"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0" fontId="34" fillId="66" borderId="734" applyNumberFormat="0" applyAlignment="0" applyProtection="0"/>
    <xf numFmtId="0" fontId="34" fillId="86" borderId="720" applyNumberFormat="0" applyAlignment="0" applyProtection="0"/>
    <xf numFmtId="0" fontId="34" fillId="86" borderId="720" applyNumberFormat="0" applyAlignment="0" applyProtection="0"/>
    <xf numFmtId="0" fontId="34" fillId="66" borderId="720"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0" fontId="29" fillId="0" borderId="741">
      <alignment horizontal="left" vertical="center"/>
    </xf>
    <xf numFmtId="43" fontId="1" fillId="0" borderId="0" applyFont="0" applyFill="0" applyBorder="0" applyAlignment="0" applyProtection="0"/>
    <xf numFmtId="0" fontId="29" fillId="0" borderId="723">
      <alignment horizontal="left" vertical="center"/>
    </xf>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29" fillId="0" borderId="723">
      <alignment horizontal="left" vertical="center"/>
    </xf>
    <xf numFmtId="0" fontId="34" fillId="66" borderId="725" applyNumberFormat="0" applyAlignment="0" applyProtection="0"/>
    <xf numFmtId="43" fontId="3" fillId="0" borderId="0" applyFont="0" applyFill="0" applyBorder="0" applyAlignment="0" applyProtection="0"/>
    <xf numFmtId="0" fontId="34" fillId="66" borderId="725" applyNumberFormat="0" applyAlignment="0" applyProtection="0"/>
    <xf numFmtId="0" fontId="34" fillId="66" borderId="725" applyNumberFormat="0" applyAlignment="0" applyProtection="0"/>
    <xf numFmtId="0" fontId="7" fillId="37" borderId="770" applyNumberFormat="0" applyFont="0" applyAlignment="0" applyProtection="0"/>
    <xf numFmtId="0" fontId="34" fillId="66" borderId="734" applyNumberFormat="0" applyAlignment="0" applyProtection="0"/>
    <xf numFmtId="2" fontId="148" fillId="0" borderId="776" applyFont="0" applyBorder="0" applyAlignment="0" applyProtection="0">
      <alignment horizontal="right"/>
    </xf>
    <xf numFmtId="43" fontId="3" fillId="0" borderId="0" applyFill="0" applyBorder="0" applyAlignment="0" applyProtection="0"/>
    <xf numFmtId="0" fontId="34" fillId="66" borderId="751" applyNumberFormat="0" applyAlignment="0" applyProtection="0"/>
    <xf numFmtId="0" fontId="34" fillId="8" borderId="784" applyNumberFormat="0" applyAlignment="0" applyProtection="0"/>
    <xf numFmtId="43" fontId="1" fillId="0" borderId="0" applyFont="0" applyFill="0" applyBorder="0" applyAlignment="0" applyProtection="0"/>
    <xf numFmtId="0" fontId="34" fillId="86" borderId="769" applyNumberFormat="0" applyAlignment="0" applyProtection="0"/>
    <xf numFmtId="43" fontId="43" fillId="0" borderId="0" applyFont="0" applyFill="0" applyBorder="0" applyAlignment="0" applyProtection="0"/>
    <xf numFmtId="0" fontId="46" fillId="79" borderId="745" applyNumberFormat="0" applyAlignment="0" applyProtection="0"/>
    <xf numFmtId="43" fontId="1" fillId="0" borderId="0" applyFont="0" applyFill="0" applyBorder="0" applyAlignment="0" applyProtection="0"/>
    <xf numFmtId="0" fontId="34" fillId="86" borderId="734" applyNumberFormat="0" applyAlignment="0" applyProtection="0"/>
    <xf numFmtId="0" fontId="34" fillId="66" borderId="792" applyNumberFormat="0" applyAlignment="0" applyProtection="0"/>
    <xf numFmtId="0" fontId="34" fillId="66" borderId="760" applyNumberFormat="0" applyAlignment="0" applyProtection="0"/>
    <xf numFmtId="0" fontId="24" fillId="0" borderId="724" applyNumberFormat="0" applyFill="0" applyAlignment="0" applyProtection="0"/>
    <xf numFmtId="0" fontId="82" fillId="29" borderId="784" applyNumberFormat="0" applyAlignment="0" applyProtection="0">
      <alignment vertical="center"/>
    </xf>
    <xf numFmtId="0" fontId="25" fillId="81" borderId="726" applyNumberFormat="0" applyAlignment="0" applyProtection="0"/>
    <xf numFmtId="0" fontId="46" fillId="79" borderId="788" applyNumberFormat="0" applyAlignment="0" applyProtection="0"/>
    <xf numFmtId="0" fontId="18" fillId="79" borderId="799" applyNumberFormat="0" applyAlignment="0" applyProtection="0"/>
    <xf numFmtId="0" fontId="178" fillId="86" borderId="760" applyNumberFormat="0" applyAlignment="0" applyProtection="0">
      <alignment vertical="center"/>
    </xf>
    <xf numFmtId="0" fontId="29" fillId="0" borderId="746">
      <alignment horizontal="left" vertical="center"/>
    </xf>
    <xf numFmtId="0" fontId="46" fillId="79" borderId="753" applyNumberFormat="0" applyAlignment="0" applyProtection="0"/>
    <xf numFmtId="0" fontId="18" fillId="79" borderId="725" applyNumberFormat="0" applyAlignment="0" applyProtection="0"/>
    <xf numFmtId="0" fontId="178" fillId="86" borderId="760" applyNumberFormat="0" applyAlignment="0" applyProtection="0">
      <alignment vertical="center"/>
    </xf>
    <xf numFmtId="0" fontId="29" fillId="0" borderId="737">
      <alignment horizontal="left" vertical="center"/>
    </xf>
    <xf numFmtId="0" fontId="34" fillId="66" borderId="743" applyNumberFormat="0" applyAlignment="0" applyProtection="0"/>
    <xf numFmtId="43" fontId="3" fillId="0" borderId="0" applyFont="0" applyFill="0" applyBorder="0" applyAlignment="0" applyProtection="0"/>
    <xf numFmtId="0" fontId="18" fillId="79" borderId="743" applyNumberFormat="0" applyAlignment="0" applyProtection="0"/>
    <xf numFmtId="0" fontId="29" fillId="0" borderId="755">
      <alignment horizontal="left" vertical="center"/>
    </xf>
    <xf numFmtId="0" fontId="34" fillId="66" borderId="769" applyNumberFormat="0" applyAlignment="0" applyProtection="0"/>
    <xf numFmtId="0" fontId="29" fillId="0" borderId="755">
      <alignment horizontal="left" vertical="center"/>
    </xf>
    <xf numFmtId="0" fontId="18" fillId="79" borderId="751" applyNumberFormat="0" applyAlignment="0" applyProtection="0"/>
    <xf numFmtId="0" fontId="25" fillId="81" borderId="721" applyNumberFormat="0" applyAlignment="0" applyProtection="0"/>
    <xf numFmtId="0" fontId="29" fillId="0" borderId="719">
      <alignment horizontal="left" vertical="center"/>
    </xf>
    <xf numFmtId="0" fontId="29" fillId="0" borderId="719">
      <alignment horizontal="left" vertical="center"/>
    </xf>
    <xf numFmtId="0" fontId="29" fillId="0" borderId="719">
      <alignment horizontal="left" vertical="center"/>
    </xf>
    <xf numFmtId="0" fontId="29" fillId="0" borderId="719">
      <alignment horizontal="left" vertical="center"/>
    </xf>
    <xf numFmtId="0" fontId="29" fillId="0" borderId="775" applyNumberFormat="0" applyAlignment="0" applyProtection="0"/>
    <xf numFmtId="0" fontId="195" fillId="0" borderId="765" applyNumberFormat="0" applyFill="0" applyAlignment="0" applyProtection="0">
      <alignment vertical="center"/>
    </xf>
    <xf numFmtId="0" fontId="46" fillId="79" borderId="753" applyNumberFormat="0" applyAlignment="0" applyProtection="0"/>
    <xf numFmtId="10" fontId="28" fillId="35" borderId="717" applyNumberFormat="0" applyBorder="0" applyAlignment="0" applyProtection="0"/>
    <xf numFmtId="0" fontId="195" fillId="0" borderId="729" applyNumberFormat="0" applyFill="0" applyAlignment="0" applyProtection="0">
      <alignment vertical="center"/>
    </xf>
    <xf numFmtId="0" fontId="34" fillId="86" borderId="656" applyNumberFormat="0" applyAlignment="0" applyProtection="0"/>
    <xf numFmtId="0" fontId="29" fillId="0" borderId="742" applyNumberFormat="0" applyAlignment="0" applyProtection="0"/>
    <xf numFmtId="0" fontId="34" fillId="66" borderId="656" applyNumberFormat="0" applyAlignment="0" applyProtection="0"/>
    <xf numFmtId="0" fontId="34" fillId="86" borderId="656" applyNumberFormat="0" applyAlignment="0" applyProtection="0"/>
    <xf numFmtId="0" fontId="34" fillId="86" borderId="656" applyNumberFormat="0" applyAlignment="0" applyProtection="0"/>
    <xf numFmtId="0" fontId="34" fillId="86" borderId="656" applyNumberFormat="0" applyAlignment="0" applyProtection="0"/>
    <xf numFmtId="0" fontId="34" fillId="86" borderId="656" applyNumberFormat="0" applyAlignment="0" applyProtection="0"/>
    <xf numFmtId="0" fontId="202" fillId="31" borderId="751" applyNumberFormat="0" applyAlignment="0" applyProtection="0">
      <alignment vertical="center"/>
    </xf>
    <xf numFmtId="0" fontId="34" fillId="86" borderId="656" applyNumberFormat="0" applyAlignment="0" applyProtection="0"/>
    <xf numFmtId="0" fontId="34" fillId="86" borderId="656" applyNumberFormat="0" applyAlignment="0" applyProtection="0"/>
    <xf numFmtId="0" fontId="24" fillId="0" borderId="738" applyNumberFormat="0" applyFill="0" applyAlignment="0" applyProtection="0"/>
    <xf numFmtId="0" fontId="34" fillId="86" borderId="656" applyNumberFormat="0" applyAlignment="0" applyProtection="0"/>
    <xf numFmtId="0" fontId="34" fillId="86" borderId="656" applyNumberFormat="0" applyAlignment="0" applyProtection="0"/>
    <xf numFmtId="0" fontId="34" fillId="86" borderId="656" applyNumberFormat="0" applyAlignment="0" applyProtection="0"/>
    <xf numFmtId="0" fontId="34" fillId="86" borderId="656" applyNumberFormat="0" applyAlignment="0" applyProtection="0"/>
    <xf numFmtId="0" fontId="195" fillId="0" borderId="738" applyNumberFormat="0" applyFill="0" applyAlignment="0" applyProtection="0">
      <alignment vertical="center"/>
    </xf>
    <xf numFmtId="0" fontId="29" fillId="0" borderId="723">
      <alignment horizontal="left" vertical="center"/>
    </xf>
    <xf numFmtId="0" fontId="29" fillId="0" borderId="786">
      <alignment horizontal="left" vertical="center"/>
    </xf>
    <xf numFmtId="0" fontId="34" fillId="8" borderId="780" applyNumberFormat="0" applyAlignment="0" applyProtection="0"/>
    <xf numFmtId="0" fontId="74" fillId="29" borderId="771" applyNumberFormat="0" applyAlignment="0" applyProtection="0">
      <alignment vertical="center"/>
    </xf>
    <xf numFmtId="0" fontId="18" fillId="79" borderId="720" applyNumberFormat="0" applyAlignment="0" applyProtection="0"/>
    <xf numFmtId="0" fontId="34" fillId="8" borderId="784" applyNumberFormat="0" applyAlignment="0" applyProtection="0"/>
    <xf numFmtId="0" fontId="34" fillId="66" borderId="734" applyNumberFormat="0" applyAlignment="0" applyProtection="0"/>
    <xf numFmtId="0" fontId="18" fillId="79" borderId="743" applyNumberFormat="0" applyAlignment="0" applyProtection="0"/>
    <xf numFmtId="0" fontId="29" fillId="0" borderId="728">
      <alignment horizontal="left" vertical="center"/>
    </xf>
    <xf numFmtId="43" fontId="3" fillId="0" borderId="0" applyFont="0" applyFill="0" applyBorder="0" applyAlignment="0" applyProtection="0"/>
    <xf numFmtId="0" fontId="29" fillId="0" borderId="773">
      <alignment horizontal="left" vertical="center"/>
    </xf>
    <xf numFmtId="0" fontId="34" fillId="8" borderId="792" applyNumberFormat="0" applyAlignment="0" applyProtection="0"/>
    <xf numFmtId="0" fontId="29" fillId="0" borderId="728">
      <alignment horizontal="left" vertical="center"/>
    </xf>
    <xf numFmtId="0" fontId="34" fillId="86" borderId="743" applyNumberFormat="0" applyAlignment="0" applyProtection="0"/>
    <xf numFmtId="0" fontId="34" fillId="66" borderId="725" applyNumberFormat="0" applyAlignment="0" applyProtection="0"/>
    <xf numFmtId="0" fontId="34" fillId="66" borderId="720" applyNumberFormat="0" applyAlignment="0" applyProtection="0"/>
    <xf numFmtId="0" fontId="34" fillId="86" borderId="725" applyNumberFormat="0" applyAlignment="0" applyProtection="0"/>
    <xf numFmtId="0" fontId="46" fillId="79" borderId="771" applyNumberFormat="0" applyAlignment="0" applyProtection="0"/>
    <xf numFmtId="0" fontId="34" fillId="66" borderId="720" applyNumberFormat="0" applyAlignment="0" applyProtection="0"/>
    <xf numFmtId="0" fontId="202" fillId="31" borderId="743" applyNumberFormat="0" applyAlignment="0" applyProtection="0">
      <alignment vertical="center"/>
    </xf>
    <xf numFmtId="0" fontId="34" fillId="86" borderId="792" applyNumberFormat="0" applyAlignment="0" applyProtection="0"/>
    <xf numFmtId="0" fontId="202" fillId="31" borderId="725" applyNumberFormat="0" applyAlignment="0" applyProtection="0">
      <alignment vertical="center"/>
    </xf>
    <xf numFmtId="0" fontId="7" fillId="37" borderId="793" applyNumberFormat="0" applyFont="0" applyAlignment="0" applyProtection="0"/>
    <xf numFmtId="0" fontId="34" fillId="66" borderId="743" applyNumberFormat="0" applyAlignment="0" applyProtection="0"/>
    <xf numFmtId="0" fontId="34" fillId="86" borderId="751" applyNumberFormat="0" applyAlignment="0" applyProtection="0"/>
    <xf numFmtId="0" fontId="34" fillId="86" borderId="743" applyNumberFormat="0" applyAlignment="0" applyProtection="0"/>
    <xf numFmtId="0" fontId="18" fillId="31" borderId="769" applyNumberFormat="0" applyAlignment="0" applyProtection="0"/>
    <xf numFmtId="0" fontId="18" fillId="31" borderId="743" applyNumberFormat="0" applyAlignment="0" applyProtection="0"/>
    <xf numFmtId="0" fontId="29" fillId="0" borderId="737">
      <alignment horizontal="left" vertical="center"/>
    </xf>
    <xf numFmtId="0" fontId="29" fillId="0" borderId="773">
      <alignment horizontal="left" vertical="center"/>
    </xf>
    <xf numFmtId="0" fontId="29" fillId="0" borderId="778">
      <alignment horizontal="left" vertical="center"/>
    </xf>
    <xf numFmtId="0" fontId="86" fillId="0" borderId="795" applyNumberFormat="0" applyFill="0" applyAlignment="0" applyProtection="0">
      <alignment vertical="center"/>
    </xf>
    <xf numFmtId="0" fontId="29" fillId="0" borderId="742" applyNumberFormat="0" applyAlignment="0" applyProtection="0"/>
    <xf numFmtId="0" fontId="29" fillId="0" borderId="778">
      <alignment horizontal="left" vertical="center"/>
    </xf>
    <xf numFmtId="0" fontId="195" fillId="0" borderId="756" applyNumberFormat="0" applyFill="0" applyAlignment="0" applyProtection="0">
      <alignment vertical="center"/>
    </xf>
    <xf numFmtId="0" fontId="46" fillId="29" borderId="782" applyNumberFormat="0" applyAlignment="0" applyProtection="0"/>
    <xf numFmtId="0" fontId="18" fillId="79" borderId="784" applyNumberFormat="0" applyAlignment="0" applyProtection="0"/>
    <xf numFmtId="0" fontId="34" fillId="86" borderId="743" applyNumberFormat="0" applyAlignment="0" applyProtection="0"/>
    <xf numFmtId="0" fontId="178" fillId="86" borderId="720" applyNumberFormat="0" applyAlignment="0" applyProtection="0">
      <alignment vertical="center"/>
    </xf>
    <xf numFmtId="0" fontId="34" fillId="86" borderId="734" applyNumberFormat="0" applyAlignment="0" applyProtection="0"/>
    <xf numFmtId="0" fontId="34" fillId="8" borderId="780" applyNumberFormat="0" applyAlignment="0" applyProtection="0"/>
    <xf numFmtId="0" fontId="34" fillId="66" borderId="743" applyNumberFormat="0" applyAlignment="0" applyProtection="0"/>
    <xf numFmtId="0" fontId="34" fillId="86" borderId="725" applyNumberFormat="0" applyAlignment="0" applyProtection="0"/>
    <xf numFmtId="0" fontId="46" fillId="31" borderId="762" applyNumberFormat="0" applyAlignment="0" applyProtection="0"/>
    <xf numFmtId="0" fontId="34" fillId="86" borderId="734" applyNumberFormat="0" applyAlignment="0" applyProtection="0"/>
    <xf numFmtId="0" fontId="34" fillId="86" borderId="760" applyNumberFormat="0" applyAlignment="0" applyProtection="0"/>
    <xf numFmtId="0" fontId="25" fillId="81" borderId="761" applyNumberFormat="0" applyAlignment="0" applyProtection="0"/>
    <xf numFmtId="0" fontId="18" fillId="79" borderId="751" applyNumberFormat="0" applyAlignment="0" applyProtection="0"/>
    <xf numFmtId="0" fontId="29" fillId="0" borderId="791">
      <alignment horizontal="left" vertical="center"/>
    </xf>
    <xf numFmtId="0" fontId="34" fillId="66" borderId="799" applyNumberFormat="0" applyAlignment="0" applyProtection="0"/>
    <xf numFmtId="0" fontId="25" fillId="81" borderId="726" applyNumberFormat="0" applyAlignment="0" applyProtection="0"/>
    <xf numFmtId="0" fontId="24" fillId="0" borderId="747" applyNumberFormat="0" applyFill="0" applyAlignment="0" applyProtection="0"/>
    <xf numFmtId="0" fontId="24" fillId="0" borderId="803" applyNumberFormat="0" applyFill="0" applyAlignment="0" applyProtection="0"/>
    <xf numFmtId="0" fontId="195" fillId="0" borderId="724" applyNumberFormat="0" applyFill="0" applyAlignment="0" applyProtection="0">
      <alignment vertical="center"/>
    </xf>
    <xf numFmtId="0" fontId="25" fillId="81" borderId="735" applyNumberFormat="0" applyAlignment="0" applyProtection="0"/>
    <xf numFmtId="0" fontId="25" fillId="81" borderId="761" applyNumberFormat="0" applyAlignment="0" applyProtection="0"/>
    <xf numFmtId="0" fontId="34" fillId="86" borderId="743" applyNumberFormat="0" applyAlignment="0" applyProtection="0"/>
    <xf numFmtId="0" fontId="46" fillId="79" borderId="762" applyNumberFormat="0" applyAlignment="0" applyProtection="0"/>
    <xf numFmtId="0" fontId="34" fillId="66" borderId="751" applyNumberFormat="0" applyAlignment="0" applyProtection="0"/>
    <xf numFmtId="0" fontId="18" fillId="79" borderId="760" applyNumberFormat="0" applyAlignment="0" applyProtection="0"/>
    <xf numFmtId="0" fontId="46" fillId="79" borderId="762" applyNumberFormat="0" applyAlignment="0" applyProtection="0"/>
    <xf numFmtId="0" fontId="178" fillId="86" borderId="743" applyNumberFormat="0" applyAlignment="0" applyProtection="0">
      <alignment vertical="center"/>
    </xf>
    <xf numFmtId="0" fontId="34" fillId="86" borderId="751" applyNumberFormat="0" applyAlignment="0" applyProtection="0"/>
    <xf numFmtId="0" fontId="34" fillId="86" borderId="743" applyNumberFormat="0" applyAlignment="0" applyProtection="0"/>
    <xf numFmtId="43" fontId="1" fillId="0" borderId="0" applyFont="0" applyFill="0" applyBorder="0" applyAlignment="0" applyProtection="0"/>
    <xf numFmtId="0" fontId="25" fillId="81" borderId="744" applyNumberFormat="0" applyAlignment="0" applyProtection="0"/>
    <xf numFmtId="0" fontId="7" fillId="35" borderId="800" applyNumberFormat="0" applyFont="0" applyAlignment="0" applyProtection="0"/>
    <xf numFmtId="0" fontId="29" fillId="0" borderId="764">
      <alignment horizontal="left" vertical="center"/>
    </xf>
    <xf numFmtId="0" fontId="34" fillId="66" borderId="792" applyNumberFormat="0" applyAlignment="0" applyProtection="0"/>
    <xf numFmtId="0" fontId="25" fillId="81" borderId="721" applyNumberFormat="0" applyAlignment="0" applyProtection="0"/>
    <xf numFmtId="0" fontId="168" fillId="35" borderId="735" applyNumberFormat="0" applyFont="0" applyAlignment="0" applyProtection="0">
      <alignment vertical="center"/>
    </xf>
    <xf numFmtId="0" fontId="7" fillId="35" borderId="752" applyNumberFormat="0" applyFont="0" applyAlignment="0" applyProtection="0"/>
    <xf numFmtId="0" fontId="46" fillId="31" borderId="745" applyNumberFormat="0" applyAlignment="0" applyProtection="0"/>
    <xf numFmtId="0" fontId="189" fillId="31" borderId="762" applyNumberFormat="0" applyAlignment="0" applyProtection="0">
      <alignment vertical="center"/>
    </xf>
    <xf numFmtId="0" fontId="25" fillId="81" borderId="735" applyNumberFormat="0" applyAlignment="0" applyProtection="0"/>
    <xf numFmtId="0" fontId="46" fillId="79" borderId="745" applyNumberFormat="0" applyAlignment="0" applyProtection="0"/>
    <xf numFmtId="0" fontId="189" fillId="31" borderId="722" applyNumberFormat="0" applyAlignment="0" applyProtection="0">
      <alignment vertical="center"/>
    </xf>
    <xf numFmtId="0" fontId="34" fillId="86" borderId="760" applyNumberFormat="0" applyAlignment="0" applyProtection="0"/>
    <xf numFmtId="0" fontId="25" fillId="81" borderId="793" applyNumberFormat="0" applyAlignment="0" applyProtection="0"/>
    <xf numFmtId="43" fontId="1" fillId="0" borderId="0" applyFont="0" applyFill="0" applyBorder="0" applyAlignment="0" applyProtection="0"/>
    <xf numFmtId="0" fontId="18" fillId="31" borderId="734" applyNumberFormat="0" applyAlignment="0" applyProtection="0"/>
    <xf numFmtId="0" fontId="34" fillId="66" borderId="751" applyNumberFormat="0" applyAlignment="0" applyProtection="0"/>
    <xf numFmtId="0" fontId="34" fillId="86" borderId="760" applyNumberFormat="0" applyAlignment="0" applyProtection="0"/>
    <xf numFmtId="0" fontId="46" fillId="79" borderId="745" applyNumberFormat="0" applyAlignment="0" applyProtection="0"/>
    <xf numFmtId="0" fontId="34" fillId="86" borderId="751" applyNumberFormat="0" applyAlignment="0" applyProtection="0"/>
    <xf numFmtId="0" fontId="34" fillId="8" borderId="780" applyNumberFormat="0" applyAlignment="0" applyProtection="0"/>
    <xf numFmtId="0" fontId="34" fillId="86" borderId="760" applyNumberFormat="0" applyAlignment="0" applyProtection="0"/>
    <xf numFmtId="0" fontId="18" fillId="79" borderId="734" applyNumberFormat="0" applyAlignment="0" applyProtection="0"/>
    <xf numFmtId="0" fontId="29" fillId="0" borderId="758">
      <alignment horizontal="left" vertical="center"/>
    </xf>
    <xf numFmtId="0" fontId="34" fillId="8" borderId="769" applyNumberFormat="0" applyAlignment="0" applyProtection="0"/>
    <xf numFmtId="0" fontId="74" fillId="29" borderId="794" applyNumberFormat="0" applyAlignment="0" applyProtection="0">
      <alignment vertical="center"/>
    </xf>
    <xf numFmtId="0" fontId="18" fillId="79" borderId="769" applyNumberFormat="0" applyAlignment="0" applyProtection="0"/>
    <xf numFmtId="0" fontId="34" fillId="86" borderId="720" applyNumberFormat="0" applyAlignment="0" applyProtection="0"/>
    <xf numFmtId="0" fontId="34" fillId="86" borderId="734" applyNumberFormat="0" applyAlignment="0" applyProtection="0"/>
    <xf numFmtId="0" fontId="82" fillId="29" borderId="769" applyNumberFormat="0" applyAlignment="0" applyProtection="0">
      <alignment vertical="center"/>
    </xf>
    <xf numFmtId="0" fontId="18" fillId="79" borderId="743" applyNumberFormat="0" applyAlignment="0" applyProtection="0"/>
    <xf numFmtId="0" fontId="46" fillId="79" borderId="727" applyNumberFormat="0" applyAlignment="0" applyProtection="0"/>
    <xf numFmtId="0" fontId="18" fillId="79" borderId="792" applyNumberFormat="0" applyAlignment="0" applyProtection="0"/>
    <xf numFmtId="0" fontId="46" fillId="79" borderId="727" applyNumberFormat="0" applyAlignment="0" applyProtection="0"/>
    <xf numFmtId="0" fontId="18" fillId="79" borderId="720" applyNumberFormat="0" applyAlignment="0" applyProtection="0"/>
    <xf numFmtId="0" fontId="46" fillId="79" borderId="727" applyNumberFormat="0" applyAlignment="0" applyProtection="0"/>
    <xf numFmtId="0" fontId="18" fillId="79" borderId="720" applyNumberFormat="0" applyAlignment="0" applyProtection="0"/>
    <xf numFmtId="0" fontId="189" fillId="31" borderId="771" applyNumberFormat="0" applyAlignment="0" applyProtection="0">
      <alignment vertical="center"/>
    </xf>
    <xf numFmtId="0" fontId="34" fillId="8" borderId="784" applyNumberFormat="0" applyAlignment="0" applyProtection="0"/>
    <xf numFmtId="0" fontId="18" fillId="79" borderId="760" applyNumberFormat="0" applyAlignment="0" applyProtection="0"/>
    <xf numFmtId="0" fontId="7" fillId="35" borderId="761" applyNumberFormat="0" applyFont="0" applyAlignment="0" applyProtection="0"/>
    <xf numFmtId="0" fontId="86" fillId="0" borderId="774" applyNumberFormat="0" applyFill="0" applyAlignment="0" applyProtection="0">
      <alignment vertical="center"/>
    </xf>
    <xf numFmtId="0" fontId="18" fillId="79" borderId="720" applyNumberFormat="0" applyAlignment="0" applyProtection="0"/>
    <xf numFmtId="0" fontId="25" fillId="81" borderId="770" applyNumberFormat="0" applyAlignment="0" applyProtection="0"/>
    <xf numFmtId="0" fontId="46" fillId="31" borderId="771" applyNumberFormat="0" applyAlignment="0" applyProtection="0"/>
    <xf numFmtId="0" fontId="34" fillId="86" borderId="769" applyNumberFormat="0" applyAlignment="0" applyProtection="0"/>
    <xf numFmtId="0" fontId="34" fillId="86" borderId="720" applyNumberFormat="0" applyAlignment="0" applyProtection="0"/>
    <xf numFmtId="0" fontId="7" fillId="35" borderId="408" applyNumberFormat="0" applyFont="0" applyAlignment="0" applyProtection="0"/>
    <xf numFmtId="0" fontId="7" fillId="35" borderId="408" applyNumberFormat="0" applyFont="0" applyAlignment="0" applyProtection="0"/>
    <xf numFmtId="0" fontId="7" fillId="35" borderId="408" applyNumberFormat="0" applyFont="0" applyAlignment="0" applyProtection="0"/>
    <xf numFmtId="0" fontId="25" fillId="81" borderId="761" applyNumberFormat="0" applyAlignment="0" applyProtection="0"/>
    <xf numFmtId="0" fontId="34" fillId="8" borderId="784" applyNumberFormat="0" applyAlignment="0" applyProtection="0"/>
    <xf numFmtId="0" fontId="34" fillId="86" borderId="720" applyNumberFormat="0" applyAlignment="0" applyProtection="0"/>
    <xf numFmtId="0" fontId="25" fillId="81" borderId="752" applyNumberFormat="0" applyAlignment="0" applyProtection="0"/>
    <xf numFmtId="0" fontId="34" fillId="86" borderId="720" applyNumberFormat="0" applyAlignment="0" applyProtection="0"/>
    <xf numFmtId="0" fontId="46" fillId="31" borderId="710" applyNumberFormat="0" applyAlignment="0" applyProtection="0"/>
    <xf numFmtId="0" fontId="46" fillId="79" borderId="710" applyNumberFormat="0" applyAlignment="0" applyProtection="0"/>
    <xf numFmtId="0" fontId="185" fillId="0" borderId="772" applyNumberFormat="0" applyFont="0">
      <alignment horizontal="center" vertical="center"/>
    </xf>
    <xf numFmtId="0" fontId="34" fillId="8" borderId="780" applyNumberFormat="0" applyAlignment="0" applyProtection="0"/>
    <xf numFmtId="0" fontId="34" fillId="86" borderId="720" applyNumberFormat="0" applyAlignment="0" applyProtection="0"/>
    <xf numFmtId="0" fontId="34" fillId="8" borderId="784" applyNumberFormat="0" applyAlignment="0" applyProtection="0"/>
    <xf numFmtId="0" fontId="34" fillId="8" borderId="784" applyNumberFormat="0" applyAlignment="0" applyProtection="0"/>
    <xf numFmtId="0" fontId="86" fillId="0" borderId="783" applyNumberFormat="0" applyFill="0" applyAlignment="0" applyProtection="0">
      <alignment vertical="center"/>
    </xf>
    <xf numFmtId="0" fontId="168" fillId="35" borderId="721" applyNumberFormat="0" applyFont="0" applyAlignment="0" applyProtection="0">
      <alignment vertical="center"/>
    </xf>
    <xf numFmtId="0" fontId="25" fillId="81" borderId="752" applyNumberFormat="0" applyAlignment="0" applyProtection="0"/>
    <xf numFmtId="0" fontId="2" fillId="37" borderId="781" applyNumberFormat="0" applyFont="0" applyAlignment="0" applyProtection="0">
      <alignment vertical="center"/>
    </xf>
    <xf numFmtId="0" fontId="46" fillId="31" borderId="727" applyNumberFormat="0" applyAlignment="0" applyProtection="0"/>
    <xf numFmtId="0" fontId="202" fillId="31" borderId="799" applyNumberFormat="0" applyAlignment="0" applyProtection="0">
      <alignment vertical="center"/>
    </xf>
    <xf numFmtId="0" fontId="29" fillId="0" borderId="785" applyNumberFormat="0" applyAlignment="0" applyProtection="0"/>
    <xf numFmtId="0" fontId="34" fillId="66" borderId="760" applyNumberFormat="0" applyAlignment="0" applyProtection="0"/>
    <xf numFmtId="0" fontId="18" fillId="31" borderId="751" applyNumberFormat="0" applyAlignment="0" applyProtection="0"/>
    <xf numFmtId="0" fontId="7" fillId="35" borderId="726" applyNumberFormat="0" applyFont="0" applyAlignment="0" applyProtection="0"/>
    <xf numFmtId="9" fontId="3" fillId="0" borderId="0" applyFont="0" applyFill="0" applyBorder="0" applyAlignment="0" applyProtection="0"/>
    <xf numFmtId="0" fontId="25" fillId="81" borderId="721" applyNumberFormat="0" applyAlignment="0" applyProtection="0"/>
    <xf numFmtId="0" fontId="178" fillId="86" borderId="734" applyNumberFormat="0" applyAlignment="0" applyProtection="0">
      <alignment vertical="center"/>
    </xf>
    <xf numFmtId="0" fontId="34" fillId="86" borderId="720" applyNumberFormat="0" applyAlignment="0" applyProtection="0"/>
    <xf numFmtId="0" fontId="34" fillId="8" borderId="792" applyNumberFormat="0" applyAlignment="0" applyProtection="0"/>
    <xf numFmtId="0" fontId="73" fillId="8" borderId="780" applyNumberFormat="0" applyAlignment="0" applyProtection="0">
      <alignment vertical="center"/>
    </xf>
    <xf numFmtId="0" fontId="195" fillId="0" borderId="774" applyNumberFormat="0" applyFill="0" applyAlignment="0" applyProtection="0">
      <alignment vertical="center"/>
    </xf>
    <xf numFmtId="0" fontId="25" fillId="81" borderId="761" applyNumberFormat="0" applyAlignment="0" applyProtection="0"/>
    <xf numFmtId="0" fontId="34" fillId="86" borderId="734" applyNumberFormat="0" applyAlignment="0" applyProtection="0"/>
    <xf numFmtId="43" fontId="3" fillId="0" borderId="0" applyFont="0" applyFill="0" applyBorder="0" applyAlignment="0" applyProtection="0"/>
    <xf numFmtId="0" fontId="46" fillId="29" borderId="794" applyNumberFormat="0" applyAlignment="0" applyProtection="0"/>
    <xf numFmtId="0" fontId="18" fillId="79" borderId="792" applyNumberFormat="0" applyAlignment="0" applyProtection="0"/>
    <xf numFmtId="0" fontId="178" fillId="86" borderId="720" applyNumberFormat="0" applyAlignment="0" applyProtection="0">
      <alignment vertical="center"/>
    </xf>
    <xf numFmtId="0" fontId="34" fillId="8" borderId="784" applyNumberFormat="0" applyAlignment="0" applyProtection="0"/>
    <xf numFmtId="0" fontId="18" fillId="79" borderId="769" applyNumberFormat="0" applyAlignment="0" applyProtection="0"/>
    <xf numFmtId="0" fontId="34" fillId="86" borderId="792" applyNumberFormat="0" applyAlignment="0" applyProtection="0"/>
    <xf numFmtId="0" fontId="18" fillId="31" borderId="792" applyNumberFormat="0" applyAlignment="0" applyProtection="0"/>
    <xf numFmtId="0" fontId="34" fillId="86" borderId="734" applyNumberFormat="0" applyAlignment="0" applyProtection="0"/>
    <xf numFmtId="0" fontId="34" fillId="86" borderId="751" applyNumberFormat="0" applyAlignment="0" applyProtection="0"/>
    <xf numFmtId="0" fontId="178" fillId="86" borderId="769" applyNumberFormat="0" applyAlignment="0" applyProtection="0">
      <alignment vertical="center"/>
    </xf>
    <xf numFmtId="2" fontId="174" fillId="0" borderId="730" applyFont="0" applyBorder="0" applyAlignment="0" applyProtection="0">
      <alignment horizontal="right"/>
    </xf>
    <xf numFmtId="43" fontId="3" fillId="0" borderId="0" applyFont="0" applyFill="0" applyBorder="0" applyAlignment="0" applyProtection="0"/>
    <xf numFmtId="0" fontId="29" fillId="0" borderId="737">
      <alignment horizontal="left" vertical="center"/>
    </xf>
    <xf numFmtId="0" fontId="46" fillId="79" borderId="762" applyNumberFormat="0" applyAlignment="0" applyProtection="0"/>
    <xf numFmtId="0" fontId="82" fillId="29" borderId="792" applyNumberFormat="0" applyAlignment="0" applyProtection="0">
      <alignment vertical="center"/>
    </xf>
    <xf numFmtId="0" fontId="29" fillId="0" borderId="742" applyNumberFormat="0" applyAlignment="0" applyProtection="0"/>
    <xf numFmtId="0" fontId="24" fillId="0" borderId="756" applyNumberFormat="0" applyFill="0" applyAlignment="0" applyProtection="0"/>
    <xf numFmtId="0" fontId="18" fillId="79" borderId="734" applyNumberFormat="0" applyAlignment="0" applyProtection="0"/>
    <xf numFmtId="0" fontId="34" fillId="86" borderId="720" applyNumberFormat="0" applyAlignment="0" applyProtection="0"/>
    <xf numFmtId="0" fontId="25" fillId="81" borderId="770" applyNumberFormat="0" applyAlignment="0" applyProtection="0"/>
    <xf numFmtId="0" fontId="189" fillId="31" borderId="745" applyNumberFormat="0" applyAlignment="0" applyProtection="0">
      <alignment vertical="center"/>
    </xf>
    <xf numFmtId="0" fontId="29" fillId="0" borderId="732">
      <alignment horizontal="left" vertical="center"/>
    </xf>
    <xf numFmtId="0" fontId="18" fillId="79" borderId="792" applyNumberFormat="0" applyAlignment="0" applyProtection="0"/>
    <xf numFmtId="0" fontId="29" fillId="0" borderId="723">
      <alignment horizontal="left" vertical="center"/>
    </xf>
    <xf numFmtId="0" fontId="34" fillId="86" borderId="734" applyNumberFormat="0" applyAlignment="0" applyProtection="0"/>
    <xf numFmtId="0" fontId="34" fillId="86" borderId="725" applyNumberFormat="0" applyAlignment="0" applyProtection="0"/>
    <xf numFmtId="0" fontId="46" fillId="79" borderId="753" applyNumberFormat="0" applyAlignment="0" applyProtection="0"/>
    <xf numFmtId="0" fontId="29" fillId="0" borderId="767">
      <alignment horizontal="left" vertical="center"/>
    </xf>
    <xf numFmtId="0" fontId="34" fillId="66" borderId="769" applyNumberFormat="0" applyAlignment="0" applyProtection="0"/>
    <xf numFmtId="0" fontId="24" fillId="0" borderId="747" applyNumberFormat="0" applyFill="0" applyAlignment="0" applyProtection="0"/>
    <xf numFmtId="0" fontId="189" fillId="31" borderId="736" applyNumberFormat="0" applyAlignment="0" applyProtection="0">
      <alignment vertical="center"/>
    </xf>
    <xf numFmtId="2" fontId="174" fillId="0" borderId="757" applyFont="0" applyBorder="0" applyAlignment="0" applyProtection="0">
      <alignment horizontal="right"/>
    </xf>
    <xf numFmtId="0" fontId="34" fillId="8" borderId="769" applyNumberFormat="0" applyAlignment="0" applyProtection="0"/>
    <xf numFmtId="0" fontId="25" fillId="81" borderId="752" applyNumberFormat="0" applyAlignment="0" applyProtection="0"/>
    <xf numFmtId="0" fontId="24" fillId="0" borderId="729" applyNumberFormat="0" applyFill="0" applyAlignment="0" applyProtection="0"/>
    <xf numFmtId="0" fontId="29" fillId="0" borderId="791">
      <alignment horizontal="left" vertical="center"/>
    </xf>
    <xf numFmtId="0" fontId="29" fillId="0" borderId="802">
      <alignment horizontal="left" vertical="center"/>
    </xf>
    <xf numFmtId="0" fontId="178" fillId="86" borderId="725" applyNumberFormat="0" applyAlignment="0" applyProtection="0">
      <alignment vertical="center"/>
    </xf>
    <xf numFmtId="0" fontId="24" fillId="0" borderId="661" applyNumberFormat="0" applyFill="0" applyAlignment="0" applyProtection="0"/>
    <xf numFmtId="41" fontId="3" fillId="0" borderId="0">
      <alignment horizontal="left"/>
    </xf>
    <xf numFmtId="0" fontId="34" fillId="86" borderId="760" applyNumberFormat="0" applyAlignment="0" applyProtection="0"/>
    <xf numFmtId="0" fontId="73" fillId="8" borderId="792" applyNumberFormat="0" applyAlignment="0" applyProtection="0">
      <alignment vertical="center"/>
    </xf>
    <xf numFmtId="0" fontId="189" fillId="31" borderId="753" applyNumberFormat="0" applyAlignment="0" applyProtection="0">
      <alignment vertical="center"/>
    </xf>
    <xf numFmtId="0" fontId="24" fillId="0" borderId="729" applyNumberFormat="0" applyFill="0" applyAlignment="0" applyProtection="0"/>
    <xf numFmtId="0" fontId="18" fillId="79" borderId="769" applyNumberFormat="0" applyAlignment="0" applyProtection="0"/>
    <xf numFmtId="0" fontId="34" fillId="86" borderId="743" applyNumberFormat="0" applyAlignment="0" applyProtection="0"/>
    <xf numFmtId="0" fontId="178" fillId="86" borderId="769" applyNumberFormat="0" applyAlignment="0" applyProtection="0">
      <alignment vertical="center"/>
    </xf>
    <xf numFmtId="0" fontId="18" fillId="29" borderId="784" applyNumberFormat="0" applyAlignment="0" applyProtection="0"/>
    <xf numFmtId="0" fontId="178" fillId="86" borderId="799" applyNumberFormat="0" applyAlignment="0" applyProtection="0">
      <alignment vertical="center"/>
    </xf>
    <xf numFmtId="0" fontId="34" fillId="86" borderId="769" applyNumberFormat="0" applyAlignment="0" applyProtection="0"/>
    <xf numFmtId="0" fontId="18" fillId="79" borderId="725" applyNumberFormat="0" applyAlignment="0" applyProtection="0"/>
    <xf numFmtId="0" fontId="2" fillId="37" borderId="787" applyNumberFormat="0" applyFont="0" applyAlignment="0" applyProtection="0">
      <alignment vertical="center"/>
    </xf>
    <xf numFmtId="0" fontId="24" fillId="0" borderId="783" applyNumberFormat="0" applyFill="0" applyAlignment="0" applyProtection="0"/>
    <xf numFmtId="0" fontId="24" fillId="0" borderId="803" applyNumberFormat="0" applyFill="0" applyAlignment="0" applyProtection="0"/>
    <xf numFmtId="0" fontId="29" fillId="0" borderId="733" applyNumberFormat="0" applyAlignment="0" applyProtection="0"/>
    <xf numFmtId="0" fontId="34" fillId="86" borderId="725" applyNumberFormat="0" applyAlignment="0" applyProtection="0"/>
    <xf numFmtId="0" fontId="168" fillId="35" borderId="408" applyNumberFormat="0" applyFont="0" applyAlignment="0" applyProtection="0">
      <alignment vertical="center"/>
    </xf>
    <xf numFmtId="0" fontId="168" fillId="35" borderId="408" applyNumberFormat="0" applyFont="0" applyAlignment="0" applyProtection="0">
      <alignment vertical="center"/>
    </xf>
    <xf numFmtId="0" fontId="168" fillId="35" borderId="408" applyNumberFormat="0" applyFont="0" applyAlignment="0" applyProtection="0">
      <alignment vertical="center"/>
    </xf>
    <xf numFmtId="0" fontId="168" fillId="35" borderId="408" applyNumberFormat="0" applyFont="0" applyAlignment="0" applyProtection="0">
      <alignment vertical="center"/>
    </xf>
    <xf numFmtId="0" fontId="18" fillId="31" borderId="720" applyNumberFormat="0" applyAlignment="0" applyProtection="0"/>
    <xf numFmtId="0" fontId="34" fillId="66" borderId="734" applyNumberFormat="0" applyAlignment="0" applyProtection="0"/>
    <xf numFmtId="0" fontId="34" fillId="86" borderId="725" applyNumberFormat="0" applyAlignment="0" applyProtection="0"/>
    <xf numFmtId="0" fontId="46" fillId="79" borderId="722" applyNumberFormat="0" applyAlignment="0" applyProtection="0"/>
    <xf numFmtId="0" fontId="168" fillId="35" borderId="752" applyNumberFormat="0" applyFont="0" applyAlignment="0" applyProtection="0">
      <alignment vertical="center"/>
    </xf>
    <xf numFmtId="0" fontId="178" fillId="86" borderId="656" applyNumberFormat="0" applyAlignment="0" applyProtection="0">
      <alignment vertical="center"/>
    </xf>
    <xf numFmtId="0" fontId="178" fillId="86" borderId="656" applyNumberFormat="0" applyAlignment="0" applyProtection="0">
      <alignment vertical="center"/>
    </xf>
    <xf numFmtId="43" fontId="3" fillId="0" borderId="0" applyFont="0" applyFill="0" applyBorder="0" applyAlignment="0" applyProtection="0"/>
    <xf numFmtId="0" fontId="29" fillId="0" borderId="798">
      <alignment horizontal="left" vertical="center"/>
    </xf>
    <xf numFmtId="0" fontId="189" fillId="31" borderId="710" applyNumberFormat="0" applyAlignment="0" applyProtection="0">
      <alignment vertical="center"/>
    </xf>
    <xf numFmtId="0" fontId="189" fillId="31" borderId="710" applyNumberFormat="0" applyAlignment="0" applyProtection="0">
      <alignment vertical="center"/>
    </xf>
    <xf numFmtId="0" fontId="25" fillId="81" borderId="752" applyNumberFormat="0" applyAlignment="0" applyProtection="0"/>
    <xf numFmtId="2" fontId="174" fillId="0" borderId="718" applyFont="0" applyBorder="0" applyAlignment="0" applyProtection="0">
      <alignment horizontal="right"/>
    </xf>
    <xf numFmtId="2" fontId="174" fillId="0" borderId="718" applyFont="0" applyBorder="0" applyAlignment="0" applyProtection="0">
      <alignment horizontal="right"/>
    </xf>
    <xf numFmtId="0" fontId="34" fillId="86" borderId="734" applyNumberFormat="0" applyAlignment="0" applyProtection="0"/>
    <xf numFmtId="0" fontId="34" fillId="8" borderId="792" applyNumberFormat="0" applyAlignment="0" applyProtection="0"/>
    <xf numFmtId="0" fontId="29" fillId="0" borderId="764">
      <alignment horizontal="left" vertical="center"/>
    </xf>
    <xf numFmtId="43" fontId="3" fillId="0" borderId="0" applyFont="0" applyFill="0" applyBorder="0" applyAlignment="0" applyProtection="0"/>
    <xf numFmtId="0" fontId="25" fillId="81" borderId="793" applyNumberFormat="0" applyAlignment="0" applyProtection="0"/>
    <xf numFmtId="0" fontId="29" fillId="0" borderId="733" applyNumberFormat="0" applyAlignment="0" applyProtection="0"/>
    <xf numFmtId="0" fontId="34" fillId="86" borderId="720" applyNumberFormat="0" applyAlignment="0" applyProtection="0"/>
    <xf numFmtId="0" fontId="214" fillId="0" borderId="0"/>
    <xf numFmtId="0" fontId="185" fillId="0" borderId="716" applyNumberFormat="0" applyFont="0">
      <alignment horizontal="center" vertical="center"/>
    </xf>
    <xf numFmtId="0" fontId="25" fillId="81" borderId="770" applyNumberFormat="0" applyAlignment="0" applyProtection="0"/>
    <xf numFmtId="0" fontId="73" fillId="8" borderId="784" applyNumberFormat="0" applyAlignment="0" applyProtection="0">
      <alignment vertical="center"/>
    </xf>
    <xf numFmtId="0" fontId="29" fillId="0" borderId="728">
      <alignment horizontal="left" vertical="center"/>
    </xf>
    <xf numFmtId="0" fontId="29" fillId="0" borderId="759" applyNumberFormat="0" applyAlignment="0" applyProtection="0"/>
    <xf numFmtId="0" fontId="202" fillId="31" borderId="656" applyNumberFormat="0" applyAlignment="0" applyProtection="0">
      <alignment vertical="center"/>
    </xf>
    <xf numFmtId="0" fontId="202" fillId="31" borderId="656" applyNumberFormat="0" applyAlignment="0" applyProtection="0">
      <alignment vertical="center"/>
    </xf>
    <xf numFmtId="0" fontId="18" fillId="79" borderId="725" applyNumberFormat="0" applyAlignment="0" applyProtection="0"/>
    <xf numFmtId="0" fontId="34" fillId="86" borderId="725" applyNumberFormat="0" applyAlignment="0" applyProtection="0"/>
    <xf numFmtId="43" fontId="1" fillId="0" borderId="0" applyFont="0" applyFill="0" applyBorder="0" applyAlignment="0" applyProtection="0"/>
    <xf numFmtId="0" fontId="213" fillId="0" borderId="0"/>
    <xf numFmtId="0" fontId="195" fillId="0" borderId="661" applyNumberFormat="0" applyFill="0" applyAlignment="0" applyProtection="0">
      <alignment vertical="center"/>
    </xf>
    <xf numFmtId="0" fontId="195" fillId="0" borderId="661" applyNumberFormat="0" applyFill="0" applyAlignment="0" applyProtection="0">
      <alignment vertical="center"/>
    </xf>
    <xf numFmtId="0" fontId="195" fillId="0" borderId="747" applyNumberFormat="0" applyFill="0" applyAlignment="0" applyProtection="0">
      <alignment vertical="center"/>
    </xf>
    <xf numFmtId="43" fontId="1" fillId="0" borderId="0" applyFont="0" applyFill="0" applyBorder="0" applyAlignment="0" applyProtection="0"/>
    <xf numFmtId="0" fontId="25" fillId="81" borderId="735" applyNumberFormat="0" applyAlignment="0" applyProtection="0"/>
    <xf numFmtId="0" fontId="29" fillId="0" borderId="764">
      <alignment horizontal="left" vertical="center"/>
    </xf>
    <xf numFmtId="0" fontId="7" fillId="35" borderId="770" applyNumberFormat="0" applyFont="0" applyAlignment="0" applyProtection="0"/>
    <xf numFmtId="43" fontId="1" fillId="0" borderId="0" applyFont="0" applyFill="0" applyBorder="0" applyAlignment="0" applyProtection="0"/>
    <xf numFmtId="0" fontId="213" fillId="0" borderId="0"/>
    <xf numFmtId="0" fontId="168" fillId="35" borderId="726" applyNumberFormat="0" applyFont="0" applyAlignment="0" applyProtection="0">
      <alignment vertical="center"/>
    </xf>
    <xf numFmtId="0" fontId="18" fillId="79" borderId="734" applyNumberFormat="0" applyAlignment="0" applyProtection="0"/>
    <xf numFmtId="0" fontId="25" fillId="81" borderId="735" applyNumberFormat="0" applyAlignment="0" applyProtection="0"/>
    <xf numFmtId="0" fontId="46" fillId="79" borderId="736" applyNumberFormat="0" applyAlignment="0" applyProtection="0"/>
    <xf numFmtId="0" fontId="34" fillId="86" borderId="734" applyNumberFormat="0" applyAlignment="0" applyProtection="0"/>
    <xf numFmtId="0" fontId="29" fillId="0" borderId="728">
      <alignment horizontal="left" vertical="center"/>
    </xf>
    <xf numFmtId="0" fontId="34" fillId="66" borderId="760" applyNumberFormat="0" applyAlignment="0" applyProtection="0"/>
    <xf numFmtId="0" fontId="25" fillId="81" borderId="726" applyNumberFormat="0" applyAlignment="0" applyProtection="0"/>
    <xf numFmtId="0" fontId="29" fillId="0" borderId="733" applyNumberFormat="0" applyAlignment="0" applyProtection="0"/>
    <xf numFmtId="0" fontId="25" fillId="81" borderId="770" applyNumberFormat="0" applyAlignment="0" applyProtection="0"/>
    <xf numFmtId="0" fontId="178" fillId="86" borderId="751" applyNumberFormat="0" applyAlignment="0" applyProtection="0">
      <alignment vertical="center"/>
    </xf>
    <xf numFmtId="0" fontId="29" fillId="0" borderId="755">
      <alignment horizontal="left" vertical="center"/>
    </xf>
    <xf numFmtId="0" fontId="168" fillId="35" borderId="726" applyNumberFormat="0" applyFont="0" applyAlignment="0" applyProtection="0">
      <alignment vertical="center"/>
    </xf>
    <xf numFmtId="0" fontId="29" fillId="0" borderId="773">
      <alignment horizontal="left" vertical="center"/>
    </xf>
    <xf numFmtId="0" fontId="46" fillId="31" borderId="753" applyNumberFormat="0" applyAlignment="0" applyProtection="0"/>
    <xf numFmtId="0" fontId="34" fillId="86" borderId="769" applyNumberFormat="0" applyAlignment="0" applyProtection="0"/>
    <xf numFmtId="0" fontId="189" fillId="31" borderId="727" applyNumberFormat="0" applyAlignment="0" applyProtection="0">
      <alignment vertical="center"/>
    </xf>
    <xf numFmtId="0" fontId="46" fillId="79" borderId="736" applyNumberFormat="0" applyAlignment="0" applyProtection="0"/>
    <xf numFmtId="0" fontId="34" fillId="86" borderId="760" applyNumberFormat="0" applyAlignment="0" applyProtection="0"/>
    <xf numFmtId="0" fontId="29" fillId="0" borderId="746">
      <alignment horizontal="left" vertical="center"/>
    </xf>
    <xf numFmtId="0" fontId="202" fillId="31" borderId="725" applyNumberFormat="0" applyAlignment="0" applyProtection="0">
      <alignment vertical="center"/>
    </xf>
    <xf numFmtId="0" fontId="34" fillId="86" borderId="734" applyNumberFormat="0" applyAlignment="0" applyProtection="0"/>
    <xf numFmtId="0" fontId="214" fillId="0" borderId="0"/>
    <xf numFmtId="0" fontId="195" fillId="0" borderId="729" applyNumberFormat="0" applyFill="0" applyAlignment="0" applyProtection="0">
      <alignment vertical="center"/>
    </xf>
    <xf numFmtId="0" fontId="34" fillId="86" borderId="743" applyNumberFormat="0" applyAlignment="0" applyProtection="0"/>
    <xf numFmtId="43" fontId="3" fillId="0" borderId="0" applyFont="0" applyFill="0" applyBorder="0" applyAlignment="0" applyProtection="0"/>
    <xf numFmtId="0" fontId="86" fillId="0" borderId="789" applyNumberFormat="0" applyFill="0" applyAlignment="0" applyProtection="0">
      <alignment vertical="center"/>
    </xf>
    <xf numFmtId="0" fontId="18" fillId="79" borderId="734" applyNumberFormat="0" applyAlignment="0" applyProtection="0"/>
    <xf numFmtId="0" fontId="34" fillId="86" borderId="769" applyNumberFormat="0" applyAlignment="0" applyProtection="0"/>
    <xf numFmtId="0" fontId="34" fillId="86" borderId="751" applyNumberFormat="0" applyAlignment="0" applyProtection="0"/>
    <xf numFmtId="0" fontId="34" fillId="86" borderId="751" applyNumberFormat="0" applyAlignment="0" applyProtection="0"/>
    <xf numFmtId="0" fontId="185" fillId="0" borderId="740" applyNumberFormat="0" applyFont="0">
      <alignment horizontal="center" vertical="center"/>
    </xf>
    <xf numFmtId="2" fontId="174" fillId="0" borderId="739" applyFont="0" applyBorder="0" applyAlignment="0" applyProtection="0">
      <alignment horizontal="right"/>
    </xf>
    <xf numFmtId="0" fontId="25" fillId="81" borderId="787" applyNumberFormat="0" applyAlignment="0" applyProtection="0"/>
    <xf numFmtId="9" fontId="214" fillId="0" borderId="0" applyFont="0" applyFill="0" applyBorder="0" applyAlignment="0" applyProtection="0"/>
    <xf numFmtId="0" fontId="34" fillId="66" borderId="792" applyNumberFormat="0" applyAlignment="0" applyProtection="0"/>
    <xf numFmtId="0" fontId="18" fillId="79" borderId="751" applyNumberFormat="0" applyAlignment="0" applyProtection="0"/>
    <xf numFmtId="0" fontId="168" fillId="35" borderId="735" applyNumberFormat="0" applyFont="0" applyAlignment="0" applyProtection="0">
      <alignment vertical="center"/>
    </xf>
    <xf numFmtId="0" fontId="2" fillId="37" borderId="770" applyNumberFormat="0" applyFont="0" applyAlignment="0" applyProtection="0">
      <alignment vertical="center"/>
    </xf>
    <xf numFmtId="0" fontId="189" fillId="31" borderId="736" applyNumberFormat="0" applyAlignment="0" applyProtection="0">
      <alignment vertical="center"/>
    </xf>
    <xf numFmtId="0" fontId="29" fillId="0" borderId="755">
      <alignment horizontal="left" vertical="center"/>
    </xf>
    <xf numFmtId="0" fontId="202" fillId="31" borderId="760" applyNumberFormat="0" applyAlignment="0" applyProtection="0">
      <alignment vertical="center"/>
    </xf>
    <xf numFmtId="0" fontId="24" fillId="0" borderId="756" applyNumberFormat="0" applyFill="0" applyAlignment="0" applyProtection="0"/>
    <xf numFmtId="43" fontId="3" fillId="0" borderId="0" applyFont="0" applyFill="0" applyBorder="0" applyAlignment="0" applyProtection="0"/>
    <xf numFmtId="0" fontId="168" fillId="35" borderId="770" applyNumberFormat="0" applyFont="0" applyAlignment="0" applyProtection="0">
      <alignment vertical="center"/>
    </xf>
    <xf numFmtId="0" fontId="202" fillId="31" borderId="734" applyNumberFormat="0" applyAlignment="0" applyProtection="0">
      <alignment vertical="center"/>
    </xf>
    <xf numFmtId="0" fontId="195" fillId="0" borderId="738" applyNumberFormat="0" applyFill="0" applyAlignment="0" applyProtection="0">
      <alignment vertical="center"/>
    </xf>
    <xf numFmtId="0" fontId="34" fillId="66" borderId="743" applyNumberFormat="0" applyAlignment="0" applyProtection="0"/>
    <xf numFmtId="0" fontId="34" fillId="86" borderId="769" applyNumberFormat="0" applyAlignment="0" applyProtection="0"/>
    <xf numFmtId="0" fontId="74" fillId="29" borderId="771" applyNumberFormat="0" applyAlignment="0" applyProtection="0">
      <alignment vertical="center"/>
    </xf>
    <xf numFmtId="43" fontId="43" fillId="0" borderId="0" applyFont="0" applyFill="0" applyBorder="0" applyAlignment="0" applyProtection="0"/>
    <xf numFmtId="0" fontId="46" fillId="29" borderId="771" applyNumberFormat="0" applyAlignment="0" applyProtection="0"/>
    <xf numFmtId="0" fontId="34" fillId="86" borderId="760" applyNumberFormat="0" applyAlignment="0" applyProtection="0"/>
    <xf numFmtId="43" fontId="3" fillId="0" borderId="0" applyFont="0" applyFill="0" applyBorder="0" applyAlignment="0" applyProtection="0"/>
    <xf numFmtId="0" fontId="46" fillId="79" borderId="762" applyNumberFormat="0" applyAlignment="0" applyProtection="0"/>
    <xf numFmtId="9" fontId="214" fillId="0" borderId="0" applyFont="0" applyFill="0" applyBorder="0" applyAlignment="0" applyProtection="0"/>
    <xf numFmtId="0" fontId="29" fillId="0" borderId="750" applyNumberFormat="0" applyAlignment="0" applyProtection="0"/>
    <xf numFmtId="0" fontId="29" fillId="0" borderId="750" applyNumberFormat="0" applyAlignment="0" applyProtection="0"/>
    <xf numFmtId="0" fontId="29" fillId="0" borderId="750" applyNumberFormat="0" applyAlignment="0" applyProtection="0"/>
    <xf numFmtId="0" fontId="29" fillId="0" borderId="802">
      <alignment horizontal="left" vertical="center"/>
    </xf>
    <xf numFmtId="0" fontId="34" fillId="8" borderId="769" applyNumberFormat="0" applyAlignment="0" applyProtection="0"/>
    <xf numFmtId="0" fontId="168" fillId="35" borderId="744" applyNumberFormat="0" applyFont="0" applyAlignment="0" applyProtection="0">
      <alignment vertical="center"/>
    </xf>
    <xf numFmtId="0" fontId="189" fillId="31" borderId="745" applyNumberFormat="0" applyAlignment="0" applyProtection="0">
      <alignment vertical="center"/>
    </xf>
    <xf numFmtId="0" fontId="24" fillId="0" borderId="765" applyNumberFormat="0" applyFill="0" applyAlignment="0" applyProtection="0"/>
    <xf numFmtId="0" fontId="202" fillId="31" borderId="769" applyNumberFormat="0" applyAlignment="0" applyProtection="0">
      <alignment vertical="center"/>
    </xf>
    <xf numFmtId="0" fontId="202" fillId="31" borderId="743" applyNumberFormat="0" applyAlignment="0" applyProtection="0">
      <alignment vertical="center"/>
    </xf>
    <xf numFmtId="0" fontId="34" fillId="86" borderId="751" applyNumberFormat="0" applyAlignment="0" applyProtection="0"/>
    <xf numFmtId="0" fontId="214" fillId="0" borderId="0"/>
    <xf numFmtId="0" fontId="195" fillId="0" borderId="747" applyNumberFormat="0" applyFill="0" applyAlignment="0" applyProtection="0">
      <alignment vertical="center"/>
    </xf>
    <xf numFmtId="9" fontId="214" fillId="0" borderId="0" applyFont="0" applyFill="0" applyBorder="0" applyAlignment="0" applyProtection="0"/>
    <xf numFmtId="0" fontId="34" fillId="66" borderId="751" applyNumberFormat="0" applyAlignment="0" applyProtection="0"/>
    <xf numFmtId="0" fontId="24" fillId="0" borderId="774" applyNumberFormat="0" applyFill="0" applyAlignment="0" applyProtection="0"/>
    <xf numFmtId="0" fontId="168" fillId="35" borderId="800" applyNumberFormat="0" applyFont="0" applyAlignment="0" applyProtection="0">
      <alignment vertical="center"/>
    </xf>
    <xf numFmtId="0" fontId="149" fillId="0" borderId="790" applyNumberFormat="0" applyFont="0">
      <alignment horizontal="center" vertical="center"/>
    </xf>
    <xf numFmtId="0" fontId="34" fillId="86" borderId="769" applyNumberFormat="0" applyAlignment="0" applyProtection="0"/>
    <xf numFmtId="0" fontId="34" fillId="86" borderId="751" applyNumberFormat="0" applyAlignment="0" applyProtection="0"/>
    <xf numFmtId="0" fontId="82" fillId="29" borderId="780" applyNumberFormat="0" applyAlignment="0" applyProtection="0">
      <alignment vertical="center"/>
    </xf>
    <xf numFmtId="0" fontId="29" fillId="0" borderId="764">
      <alignment horizontal="left" vertical="center"/>
    </xf>
    <xf numFmtId="0" fontId="74" fillId="29" borderId="782" applyNumberFormat="0" applyAlignment="0" applyProtection="0">
      <alignment vertical="center"/>
    </xf>
    <xf numFmtId="0" fontId="34" fillId="66" borderId="769" applyNumberFormat="0" applyAlignment="0" applyProtection="0"/>
    <xf numFmtId="0" fontId="34" fillId="86" borderId="769" applyNumberFormat="0" applyAlignment="0" applyProtection="0"/>
    <xf numFmtId="0" fontId="29" fillId="0" borderId="759" applyNumberFormat="0" applyAlignment="0" applyProtection="0"/>
    <xf numFmtId="0" fontId="29" fillId="0" borderId="759" applyNumberFormat="0" applyAlignment="0" applyProtection="0"/>
    <xf numFmtId="0" fontId="29" fillId="0" borderId="759" applyNumberFormat="0" applyAlignment="0" applyProtection="0"/>
    <xf numFmtId="0" fontId="34" fillId="86" borderId="799" applyNumberFormat="0" applyAlignment="0" applyProtection="0"/>
    <xf numFmtId="0" fontId="34" fillId="8" borderId="780" applyNumberFormat="0" applyAlignment="0" applyProtection="0"/>
    <xf numFmtId="0" fontId="168" fillId="35" borderId="752" applyNumberFormat="0" applyFont="0" applyAlignment="0" applyProtection="0">
      <alignment vertical="center"/>
    </xf>
    <xf numFmtId="0" fontId="82" fillId="29" borderId="769" applyNumberFormat="0" applyAlignment="0" applyProtection="0">
      <alignment vertical="center"/>
    </xf>
    <xf numFmtId="0" fontId="189" fillId="31" borderId="753" applyNumberFormat="0" applyAlignment="0" applyProtection="0">
      <alignment vertical="center"/>
    </xf>
    <xf numFmtId="0" fontId="24" fillId="0" borderId="774" applyNumberFormat="0" applyFill="0" applyAlignment="0" applyProtection="0"/>
    <xf numFmtId="0" fontId="34" fillId="8" borderId="784" applyNumberFormat="0" applyAlignment="0" applyProtection="0"/>
    <xf numFmtId="0" fontId="202" fillId="31" borderId="751" applyNumberFormat="0" applyAlignment="0" applyProtection="0">
      <alignment vertical="center"/>
    </xf>
    <xf numFmtId="0" fontId="34" fillId="86" borderId="760" applyNumberFormat="0" applyAlignment="0" applyProtection="0"/>
    <xf numFmtId="0" fontId="214" fillId="0" borderId="0"/>
    <xf numFmtId="0" fontId="195" fillId="0" borderId="756" applyNumberFormat="0" applyFill="0" applyAlignment="0" applyProtection="0">
      <alignment vertical="center"/>
    </xf>
    <xf numFmtId="9" fontId="214" fillId="0" borderId="0" applyFont="0" applyFill="0" applyBorder="0" applyAlignment="0" applyProtection="0"/>
    <xf numFmtId="0" fontId="34" fillId="66" borderId="760" applyNumberFormat="0" applyAlignment="0" applyProtection="0"/>
    <xf numFmtId="0" fontId="178" fillId="86" borderId="792" applyNumberFormat="0" applyAlignment="0" applyProtection="0">
      <alignment vertical="center"/>
    </xf>
    <xf numFmtId="0" fontId="34" fillId="86" borderId="760" applyNumberFormat="0" applyAlignment="0" applyProtection="0"/>
    <xf numFmtId="0" fontId="34" fillId="8" borderId="784" applyNumberFormat="0" applyAlignment="0" applyProtection="0"/>
    <xf numFmtId="0" fontId="29" fillId="0" borderId="773">
      <alignment horizontal="left" vertical="center"/>
    </xf>
    <xf numFmtId="0" fontId="29" fillId="0" borderId="768" applyNumberFormat="0" applyAlignment="0" applyProtection="0"/>
    <xf numFmtId="0" fontId="29" fillId="0" borderId="768" applyNumberFormat="0" applyAlignment="0" applyProtection="0"/>
    <xf numFmtId="0" fontId="29" fillId="0" borderId="785" applyNumberFormat="0" applyAlignment="0" applyProtection="0"/>
    <xf numFmtId="0" fontId="29" fillId="0" borderId="768" applyNumberFormat="0" applyAlignment="0" applyProtection="0"/>
    <xf numFmtId="0" fontId="25" fillId="81" borderId="800" applyNumberFormat="0" applyAlignment="0" applyProtection="0"/>
    <xf numFmtId="0" fontId="24" fillId="0" borderId="789" applyNumberFormat="0" applyFill="0" applyAlignment="0" applyProtection="0"/>
    <xf numFmtId="0" fontId="29" fillId="0" borderId="785" applyNumberFormat="0" applyAlignment="0" applyProtection="0"/>
    <xf numFmtId="0" fontId="215" fillId="0" borderId="0"/>
    <xf numFmtId="0" fontId="168" fillId="35" borderId="761" applyNumberFormat="0" applyFont="0" applyAlignment="0" applyProtection="0">
      <alignment vertical="center"/>
    </xf>
    <xf numFmtId="0" fontId="34" fillId="8" borderId="769" applyNumberFormat="0" applyAlignment="0" applyProtection="0"/>
    <xf numFmtId="0" fontId="214" fillId="0" borderId="0"/>
    <xf numFmtId="0" fontId="189" fillId="31" borderId="762" applyNumberFormat="0" applyAlignment="0" applyProtection="0">
      <alignment vertical="center"/>
    </xf>
    <xf numFmtId="0" fontId="34" fillId="8" borderId="769" applyNumberFormat="0" applyAlignment="0" applyProtection="0"/>
    <xf numFmtId="0" fontId="25" fillId="81" borderId="793" applyNumberFormat="0" applyAlignment="0" applyProtection="0"/>
    <xf numFmtId="0" fontId="202" fillId="31" borderId="760" applyNumberFormat="0" applyAlignment="0" applyProtection="0">
      <alignment vertical="center"/>
    </xf>
    <xf numFmtId="0" fontId="34" fillId="86" borderId="769" applyNumberFormat="0" applyAlignment="0" applyProtection="0"/>
    <xf numFmtId="0" fontId="214" fillId="0" borderId="0"/>
    <xf numFmtId="0" fontId="195" fillId="0" borderId="765" applyNumberFormat="0" applyFill="0" applyAlignment="0" applyProtection="0">
      <alignment vertical="center"/>
    </xf>
    <xf numFmtId="9" fontId="214" fillId="0" borderId="0" applyFont="0" applyFill="0" applyBorder="0" applyAlignment="0" applyProtection="0"/>
    <xf numFmtId="0" fontId="34" fillId="66" borderId="769" applyNumberFormat="0" applyAlignment="0" applyProtection="0"/>
    <xf numFmtId="0" fontId="34" fillId="86" borderId="769" applyNumberFormat="0" applyAlignment="0" applyProtection="0"/>
    <xf numFmtId="0" fontId="86" fillId="0" borderId="774" applyNumberFormat="0" applyFill="0" applyAlignment="0" applyProtection="0">
      <alignment vertical="center"/>
    </xf>
    <xf numFmtId="0" fontId="195" fillId="0" borderId="803" applyNumberFormat="0" applyFill="0" applyAlignment="0" applyProtection="0">
      <alignment vertical="center"/>
    </xf>
    <xf numFmtId="0" fontId="34" fillId="8" borderId="784" applyNumberFormat="0" applyAlignment="0" applyProtection="0"/>
    <xf numFmtId="0" fontId="25" fillId="81" borderId="800" applyNumberFormat="0" applyAlignment="0" applyProtection="0"/>
    <xf numFmtId="0" fontId="29" fillId="0" borderId="775" applyNumberFormat="0" applyAlignment="0" applyProtection="0"/>
    <xf numFmtId="0" fontId="29" fillId="0" borderId="775" applyNumberFormat="0" applyAlignment="0" applyProtection="0"/>
    <xf numFmtId="0" fontId="29" fillId="0" borderId="775" applyNumberFormat="0" applyAlignment="0" applyProtection="0"/>
    <xf numFmtId="0" fontId="34" fillId="86" borderId="792" applyNumberFormat="0" applyAlignment="0" applyProtection="0"/>
    <xf numFmtId="0" fontId="25" fillId="81" borderId="800" applyNumberFormat="0" applyAlignment="0" applyProtection="0"/>
    <xf numFmtId="0" fontId="34" fillId="86" borderId="792" applyNumberFormat="0" applyAlignment="0" applyProtection="0"/>
    <xf numFmtId="0" fontId="168" fillId="35" borderId="770" applyNumberFormat="0" applyFont="0" applyAlignment="0" applyProtection="0">
      <alignment vertical="center"/>
    </xf>
    <xf numFmtId="0" fontId="189" fillId="31" borderId="771" applyNumberFormat="0" applyAlignment="0" applyProtection="0">
      <alignment vertical="center"/>
    </xf>
    <xf numFmtId="0" fontId="202" fillId="31" borderId="769" applyNumberFormat="0" applyAlignment="0" applyProtection="0">
      <alignment vertical="center"/>
    </xf>
    <xf numFmtId="0" fontId="214" fillId="0" borderId="0"/>
    <xf numFmtId="0" fontId="195" fillId="0" borderId="774" applyNumberFormat="0" applyFill="0" applyAlignment="0" applyProtection="0">
      <alignment vertical="center"/>
    </xf>
    <xf numFmtId="0" fontId="29" fillId="0" borderId="802">
      <alignment horizontal="left" vertical="center"/>
    </xf>
    <xf numFmtId="2" fontId="148" fillId="0" borderId="796" applyFont="0" applyBorder="0" applyAlignment="0" applyProtection="0">
      <alignment horizontal="right"/>
    </xf>
    <xf numFmtId="0" fontId="18" fillId="79" borderId="799" applyNumberFormat="0" applyAlignment="0" applyProtection="0"/>
    <xf numFmtId="0" fontId="34" fillId="8" borderId="769" applyNumberFormat="0" applyAlignment="0" applyProtection="0"/>
    <xf numFmtId="0" fontId="34" fillId="8" borderId="784" applyNumberFormat="0" applyAlignment="0" applyProtection="0"/>
    <xf numFmtId="0" fontId="29" fillId="0" borderId="798">
      <alignment horizontal="left" vertical="center"/>
    </xf>
    <xf numFmtId="0" fontId="18" fillId="79" borderId="792" applyNumberFormat="0" applyAlignment="0" applyProtection="0"/>
    <xf numFmtId="0" fontId="29" fillId="0" borderId="779" applyNumberFormat="0" applyAlignment="0" applyProtection="0"/>
    <xf numFmtId="0" fontId="34" fillId="8" borderId="792" applyNumberFormat="0" applyAlignment="0" applyProtection="0"/>
    <xf numFmtId="0" fontId="34" fillId="8" borderId="792" applyNumberFormat="0" applyAlignment="0" applyProtection="0"/>
    <xf numFmtId="0" fontId="34" fillId="86" borderId="792" applyNumberFormat="0" applyAlignment="0" applyProtection="0"/>
    <xf numFmtId="43" fontId="3" fillId="0" borderId="0" applyFont="0" applyFill="0" applyBorder="0" applyAlignment="0" applyProtection="0"/>
    <xf numFmtId="0" fontId="46" fillId="79" borderId="801" applyNumberFormat="0" applyAlignment="0" applyProtection="0"/>
    <xf numFmtId="0" fontId="2" fillId="37" borderId="793" applyNumberFormat="0" applyFont="0" applyAlignment="0" applyProtection="0">
      <alignment vertical="center"/>
    </xf>
    <xf numFmtId="0" fontId="178" fillId="86" borderId="792" applyNumberFormat="0" applyAlignment="0" applyProtection="0">
      <alignment vertical="center"/>
    </xf>
    <xf numFmtId="0" fontId="34" fillId="66" borderId="799" applyNumberFormat="0" applyAlignment="0" applyProtection="0"/>
    <xf numFmtId="0" fontId="34" fillId="86" borderId="799" applyNumberFormat="0" applyAlignment="0" applyProtection="0"/>
    <xf numFmtId="0" fontId="46" fillId="79" borderId="801" applyNumberFormat="0" applyAlignment="0" applyProtection="0"/>
    <xf numFmtId="0" fontId="7" fillId="37" borderId="787" applyNumberFormat="0" applyFont="0" applyAlignment="0" applyProtection="0"/>
    <xf numFmtId="0" fontId="46" fillId="29" borderId="788" applyNumberFormat="0" applyAlignment="0" applyProtection="0"/>
    <xf numFmtId="43" fontId="3" fillId="0" borderId="0" applyFont="0" applyFill="0" applyBorder="0" applyAlignment="0" applyProtection="0"/>
    <xf numFmtId="0" fontId="24" fillId="0" borderId="789" applyNumberFormat="0" applyFill="0" applyAlignment="0" applyProtection="0"/>
    <xf numFmtId="0" fontId="2" fillId="37" borderId="787" applyNumberFormat="0" applyFont="0" applyAlignment="0" applyProtection="0">
      <alignment vertical="center"/>
    </xf>
    <xf numFmtId="0" fontId="73" fillId="8" borderId="784" applyNumberFormat="0" applyAlignment="0" applyProtection="0">
      <alignment vertical="center"/>
    </xf>
    <xf numFmtId="0" fontId="74" fillId="29" borderId="788" applyNumberFormat="0" applyAlignment="0" applyProtection="0">
      <alignment vertical="center"/>
    </xf>
    <xf numFmtId="0" fontId="82" fillId="29" borderId="784" applyNumberFormat="0" applyAlignment="0" applyProtection="0">
      <alignment vertical="center"/>
    </xf>
    <xf numFmtId="0" fontId="86" fillId="0" borderId="789" applyNumberFormat="0" applyFill="0" applyAlignment="0" applyProtection="0">
      <alignment vertical="center"/>
    </xf>
    <xf numFmtId="0" fontId="46" fillId="31" borderId="801" applyNumberFormat="0" applyAlignment="0" applyProtection="0"/>
    <xf numFmtId="0" fontId="46" fillId="79" borderId="801" applyNumberFormat="0" applyAlignment="0" applyProtection="0"/>
    <xf numFmtId="2" fontId="148" fillId="0" borderId="796" applyFont="0" applyBorder="0" applyAlignment="0" applyProtection="0">
      <alignment horizontal="right"/>
    </xf>
    <xf numFmtId="0" fontId="34" fillId="86" borderId="792" applyNumberFormat="0" applyAlignment="0" applyProtection="0"/>
    <xf numFmtId="9" fontId="3" fillId="0" borderId="0" applyFont="0" applyFill="0" applyBorder="0" applyAlignment="0" applyProtection="0"/>
    <xf numFmtId="0" fontId="195" fillId="0" borderId="795" applyNumberFormat="0" applyFill="0" applyAlignment="0" applyProtection="0">
      <alignment vertical="center"/>
    </xf>
    <xf numFmtId="0" fontId="34" fillId="66" borderId="799" applyNumberFormat="0" applyAlignment="0" applyProtection="0"/>
    <xf numFmtId="0" fontId="29" fillId="0" borderId="798">
      <alignment horizontal="left" vertical="center"/>
    </xf>
    <xf numFmtId="0" fontId="29" fillId="0" borderId="798">
      <alignment horizontal="left" vertical="center"/>
    </xf>
    <xf numFmtId="0" fontId="34" fillId="66" borderId="792" applyNumberFormat="0" applyAlignment="0" applyProtection="0"/>
    <xf numFmtId="0" fontId="34" fillId="86" borderId="792" applyNumberFormat="0" applyAlignment="0" applyProtection="0"/>
    <xf numFmtId="0" fontId="34" fillId="86" borderId="792" applyNumberFormat="0" applyAlignment="0" applyProtection="0"/>
    <xf numFmtId="0" fontId="34" fillId="86" borderId="792" applyNumberFormat="0" applyAlignment="0" applyProtection="0"/>
    <xf numFmtId="0" fontId="202" fillId="31" borderId="792" applyNumberFormat="0" applyAlignment="0" applyProtection="0">
      <alignment vertical="center"/>
    </xf>
    <xf numFmtId="0" fontId="18" fillId="31" borderId="799" applyNumberFormat="0" applyAlignment="0" applyProtection="0"/>
    <xf numFmtId="0" fontId="34" fillId="86" borderId="799" applyNumberFormat="0" applyAlignment="0" applyProtection="0"/>
    <xf numFmtId="0" fontId="189" fillId="31" borderId="801" applyNumberFormat="0" applyAlignment="0" applyProtection="0">
      <alignment vertical="center"/>
    </xf>
    <xf numFmtId="0" fontId="46" fillId="79" borderId="801" applyNumberFormat="0" applyAlignment="0" applyProtection="0"/>
    <xf numFmtId="0" fontId="18" fillId="79" borderId="799" applyNumberFormat="0" applyAlignment="0" applyProtection="0"/>
    <xf numFmtId="0" fontId="25" fillId="81" borderId="793" applyNumberFormat="0" applyAlignment="0" applyProtection="0"/>
    <xf numFmtId="0" fontId="7" fillId="35" borderId="793" applyNumberFormat="0" applyFont="0" applyAlignment="0" applyProtection="0"/>
    <xf numFmtId="0" fontId="46" fillId="79" borderId="794" applyNumberFormat="0" applyAlignment="0" applyProtection="0"/>
    <xf numFmtId="0" fontId="46" fillId="31" borderId="794" applyNumberFormat="0" applyAlignment="0" applyProtection="0"/>
    <xf numFmtId="0" fontId="46" fillId="79" borderId="794" applyNumberFormat="0" applyAlignment="0" applyProtection="0"/>
    <xf numFmtId="0" fontId="46" fillId="79" borderId="794" applyNumberFormat="0" applyAlignment="0" applyProtection="0"/>
    <xf numFmtId="0" fontId="34" fillId="86" borderId="799" applyNumberFormat="0" applyAlignment="0" applyProtection="0"/>
    <xf numFmtId="0" fontId="34" fillId="86" borderId="799" applyNumberFormat="0" applyAlignment="0" applyProtection="0"/>
    <xf numFmtId="0" fontId="185" fillId="0" borderId="797" applyNumberFormat="0" applyFont="0">
      <alignment horizontal="center" vertical="center"/>
    </xf>
    <xf numFmtId="0" fontId="34" fillId="66" borderId="799" applyNumberFormat="0" applyAlignment="0" applyProtection="0"/>
    <xf numFmtId="0" fontId="34" fillId="86" borderId="799" applyNumberFormat="0" applyAlignment="0" applyProtection="0"/>
    <xf numFmtId="0" fontId="34" fillId="86" borderId="799" applyNumberFormat="0" applyAlignment="0" applyProtection="0"/>
    <xf numFmtId="0" fontId="178" fillId="86" borderId="799" applyNumberFormat="0" applyAlignment="0" applyProtection="0">
      <alignment vertical="center"/>
    </xf>
    <xf numFmtId="0" fontId="34" fillId="86" borderId="799" applyNumberFormat="0" applyAlignment="0" applyProtection="0"/>
    <xf numFmtId="0" fontId="29" fillId="0" borderId="802">
      <alignment horizontal="left" vertical="center"/>
    </xf>
    <xf numFmtId="0" fontId="29" fillId="0" borderId="779" applyNumberFormat="0" applyAlignment="0" applyProtection="0"/>
    <xf numFmtId="0" fontId="29" fillId="0" borderId="779" applyNumberFormat="0" applyAlignment="0" applyProtection="0"/>
    <xf numFmtId="0" fontId="29" fillId="0" borderId="779" applyNumberFormat="0" applyAlignment="0" applyProtection="0"/>
    <xf numFmtId="0" fontId="168" fillId="35" borderId="793" applyNumberFormat="0" applyFont="0" applyAlignment="0" applyProtection="0">
      <alignment vertical="center"/>
    </xf>
    <xf numFmtId="0" fontId="189" fillId="31" borderId="794" applyNumberFormat="0" applyAlignment="0" applyProtection="0">
      <alignment vertical="center"/>
    </xf>
    <xf numFmtId="0" fontId="202" fillId="31" borderId="792" applyNumberFormat="0" applyAlignment="0" applyProtection="0">
      <alignment vertical="center"/>
    </xf>
    <xf numFmtId="0" fontId="34" fillId="86" borderId="799" applyNumberFormat="0" applyAlignment="0" applyProtection="0"/>
    <xf numFmtId="0" fontId="214" fillId="0" borderId="0"/>
    <xf numFmtId="0" fontId="195" fillId="0" borderId="795" applyNumberFormat="0" applyFill="0" applyAlignment="0" applyProtection="0">
      <alignment vertical="center"/>
    </xf>
    <xf numFmtId="0" fontId="34" fillId="86" borderId="799" applyNumberFormat="0" applyAlignment="0" applyProtection="0"/>
    <xf numFmtId="0" fontId="213" fillId="0" borderId="0"/>
    <xf numFmtId="9" fontId="214" fillId="0" borderId="0" applyFont="0" applyFill="0" applyBorder="0" applyAlignment="0" applyProtection="0"/>
    <xf numFmtId="0" fontId="168" fillId="35" borderId="800" applyNumberFormat="0" applyFont="0" applyAlignment="0" applyProtection="0">
      <alignment vertical="center"/>
    </xf>
    <xf numFmtId="0" fontId="189" fillId="31" borderId="801" applyNumberFormat="0" applyAlignment="0" applyProtection="0">
      <alignment vertical="center"/>
    </xf>
    <xf numFmtId="0" fontId="202" fillId="31" borderId="799" applyNumberFormat="0" applyAlignment="0" applyProtection="0">
      <alignment vertical="center"/>
    </xf>
    <xf numFmtId="0" fontId="195" fillId="0" borderId="803" applyNumberFormat="0" applyFill="0" applyAlignment="0" applyProtection="0">
      <alignment vertical="center"/>
    </xf>
    <xf numFmtId="9" fontId="214" fillId="0" borderId="0" applyFont="0" applyFill="0" applyBorder="0" applyAlignment="0" applyProtection="0"/>
    <xf numFmtId="0" fontId="214" fillId="0" borderId="0"/>
    <xf numFmtId="0" fontId="34" fillId="86" borderId="828" applyNumberFormat="0" applyAlignment="0" applyProtection="0"/>
    <xf numFmtId="0" fontId="18" fillId="79" borderId="877" applyNumberFormat="0" applyAlignment="0" applyProtection="0"/>
    <xf numFmtId="43" fontId="3" fillId="0" borderId="0" applyFont="0" applyFill="0" applyBorder="0" applyAlignment="0" applyProtection="0"/>
    <xf numFmtId="43" fontId="3" fillId="0" borderId="0" applyFont="0" applyFill="0" applyBorder="0" applyAlignment="0" applyProtection="0"/>
    <xf numFmtId="0" fontId="25" fillId="81" borderId="819" applyNumberFormat="0" applyAlignment="0" applyProtection="0"/>
    <xf numFmtId="0" fontId="25" fillId="81" borderId="829" applyNumberFormat="0" applyAlignment="0" applyProtection="0"/>
    <xf numFmtId="0" fontId="29" fillId="0" borderId="825" applyNumberFormat="0" applyAlignment="0" applyProtection="0"/>
    <xf numFmtId="0" fontId="3" fillId="0" borderId="0"/>
    <xf numFmtId="0" fontId="34" fillId="86" borderId="818" applyNumberFormat="0" applyAlignment="0" applyProtection="0"/>
    <xf numFmtId="0" fontId="215" fillId="0" borderId="0"/>
    <xf numFmtId="0" fontId="195" fillId="0" borderId="833" applyNumberFormat="0" applyFill="0" applyAlignment="0" applyProtection="0">
      <alignment vertical="center"/>
    </xf>
    <xf numFmtId="0" fontId="18" fillId="79" borderId="810" applyNumberFormat="0" applyAlignment="0" applyProtection="0"/>
    <xf numFmtId="43" fontId="3" fillId="0" borderId="0" applyFill="0" applyBorder="0" applyAlignment="0"/>
    <xf numFmtId="0" fontId="46" fillId="79" borderId="868" applyNumberFormat="0" applyAlignment="0" applyProtection="0"/>
    <xf numFmtId="0" fontId="34" fillId="86" borderId="810" applyNumberFormat="0" applyAlignment="0" applyProtection="0"/>
    <xf numFmtId="0" fontId="7" fillId="35" borderId="829" applyNumberFormat="0" applyFont="0" applyAlignment="0" applyProtection="0"/>
    <xf numFmtId="0" fontId="86" fillId="0" borderId="803" applyNumberFormat="0" applyFill="0" applyAlignment="0" applyProtection="0">
      <alignment vertical="center"/>
    </xf>
    <xf numFmtId="0" fontId="29" fillId="0" borderId="872" applyNumberFormat="0" applyAlignment="0" applyProtection="0"/>
    <xf numFmtId="2" fontId="174" fillId="0" borderId="824" applyFont="0" applyBorder="0" applyAlignment="0" applyProtection="0">
      <alignment horizontal="right"/>
    </xf>
    <xf numFmtId="0" fontId="202" fillId="31" borderId="818" applyNumberFormat="0" applyAlignment="0" applyProtection="0">
      <alignment vertical="center"/>
    </xf>
    <xf numFmtId="0" fontId="34" fillId="66" borderId="877" applyNumberFormat="0" applyAlignment="0" applyProtection="0"/>
    <xf numFmtId="9" fontId="3" fillId="0" borderId="0" applyFont="0" applyFill="0" applyBorder="0" applyAlignment="0" applyProtection="0"/>
    <xf numFmtId="0" fontId="178" fillId="86" borderId="855" applyNumberFormat="0" applyAlignment="0" applyProtection="0">
      <alignment vertical="center"/>
    </xf>
    <xf numFmtId="0" fontId="195" fillId="0" borderId="860" applyNumberFormat="0" applyFill="0" applyAlignment="0" applyProtection="0">
      <alignment vertical="center"/>
    </xf>
    <xf numFmtId="0" fontId="24" fillId="0" borderId="833" applyNumberFormat="0" applyFill="0" applyAlignment="0" applyProtection="0"/>
    <xf numFmtId="0" fontId="29" fillId="0" borderId="848" applyNumberFormat="0" applyAlignment="0" applyProtection="0"/>
    <xf numFmtId="0" fontId="34" fillId="8" borderId="799" applyNumberFormat="0" applyAlignment="0" applyProtection="0"/>
    <xf numFmtId="0" fontId="25" fillId="81" borderId="811" applyNumberFormat="0" applyAlignment="0" applyProtection="0"/>
    <xf numFmtId="0" fontId="29" fillId="0" borderId="863" applyNumberFormat="0" applyAlignment="0" applyProtection="0"/>
    <xf numFmtId="0" fontId="18" fillId="79" borderId="835" applyNumberFormat="0" applyAlignment="0" applyProtection="0"/>
    <xf numFmtId="0" fontId="18" fillId="79" borderId="828" applyNumberFormat="0" applyAlignment="0" applyProtection="0"/>
    <xf numFmtId="0" fontId="195" fillId="0" borderId="833" applyNumberFormat="0" applyFill="0" applyAlignment="0" applyProtection="0">
      <alignment vertical="center"/>
    </xf>
    <xf numFmtId="0" fontId="18" fillId="79" borderId="835" applyNumberFormat="0" applyAlignment="0" applyProtection="0"/>
    <xf numFmtId="0" fontId="29" fillId="0" borderId="817" applyNumberFormat="0" applyAlignment="0" applyProtection="0"/>
    <xf numFmtId="2" fontId="174" fillId="0" borderId="804" applyFont="0" applyBorder="0" applyAlignment="0" applyProtection="0">
      <alignment horizontal="right"/>
    </xf>
    <xf numFmtId="0" fontId="29" fillId="0" borderId="817" applyNumberFormat="0" applyAlignment="0" applyProtection="0"/>
    <xf numFmtId="0" fontId="34" fillId="86" borderId="828" applyNumberFormat="0" applyAlignment="0" applyProtection="0"/>
    <xf numFmtId="0" fontId="29" fillId="0" borderId="872" applyNumberFormat="0" applyAlignment="0" applyProtection="0"/>
    <xf numFmtId="0" fontId="34" fillId="86" borderId="866" applyNumberFormat="0" applyAlignment="0" applyProtection="0"/>
    <xf numFmtId="0" fontId="29" fillId="0" borderId="872" applyNumberFormat="0" applyAlignment="0" applyProtection="0"/>
    <xf numFmtId="0" fontId="24" fillId="0" borderId="815" applyNumberFormat="0" applyFill="0" applyAlignment="0" applyProtection="0"/>
    <xf numFmtId="0" fontId="34" fillId="8" borderId="841" applyNumberFormat="0" applyAlignment="0" applyProtection="0"/>
    <xf numFmtId="0" fontId="34" fillId="86" borderId="877" applyNumberFormat="0" applyAlignment="0" applyProtection="0"/>
    <xf numFmtId="0" fontId="18" fillId="79" borderId="810" applyNumberFormat="0" applyAlignment="0" applyProtection="0"/>
    <xf numFmtId="0" fontId="25" fillId="81" borderId="838" applyNumberFormat="0" applyAlignment="0" applyProtection="0"/>
    <xf numFmtId="0" fontId="29" fillId="0" borderId="816">
      <alignment horizontal="left" vertical="center"/>
    </xf>
    <xf numFmtId="0" fontId="202" fillId="31" borderId="877" applyNumberFormat="0" applyAlignment="0" applyProtection="0">
      <alignment vertical="center"/>
    </xf>
    <xf numFmtId="0" fontId="202" fillId="31" borderId="810" applyNumberFormat="0" applyAlignment="0" applyProtection="0">
      <alignment vertical="center"/>
    </xf>
    <xf numFmtId="0" fontId="29" fillId="0" borderId="848" applyNumberFormat="0" applyAlignment="0" applyProtection="0"/>
    <xf numFmtId="0" fontId="29" fillId="0" borderId="814">
      <alignment horizontal="left" vertical="center"/>
    </xf>
    <xf numFmtId="0" fontId="34" fillId="66" borderId="835" applyNumberFormat="0" applyAlignment="0" applyProtection="0"/>
    <xf numFmtId="0" fontId="34" fillId="86" borderId="828" applyNumberFormat="0" applyAlignment="0" applyProtection="0"/>
    <xf numFmtId="0" fontId="18" fillId="79" borderId="818" applyNumberFormat="0" applyAlignment="0" applyProtection="0"/>
    <xf numFmtId="0" fontId="29" fillId="0" borderId="822">
      <alignment horizontal="left" vertical="center"/>
    </xf>
    <xf numFmtId="43" fontId="3" fillId="0" borderId="0" applyFont="0" applyFill="0" applyBorder="0" applyAlignment="0" applyProtection="0"/>
    <xf numFmtId="0" fontId="46" fillId="79" borderId="830" applyNumberFormat="0" applyAlignment="0" applyProtection="0"/>
    <xf numFmtId="0" fontId="46" fillId="79" borderId="839" applyNumberFormat="0" applyAlignment="0" applyProtection="0"/>
    <xf numFmtId="0" fontId="46" fillId="79" borderId="812" applyNumberFormat="0" applyAlignment="0" applyProtection="0"/>
    <xf numFmtId="0" fontId="214" fillId="0" borderId="0"/>
    <xf numFmtId="0" fontId="34" fillId="86" borderId="866" applyNumberFormat="0" applyAlignment="0" applyProtection="0"/>
    <xf numFmtId="0" fontId="34" fillId="86" borderId="855" applyNumberFormat="0" applyAlignment="0" applyProtection="0"/>
    <xf numFmtId="0" fontId="29" fillId="0" borderId="827" applyNumberFormat="0" applyAlignment="0" applyProtection="0"/>
    <xf numFmtId="0" fontId="34" fillId="8" borderId="810" applyNumberFormat="0" applyAlignment="0" applyProtection="0"/>
    <xf numFmtId="0" fontId="29" fillId="0" borderId="870">
      <alignment horizontal="left" vertical="center"/>
    </xf>
    <xf numFmtId="0" fontId="29" fillId="0" borderId="817" applyNumberFormat="0" applyAlignment="0" applyProtection="0"/>
    <xf numFmtId="0" fontId="25" fillId="81" borderId="878" applyNumberFormat="0" applyAlignment="0" applyProtection="0"/>
    <xf numFmtId="0" fontId="46" fillId="31" borderId="812" applyNumberFormat="0" applyAlignment="0" applyProtection="0"/>
    <xf numFmtId="0" fontId="34" fillId="86" borderId="855" applyNumberFormat="0" applyAlignment="0" applyProtection="0"/>
    <xf numFmtId="0" fontId="34" fillId="86" borderId="877" applyNumberFormat="0" applyAlignment="0" applyProtection="0"/>
    <xf numFmtId="0" fontId="34" fillId="86" borderId="877" applyNumberFormat="0" applyAlignment="0" applyProtection="0"/>
    <xf numFmtId="0" fontId="25" fillId="81" borderId="856" applyNumberFormat="0" applyAlignment="0" applyProtection="0"/>
    <xf numFmtId="0" fontId="74" fillId="29" borderId="801" applyNumberFormat="0" applyAlignment="0" applyProtection="0">
      <alignment vertical="center"/>
    </xf>
    <xf numFmtId="0" fontId="29" fillId="0" borderId="832">
      <alignment horizontal="left" vertical="center"/>
    </xf>
    <xf numFmtId="0" fontId="3" fillId="0" borderId="0"/>
    <xf numFmtId="0" fontId="34" fillId="86" borderId="818" applyNumberFormat="0" applyAlignment="0" applyProtection="0"/>
    <xf numFmtId="0" fontId="46" fillId="79" borderId="857" applyNumberFormat="0" applyAlignment="0" applyProtection="0"/>
    <xf numFmtId="0" fontId="18" fillId="79" borderId="866" applyNumberFormat="0" applyAlignment="0" applyProtection="0"/>
    <xf numFmtId="0" fontId="34" fillId="8" borderId="799" applyNumberFormat="0" applyAlignment="0" applyProtection="0"/>
    <xf numFmtId="0" fontId="86" fillId="0" borderId="844" applyNumberFormat="0" applyFill="0" applyAlignment="0" applyProtection="0">
      <alignment vertical="center"/>
    </xf>
    <xf numFmtId="0" fontId="29" fillId="0" borderId="849" applyNumberFormat="0" applyAlignment="0" applyProtection="0"/>
    <xf numFmtId="43" fontId="3" fillId="0" borderId="0" applyFill="0" applyBorder="0" applyAlignment="0"/>
    <xf numFmtId="0" fontId="24" fillId="0" borderId="840" applyNumberFormat="0" applyFill="0" applyAlignment="0" applyProtection="0"/>
    <xf numFmtId="0" fontId="168" fillId="35" borderId="856" applyNumberFormat="0" applyFont="0" applyAlignment="0" applyProtection="0">
      <alignment vertical="center"/>
    </xf>
    <xf numFmtId="43" fontId="3" fillId="0" borderId="0" applyFill="0" applyBorder="0" applyAlignment="0"/>
    <xf numFmtId="0" fontId="29" fillId="0" borderId="849" applyNumberFormat="0" applyAlignment="0" applyProtection="0"/>
    <xf numFmtId="0" fontId="34" fillId="8" borderId="841" applyNumberFormat="0" applyAlignment="0" applyProtection="0"/>
    <xf numFmtId="43" fontId="3" fillId="0" borderId="0" applyFont="0" applyFill="0" applyBorder="0" applyAlignment="0" applyProtection="0"/>
    <xf numFmtId="0" fontId="18" fillId="79" borderId="855" applyNumberFormat="0" applyAlignment="0" applyProtection="0"/>
    <xf numFmtId="43" fontId="3" fillId="0" borderId="0" applyFont="0" applyFill="0" applyBorder="0" applyAlignment="0" applyProtection="0"/>
    <xf numFmtId="0" fontId="34" fillId="86" borderId="866" applyNumberFormat="0" applyAlignment="0" applyProtection="0"/>
    <xf numFmtId="0" fontId="25" fillId="81" borderId="867" applyNumberFormat="0" applyAlignment="0" applyProtection="0"/>
    <xf numFmtId="0" fontId="29" fillId="0" borderId="832">
      <alignment horizontal="left" vertical="center"/>
    </xf>
    <xf numFmtId="0" fontId="25" fillId="81" borderId="819" applyNumberFormat="0" applyAlignment="0" applyProtection="0"/>
    <xf numFmtId="0" fontId="46" fillId="79" borderId="839" applyNumberFormat="0" applyAlignment="0" applyProtection="0"/>
    <xf numFmtId="0" fontId="34" fillId="66" borderId="855" applyNumberFormat="0" applyAlignment="0" applyProtection="0"/>
    <xf numFmtId="0" fontId="46" fillId="29" borderId="801" applyNumberFormat="0" applyAlignment="0" applyProtection="0"/>
    <xf numFmtId="0" fontId="74" fillId="29" borderId="839" applyNumberFormat="0" applyAlignment="0" applyProtection="0">
      <alignment vertical="center"/>
    </xf>
    <xf numFmtId="0" fontId="46" fillId="79" borderId="879" applyNumberFormat="0" applyAlignment="0" applyProtection="0"/>
    <xf numFmtId="0" fontId="7" fillId="37" borderId="811" applyNumberFormat="0" applyFont="0" applyAlignment="0" applyProtection="0"/>
    <xf numFmtId="0" fontId="25" fillId="81" borderId="838" applyNumberFormat="0" applyAlignment="0" applyProtection="0"/>
    <xf numFmtId="0" fontId="202" fillId="31" borderId="866" applyNumberFormat="0" applyAlignment="0" applyProtection="0">
      <alignment vertical="center"/>
    </xf>
    <xf numFmtId="0" fontId="3" fillId="0" borderId="0"/>
    <xf numFmtId="0" fontId="34" fillId="86" borderId="866" applyNumberFormat="0" applyAlignment="0" applyProtection="0"/>
    <xf numFmtId="0" fontId="185" fillId="0" borderId="813" applyNumberFormat="0" applyFont="0">
      <alignment horizontal="center" vertical="center"/>
    </xf>
    <xf numFmtId="0" fontId="34" fillId="86" borderId="818" applyNumberFormat="0" applyAlignment="0" applyProtection="0"/>
    <xf numFmtId="0" fontId="34" fillId="86" borderId="818" applyNumberFormat="0" applyAlignment="0" applyProtection="0"/>
    <xf numFmtId="0" fontId="34" fillId="66" borderId="818" applyNumberFormat="0" applyAlignment="0" applyProtection="0"/>
    <xf numFmtId="0" fontId="24" fillId="0" borderId="860" applyNumberFormat="0" applyFill="0" applyAlignment="0" applyProtection="0"/>
    <xf numFmtId="0" fontId="34" fillId="66" borderId="855" applyNumberFormat="0" applyAlignment="0" applyProtection="0"/>
    <xf numFmtId="0" fontId="46" fillId="79" borderId="812" applyNumberFormat="0" applyAlignment="0" applyProtection="0"/>
    <xf numFmtId="0" fontId="34" fillId="8" borderId="799" applyNumberFormat="0" applyAlignment="0" applyProtection="0"/>
    <xf numFmtId="0" fontId="46" fillId="79" borderId="812" applyNumberFormat="0" applyAlignment="0" applyProtection="0"/>
    <xf numFmtId="0" fontId="202" fillId="31" borderId="828" applyNumberFormat="0" applyAlignment="0" applyProtection="0">
      <alignment vertical="center"/>
    </xf>
    <xf numFmtId="0" fontId="46" fillId="79" borderId="812" applyNumberFormat="0" applyAlignment="0" applyProtection="0"/>
    <xf numFmtId="0" fontId="25" fillId="81" borderId="829" applyNumberFormat="0" applyAlignment="0" applyProtection="0"/>
    <xf numFmtId="0" fontId="34" fillId="8" borderId="810" applyNumberFormat="0" applyAlignment="0" applyProtection="0"/>
    <xf numFmtId="0" fontId="29" fillId="0" borderId="837">
      <alignment horizontal="left" vertical="center"/>
    </xf>
    <xf numFmtId="0" fontId="29" fillId="0" borderId="876" applyNumberFormat="0" applyAlignment="0" applyProtection="0"/>
    <xf numFmtId="0" fontId="29" fillId="0" borderId="859">
      <alignment horizontal="left" vertical="center"/>
    </xf>
    <xf numFmtId="0" fontId="34" fillId="66" borderId="877" applyNumberFormat="0" applyAlignment="0" applyProtection="0"/>
    <xf numFmtId="0" fontId="7" fillId="35" borderId="811" applyNumberFormat="0" applyFont="0" applyAlignment="0" applyProtection="0"/>
    <xf numFmtId="0" fontId="195" fillId="0" borderId="882" applyNumberFormat="0" applyFill="0" applyAlignment="0" applyProtection="0">
      <alignment vertical="center"/>
    </xf>
    <xf numFmtId="0" fontId="25" fillId="81" borderId="811" applyNumberFormat="0" applyAlignment="0" applyProtection="0"/>
    <xf numFmtId="0" fontId="168" fillId="35" borderId="867" applyNumberFormat="0" applyFont="0" applyAlignment="0" applyProtection="0">
      <alignment vertical="center"/>
    </xf>
    <xf numFmtId="0" fontId="34" fillId="86" borderId="818" applyNumberFormat="0" applyAlignment="0" applyProtection="0"/>
    <xf numFmtId="0" fontId="34" fillId="66" borderId="828" applyNumberFormat="0" applyAlignment="0" applyProtection="0"/>
    <xf numFmtId="0" fontId="202" fillId="31" borderId="855" applyNumberFormat="0" applyAlignment="0" applyProtection="0">
      <alignment vertical="center"/>
    </xf>
    <xf numFmtId="0" fontId="18" fillId="31" borderId="855" applyNumberFormat="0" applyAlignment="0" applyProtection="0"/>
    <xf numFmtId="0" fontId="46" fillId="79" borderId="820" applyNumberFormat="0" applyAlignment="0" applyProtection="0"/>
    <xf numFmtId="0" fontId="34" fillId="8" borderId="810" applyNumberFormat="0" applyAlignment="0" applyProtection="0"/>
    <xf numFmtId="0" fontId="34" fillId="86" borderId="818" applyNumberFormat="0" applyAlignment="0" applyProtection="0"/>
    <xf numFmtId="0" fontId="34" fillId="8" borderId="841" applyNumberFormat="0" applyAlignment="0" applyProtection="0"/>
    <xf numFmtId="0" fontId="29" fillId="0" borderId="836" applyNumberFormat="0" applyAlignment="0" applyProtection="0"/>
    <xf numFmtId="0" fontId="29" fillId="0" borderId="848" applyNumberFormat="0" applyAlignment="0" applyProtection="0"/>
    <xf numFmtId="0" fontId="215" fillId="0" borderId="0"/>
    <xf numFmtId="0" fontId="29" fillId="0" borderId="848" applyNumberFormat="0" applyAlignment="0" applyProtection="0"/>
    <xf numFmtId="0" fontId="34" fillId="86" borderId="855" applyNumberFormat="0" applyAlignment="0" applyProtection="0"/>
    <xf numFmtId="0" fontId="18" fillId="79" borderId="818" applyNumberFormat="0" applyAlignment="0" applyProtection="0"/>
    <xf numFmtId="0" fontId="29" fillId="0" borderId="881">
      <alignment horizontal="left" vertical="center"/>
    </xf>
    <xf numFmtId="0" fontId="29" fillId="0" borderId="876" applyNumberFormat="0" applyAlignment="0" applyProtection="0"/>
    <xf numFmtId="0" fontId="34" fillId="8" borderId="799" applyNumberFormat="0" applyAlignment="0" applyProtection="0"/>
    <xf numFmtId="0" fontId="74" fillId="29" borderId="812" applyNumberFormat="0" applyAlignment="0" applyProtection="0">
      <alignment vertical="center"/>
    </xf>
    <xf numFmtId="0" fontId="18" fillId="79" borderId="828" applyNumberFormat="0" applyAlignment="0" applyProtection="0"/>
    <xf numFmtId="0" fontId="34" fillId="86" borderId="866" applyNumberFormat="0" applyAlignment="0" applyProtection="0"/>
    <xf numFmtId="0" fontId="29" fillId="0" borderId="847" applyNumberFormat="0" applyAlignment="0" applyProtection="0"/>
    <xf numFmtId="0" fontId="34" fillId="8" borderId="841" applyNumberFormat="0" applyAlignment="0" applyProtection="0"/>
    <xf numFmtId="0" fontId="18" fillId="79" borderId="818" applyNumberFormat="0" applyAlignment="0" applyProtection="0"/>
    <xf numFmtId="0" fontId="214" fillId="0" borderId="0"/>
    <xf numFmtId="0" fontId="29" fillId="0" borderId="862">
      <alignment horizontal="left" vertical="center"/>
    </xf>
    <xf numFmtId="0" fontId="29" fillId="0" borderId="825" applyNumberFormat="0" applyAlignment="0" applyProtection="0"/>
    <xf numFmtId="0" fontId="34" fillId="86" borderId="877" applyNumberFormat="0" applyAlignment="0" applyProtection="0"/>
    <xf numFmtId="0" fontId="46" fillId="79" borderId="879" applyNumberFormat="0" applyAlignment="0" applyProtection="0"/>
    <xf numFmtId="0" fontId="29" fillId="0" borderId="852">
      <alignment horizontal="left" vertical="center"/>
    </xf>
    <xf numFmtId="0" fontId="82" fillId="29" borderId="799" applyNumberFormat="0" applyAlignment="0" applyProtection="0">
      <alignment vertical="center"/>
    </xf>
    <xf numFmtId="0" fontId="29" fillId="0" borderId="886">
      <alignment horizontal="left" vertical="center"/>
    </xf>
    <xf numFmtId="0" fontId="29" fillId="0" borderId="872" applyNumberFormat="0" applyAlignment="0" applyProtection="0"/>
    <xf numFmtId="0" fontId="34" fillId="86" borderId="818" applyNumberFormat="0" applyAlignment="0" applyProtection="0"/>
    <xf numFmtId="0" fontId="34" fillId="8" borderId="799" applyNumberFormat="0" applyAlignment="0" applyProtection="0"/>
    <xf numFmtId="43" fontId="3" fillId="0" borderId="0" applyFont="0" applyFill="0" applyBorder="0" applyAlignment="0" applyProtection="0"/>
    <xf numFmtId="0" fontId="46" fillId="79" borderId="868" applyNumberFormat="0" applyAlignment="0" applyProtection="0"/>
    <xf numFmtId="0" fontId="29" fillId="0" borderId="822">
      <alignment horizontal="left" vertical="center"/>
    </xf>
    <xf numFmtId="0" fontId="189" fillId="31" borderId="830" applyNumberFormat="0" applyAlignment="0" applyProtection="0">
      <alignment vertical="center"/>
    </xf>
    <xf numFmtId="0" fontId="34" fillId="86" borderId="866" applyNumberFormat="0" applyAlignment="0" applyProtection="0"/>
    <xf numFmtId="0" fontId="24" fillId="0" borderId="844" applyNumberFormat="0" applyFill="0" applyAlignment="0" applyProtection="0"/>
    <xf numFmtId="0" fontId="25" fillId="81" borderId="819" applyNumberFormat="0" applyAlignment="0" applyProtection="0"/>
    <xf numFmtId="0" fontId="29" fillId="0" borderId="834">
      <alignment horizontal="left" vertical="center"/>
    </xf>
    <xf numFmtId="43" fontId="3" fillId="0" borderId="0" applyFont="0" applyFill="0" applyBorder="0" applyAlignment="0" applyProtection="0"/>
    <xf numFmtId="0" fontId="34" fillId="86" borderId="855" applyNumberFormat="0" applyAlignment="0" applyProtection="0"/>
    <xf numFmtId="0" fontId="18" fillId="79" borderId="855" applyNumberFormat="0" applyAlignment="0" applyProtection="0"/>
    <xf numFmtId="0" fontId="168" fillId="35" borderId="819" applyNumberFormat="0" applyFont="0" applyAlignment="0" applyProtection="0">
      <alignment vertical="center"/>
    </xf>
    <xf numFmtId="0" fontId="29" fillId="0" borderId="814">
      <alignment horizontal="left" vertical="center"/>
    </xf>
    <xf numFmtId="0" fontId="3" fillId="0" borderId="0"/>
    <xf numFmtId="0" fontId="34" fillId="66" borderId="877" applyNumberFormat="0" applyAlignment="0" applyProtection="0"/>
    <xf numFmtId="0" fontId="46" fillId="79" borderId="839" applyNumberFormat="0" applyAlignment="0" applyProtection="0"/>
    <xf numFmtId="0" fontId="215" fillId="0" borderId="0"/>
    <xf numFmtId="0" fontId="202" fillId="31" borderId="828" applyNumberFormat="0" applyAlignment="0" applyProtection="0">
      <alignment vertical="center"/>
    </xf>
    <xf numFmtId="0" fontId="34" fillId="66" borderId="866" applyNumberFormat="0" applyAlignment="0" applyProtection="0"/>
    <xf numFmtId="0" fontId="34" fillId="86" borderId="877" applyNumberFormat="0" applyAlignment="0" applyProtection="0"/>
    <xf numFmtId="2" fontId="148" fillId="0" borderId="845" applyFont="0" applyBorder="0" applyAlignment="0" applyProtection="0">
      <alignment horizontal="right"/>
    </xf>
    <xf numFmtId="2" fontId="148" fillId="0" borderId="804" applyFont="0" applyBorder="0" applyAlignment="0" applyProtection="0">
      <alignment horizontal="right"/>
    </xf>
    <xf numFmtId="43" fontId="3" fillId="0" borderId="0" applyFill="0" applyBorder="0" applyAlignment="0"/>
    <xf numFmtId="0" fontId="29" fillId="0" borderId="865" applyNumberFormat="0" applyAlignment="0" applyProtection="0"/>
    <xf numFmtId="0" fontId="34" fillId="8" borderId="835" applyNumberFormat="0" applyAlignment="0" applyProtection="0"/>
    <xf numFmtId="43" fontId="3" fillId="0" borderId="0" applyFill="0" applyBorder="0" applyAlignment="0"/>
    <xf numFmtId="0" fontId="46" fillId="29" borderId="812" applyNumberFormat="0" applyAlignment="0" applyProtection="0"/>
    <xf numFmtId="0" fontId="168" fillId="35" borderId="829" applyNumberFormat="0" applyFont="0" applyAlignment="0" applyProtection="0">
      <alignment vertical="center"/>
    </xf>
    <xf numFmtId="0" fontId="195" fillId="0" borderId="823" applyNumberFormat="0" applyFill="0" applyAlignment="0" applyProtection="0">
      <alignment vertical="center"/>
    </xf>
    <xf numFmtId="0" fontId="34" fillId="66" borderId="810" applyNumberFormat="0" applyAlignment="0" applyProtection="0"/>
    <xf numFmtId="0" fontId="34" fillId="86" borderId="818" applyNumberFormat="0" applyAlignment="0" applyProtection="0"/>
    <xf numFmtId="0" fontId="34" fillId="66" borderId="810" applyNumberFormat="0" applyAlignment="0" applyProtection="0"/>
    <xf numFmtId="43" fontId="3" fillId="0" borderId="0" applyFill="0" applyBorder="0" applyAlignment="0"/>
    <xf numFmtId="43" fontId="3" fillId="0" borderId="0" applyFill="0" applyBorder="0" applyAlignment="0"/>
    <xf numFmtId="43" fontId="3" fillId="0" borderId="0" applyFill="0" applyBorder="0" applyAlignment="0"/>
    <xf numFmtId="0" fontId="46" fillId="79" borderId="820" applyNumberFormat="0" applyAlignment="0" applyProtection="0"/>
    <xf numFmtId="0" fontId="46" fillId="79" borderId="857" applyNumberFormat="0" applyAlignment="0" applyProtection="0"/>
    <xf numFmtId="0" fontId="178" fillId="86" borderId="818" applyNumberFormat="0" applyAlignment="0" applyProtection="0">
      <alignment vertical="center"/>
    </xf>
    <xf numFmtId="0" fontId="29" fillId="0" borderId="870">
      <alignment horizontal="left" vertical="center"/>
    </xf>
    <xf numFmtId="0" fontId="29" fillId="0" borderId="881">
      <alignment horizontal="left" vertical="center"/>
    </xf>
    <xf numFmtId="0" fontId="29" fillId="0" borderId="814">
      <alignment horizontal="left" vertical="center"/>
    </xf>
    <xf numFmtId="0" fontId="18" fillId="79" borderId="828" applyNumberFormat="0" applyAlignment="0" applyProtection="0"/>
    <xf numFmtId="0" fontId="25" fillId="81" borderId="829" applyNumberFormat="0" applyAlignment="0" applyProtection="0"/>
    <xf numFmtId="0" fontId="34" fillId="86" borderId="810" applyNumberFormat="0" applyAlignment="0" applyProtection="0"/>
    <xf numFmtId="0" fontId="34" fillId="86" borderId="810" applyNumberFormat="0" applyAlignment="0" applyProtection="0"/>
    <xf numFmtId="0" fontId="34" fillId="66" borderId="810" applyNumberFormat="0" applyAlignment="0" applyProtection="0"/>
    <xf numFmtId="0" fontId="34" fillId="86" borderId="810" applyNumberFormat="0" applyAlignment="0" applyProtection="0"/>
    <xf numFmtId="0" fontId="215" fillId="0" borderId="0"/>
    <xf numFmtId="43" fontId="3" fillId="0" borderId="0" applyFont="0" applyFill="0" applyBorder="0" applyAlignment="0" applyProtection="0"/>
    <xf numFmtId="0" fontId="34" fillId="66" borderId="828" applyNumberFormat="0" applyAlignment="0" applyProtection="0"/>
    <xf numFmtId="0" fontId="34" fillId="8" borderId="835" applyNumberFormat="0" applyAlignment="0" applyProtection="0"/>
    <xf numFmtId="0" fontId="29" fillId="0" borderId="808">
      <alignment horizontal="left" vertical="center"/>
    </xf>
    <xf numFmtId="0" fontId="34" fillId="66" borderId="818" applyNumberFormat="0" applyAlignment="0" applyProtection="0"/>
    <xf numFmtId="0" fontId="189" fillId="31" borderId="830" applyNumberFormat="0" applyAlignment="0" applyProtection="0">
      <alignment vertical="center"/>
    </xf>
    <xf numFmtId="0" fontId="34" fillId="86" borderId="828" applyNumberFormat="0" applyAlignment="0" applyProtection="0"/>
    <xf numFmtId="0" fontId="29" fillId="0" borderId="832">
      <alignment horizontal="left" vertical="center"/>
    </xf>
    <xf numFmtId="0" fontId="29" fillId="0" borderId="832">
      <alignment horizontal="left" vertical="center"/>
    </xf>
    <xf numFmtId="0" fontId="82" fillId="29" borderId="799" applyNumberFormat="0" applyAlignment="0" applyProtection="0">
      <alignment vertical="center"/>
    </xf>
    <xf numFmtId="0" fontId="34" fillId="86" borderId="828" applyNumberFormat="0" applyAlignment="0" applyProtection="0"/>
    <xf numFmtId="0" fontId="18" fillId="79" borderId="818" applyNumberFormat="0" applyAlignment="0" applyProtection="0"/>
    <xf numFmtId="0" fontId="29" fillId="0" borderId="836" applyNumberFormat="0" applyAlignment="0" applyProtection="0"/>
    <xf numFmtId="0" fontId="24" fillId="0" borderId="815" applyNumberFormat="0" applyFill="0" applyAlignment="0" applyProtection="0"/>
    <xf numFmtId="0" fontId="34" fillId="66" borderId="818" applyNumberFormat="0" applyAlignment="0" applyProtection="0"/>
    <xf numFmtId="0" fontId="34" fillId="86" borderId="866" applyNumberFormat="0" applyAlignment="0" applyProtection="0"/>
    <xf numFmtId="0" fontId="34" fillId="66" borderId="866" applyNumberFormat="0" applyAlignment="0" applyProtection="0"/>
    <xf numFmtId="0" fontId="34" fillId="86" borderId="855" applyNumberFormat="0" applyAlignment="0" applyProtection="0"/>
    <xf numFmtId="0" fontId="29" fillId="0" borderId="888" applyNumberFormat="0" applyAlignment="0" applyProtection="0"/>
    <xf numFmtId="0" fontId="29" fillId="0" borderId="863" applyNumberFormat="0" applyAlignment="0" applyProtection="0"/>
    <xf numFmtId="0" fontId="29" fillId="0" borderId="837">
      <alignment horizontal="left" vertical="center"/>
    </xf>
    <xf numFmtId="0" fontId="29" fillId="0" borderId="827" applyNumberFormat="0" applyAlignment="0" applyProtection="0"/>
    <xf numFmtId="0" fontId="34" fillId="86" borderId="810" applyNumberFormat="0" applyAlignment="0" applyProtection="0"/>
    <xf numFmtId="0" fontId="18" fillId="79" borderId="855" applyNumberFormat="0" applyAlignment="0" applyProtection="0"/>
    <xf numFmtId="0" fontId="46" fillId="31" borderId="857" applyNumberFormat="0" applyAlignment="0" applyProtection="0"/>
    <xf numFmtId="0" fontId="34" fillId="66" borderId="828" applyNumberFormat="0" applyAlignment="0" applyProtection="0"/>
    <xf numFmtId="0" fontId="34" fillId="66" borderId="835" applyNumberFormat="0" applyAlignment="0" applyProtection="0"/>
    <xf numFmtId="0" fontId="73" fillId="8" borderId="810" applyNumberFormat="0" applyAlignment="0" applyProtection="0">
      <alignment vertical="center"/>
    </xf>
    <xf numFmtId="0" fontId="178" fillId="86" borderId="828" applyNumberFormat="0" applyAlignment="0" applyProtection="0">
      <alignment vertical="center"/>
    </xf>
    <xf numFmtId="0" fontId="25" fillId="81" borderId="878" applyNumberFormat="0" applyAlignment="0" applyProtection="0"/>
    <xf numFmtId="0" fontId="34" fillId="86" borderId="877" applyNumberFormat="0" applyAlignment="0" applyProtection="0"/>
    <xf numFmtId="0" fontId="29" fillId="0" borderId="876" applyNumberFormat="0" applyAlignment="0" applyProtection="0"/>
    <xf numFmtId="0" fontId="34" fillId="86" borderId="818" applyNumberFormat="0" applyAlignment="0" applyProtection="0"/>
    <xf numFmtId="0" fontId="34" fillId="8" borderId="810" applyNumberFormat="0" applyAlignment="0" applyProtection="0"/>
    <xf numFmtId="0" fontId="29" fillId="0" borderId="847" applyNumberFormat="0" applyAlignment="0" applyProtection="0"/>
    <xf numFmtId="0" fontId="25" fillId="81" borderId="811" applyNumberFormat="0" applyAlignment="0" applyProtection="0"/>
    <xf numFmtId="0" fontId="29" fillId="0" borderId="847" applyNumberFormat="0" applyAlignment="0" applyProtection="0"/>
    <xf numFmtId="0" fontId="215" fillId="0" borderId="0"/>
    <xf numFmtId="0" fontId="18" fillId="79" borderId="828" applyNumberFormat="0" applyAlignment="0" applyProtection="0"/>
    <xf numFmtId="0" fontId="29" fillId="0" borderId="881">
      <alignment horizontal="left" vertical="center"/>
    </xf>
    <xf numFmtId="0" fontId="34" fillId="8" borderId="810" applyNumberFormat="0" applyAlignment="0" applyProtection="0"/>
    <xf numFmtId="0" fontId="34" fillId="86" borderId="828" applyNumberFormat="0" applyAlignment="0" applyProtection="0"/>
    <xf numFmtId="0" fontId="34" fillId="86" borderId="866" applyNumberFormat="0" applyAlignment="0" applyProtection="0"/>
    <xf numFmtId="0" fontId="29" fillId="0" borderId="814">
      <alignment horizontal="left" vertical="center"/>
    </xf>
    <xf numFmtId="0" fontId="29" fillId="0" borderId="805">
      <alignment horizontal="left" vertical="center"/>
    </xf>
    <xf numFmtId="0" fontId="24" fillId="0" borderId="823" applyNumberFormat="0" applyFill="0" applyAlignment="0" applyProtection="0"/>
    <xf numFmtId="0" fontId="73" fillId="8" borderId="810" applyNumberFormat="0" applyAlignment="0" applyProtection="0">
      <alignment vertical="center"/>
    </xf>
    <xf numFmtId="0" fontId="82" fillId="29" borderId="841" applyNumberFormat="0" applyAlignment="0" applyProtection="0">
      <alignment vertical="center"/>
    </xf>
    <xf numFmtId="0" fontId="18" fillId="29" borderId="810" applyNumberFormat="0" applyAlignment="0" applyProtection="0"/>
    <xf numFmtId="0" fontId="18" fillId="31" borderId="866" applyNumberFormat="0" applyAlignment="0" applyProtection="0"/>
    <xf numFmtId="0" fontId="29" fillId="0" borderId="887" applyNumberFormat="0" applyAlignment="0" applyProtection="0"/>
    <xf numFmtId="0" fontId="189" fillId="31" borderId="857" applyNumberFormat="0" applyAlignment="0" applyProtection="0">
      <alignment vertical="center"/>
    </xf>
    <xf numFmtId="0" fontId="7" fillId="37" borderId="842" applyNumberFormat="0" applyFont="0" applyAlignment="0" applyProtection="0"/>
    <xf numFmtId="0" fontId="29" fillId="0" borderId="822">
      <alignment horizontal="left" vertical="center"/>
    </xf>
    <xf numFmtId="0" fontId="29" fillId="0" borderId="809" applyNumberFormat="0" applyAlignment="0" applyProtection="0"/>
    <xf numFmtId="43" fontId="3" fillId="0" borderId="0" applyFont="0" applyFill="0" applyBorder="0" applyAlignment="0" applyProtection="0"/>
    <xf numFmtId="0" fontId="25" fillId="81" borderId="838" applyNumberFormat="0" applyAlignment="0" applyProtection="0"/>
    <xf numFmtId="0" fontId="3" fillId="0" borderId="0"/>
    <xf numFmtId="0" fontId="34" fillId="8" borderId="810" applyNumberFormat="0" applyAlignment="0" applyProtection="0"/>
    <xf numFmtId="0" fontId="34" fillId="8" borderId="799" applyNumberFormat="0" applyAlignment="0" applyProtection="0"/>
    <xf numFmtId="0" fontId="34" fillId="8" borderId="810" applyNumberFormat="0" applyAlignment="0" applyProtection="0"/>
    <xf numFmtId="0" fontId="24" fillId="0" borderId="871" applyNumberFormat="0" applyFill="0" applyAlignment="0" applyProtection="0"/>
    <xf numFmtId="43" fontId="3" fillId="0" borderId="0" applyFont="0" applyFill="0" applyBorder="0" applyAlignment="0" applyProtection="0"/>
    <xf numFmtId="0" fontId="34" fillId="86" borderId="877" applyNumberFormat="0" applyAlignment="0" applyProtection="0"/>
    <xf numFmtId="43" fontId="3" fillId="0" borderId="0" applyFont="0" applyFill="0" applyBorder="0" applyAlignment="0" applyProtection="0"/>
    <xf numFmtId="0" fontId="34" fillId="86" borderId="828" applyNumberFormat="0" applyAlignment="0" applyProtection="0"/>
    <xf numFmtId="0" fontId="178" fillId="86" borderId="810" applyNumberFormat="0" applyAlignment="0" applyProtection="0">
      <alignment vertical="center"/>
    </xf>
    <xf numFmtId="0" fontId="214" fillId="0" borderId="0"/>
    <xf numFmtId="0" fontId="25" fillId="81" borderId="838" applyNumberFormat="0" applyAlignment="0" applyProtection="0"/>
    <xf numFmtId="0" fontId="189" fillId="31" borderId="857" applyNumberFormat="0" applyAlignment="0" applyProtection="0">
      <alignment vertical="center"/>
    </xf>
    <xf numFmtId="0" fontId="29" fillId="0" borderId="817" applyNumberFormat="0" applyAlignment="0" applyProtection="0"/>
    <xf numFmtId="0" fontId="178" fillId="86" borderId="877" applyNumberFormat="0" applyAlignment="0" applyProtection="0">
      <alignment vertical="center"/>
    </xf>
    <xf numFmtId="0" fontId="29" fillId="0" borderId="887" applyNumberFormat="0" applyAlignment="0" applyProtection="0"/>
    <xf numFmtId="0" fontId="18" fillId="79" borderId="855" applyNumberFormat="0" applyAlignment="0" applyProtection="0"/>
    <xf numFmtId="0" fontId="195" fillId="0" borderId="815" applyNumberFormat="0" applyFill="0" applyAlignment="0" applyProtection="0">
      <alignment vertical="center"/>
    </xf>
    <xf numFmtId="0" fontId="18" fillId="29" borderId="835" applyNumberFormat="0" applyAlignment="0" applyProtection="0"/>
    <xf numFmtId="0" fontId="29" fillId="0" borderId="837">
      <alignment horizontal="left" vertical="center"/>
    </xf>
    <xf numFmtId="0" fontId="34" fillId="86" borderId="855" applyNumberFormat="0" applyAlignment="0" applyProtection="0"/>
    <xf numFmtId="0" fontId="185" fillId="0" borderId="869" applyNumberFormat="0" applyFont="0">
      <alignment horizontal="center" vertical="center"/>
    </xf>
    <xf numFmtId="0" fontId="34" fillId="86" borderId="810" applyNumberFormat="0" applyAlignment="0" applyProtection="0"/>
    <xf numFmtId="0" fontId="168" fillId="35" borderId="829" applyNumberFormat="0" applyFont="0" applyAlignment="0" applyProtection="0">
      <alignment vertical="center"/>
    </xf>
    <xf numFmtId="0" fontId="82" fillId="29" borderId="810" applyNumberFormat="0" applyAlignment="0" applyProtection="0">
      <alignment vertical="center"/>
    </xf>
    <xf numFmtId="0" fontId="34" fillId="86" borderId="877" applyNumberFormat="0" applyAlignment="0" applyProtection="0"/>
    <xf numFmtId="0" fontId="34" fillId="8" borderId="835" applyNumberFormat="0" applyAlignment="0" applyProtection="0"/>
    <xf numFmtId="0" fontId="73" fillId="8" borderId="835" applyNumberFormat="0" applyAlignment="0" applyProtection="0">
      <alignment vertical="center"/>
    </xf>
    <xf numFmtId="0" fontId="34" fillId="86" borderId="828" applyNumberFormat="0" applyAlignment="0" applyProtection="0"/>
    <xf numFmtId="0" fontId="2" fillId="37" borderId="800" applyNumberFormat="0" applyFont="0" applyAlignment="0" applyProtection="0">
      <alignment vertical="center"/>
    </xf>
    <xf numFmtId="0" fontId="29" fillId="0" borderId="837">
      <alignment horizontal="left" vertical="center"/>
    </xf>
    <xf numFmtId="0" fontId="29" fillId="0" borderId="849" applyNumberFormat="0" applyAlignment="0" applyProtection="0"/>
    <xf numFmtId="0" fontId="189" fillId="31" borderId="812" applyNumberFormat="0" applyAlignment="0" applyProtection="0">
      <alignment vertical="center"/>
    </xf>
    <xf numFmtId="0" fontId="73" fillId="8" borderId="841" applyNumberFormat="0" applyAlignment="0" applyProtection="0">
      <alignment vertical="center"/>
    </xf>
    <xf numFmtId="0" fontId="46" fillId="79" borderId="830" applyNumberFormat="0" applyAlignment="0" applyProtection="0"/>
    <xf numFmtId="0" fontId="18" fillId="79" borderId="866" applyNumberFormat="0" applyAlignment="0" applyProtection="0"/>
    <xf numFmtId="0" fontId="18" fillId="79" borderId="877" applyNumberFormat="0" applyAlignment="0" applyProtection="0"/>
    <xf numFmtId="0" fontId="178" fillId="86" borderId="818" applyNumberFormat="0" applyAlignment="0" applyProtection="0">
      <alignment vertical="center"/>
    </xf>
    <xf numFmtId="0" fontId="24" fillId="0" borderId="871" applyNumberFormat="0" applyFill="0" applyAlignment="0" applyProtection="0"/>
    <xf numFmtId="0" fontId="46" fillId="29" borderId="843" applyNumberFormat="0" applyAlignment="0" applyProtection="0"/>
    <xf numFmtId="0" fontId="18" fillId="31" borderId="810" applyNumberFormat="0" applyAlignment="0" applyProtection="0"/>
    <xf numFmtId="0" fontId="29" fillId="0" borderId="822">
      <alignment horizontal="left" vertical="center"/>
    </xf>
    <xf numFmtId="0" fontId="29" fillId="0" borderId="881">
      <alignment horizontal="left" vertical="center"/>
    </xf>
    <xf numFmtId="0" fontId="18" fillId="79" borderId="810" applyNumberFormat="0" applyAlignment="0" applyProtection="0"/>
    <xf numFmtId="0" fontId="18" fillId="31" borderId="877" applyNumberFormat="0" applyAlignment="0" applyProtection="0"/>
    <xf numFmtId="0" fontId="29" fillId="0" borderId="849" applyNumberFormat="0" applyAlignment="0" applyProtection="0"/>
    <xf numFmtId="0" fontId="18" fillId="79" borderId="810" applyNumberFormat="0" applyAlignment="0" applyProtection="0"/>
    <xf numFmtId="0" fontId="7" fillId="35" borderId="819" applyNumberFormat="0" applyFont="0" applyAlignment="0" applyProtection="0"/>
    <xf numFmtId="0" fontId="46" fillId="79" borderId="820" applyNumberFormat="0" applyAlignment="0" applyProtection="0"/>
    <xf numFmtId="0" fontId="46" fillId="31" borderId="820" applyNumberFormat="0" applyAlignment="0" applyProtection="0"/>
    <xf numFmtId="0" fontId="46" fillId="79" borderId="820" applyNumberFormat="0" applyAlignment="0" applyProtection="0"/>
    <xf numFmtId="0" fontId="185" fillId="0" borderId="821" applyNumberFormat="0" applyFont="0">
      <alignment horizontal="center" vertical="center"/>
    </xf>
    <xf numFmtId="0" fontId="34" fillId="86" borderId="810" applyNumberFormat="0" applyAlignment="0" applyProtection="0"/>
    <xf numFmtId="0" fontId="86" fillId="0" borderId="815" applyNumberFormat="0" applyFill="0" applyAlignment="0" applyProtection="0">
      <alignment vertical="center"/>
    </xf>
    <xf numFmtId="0" fontId="34" fillId="86" borderId="810" applyNumberFormat="0" applyAlignment="0" applyProtection="0"/>
    <xf numFmtId="0" fontId="185" fillId="0" borderId="806" applyNumberFormat="0" applyFont="0">
      <alignment horizontal="center" vertical="center"/>
    </xf>
    <xf numFmtId="0" fontId="2" fillId="37" borderId="838" applyNumberFormat="0" applyFont="0" applyAlignment="0" applyProtection="0">
      <alignment vertical="center"/>
    </xf>
    <xf numFmtId="0" fontId="74" fillId="29" borderId="812" applyNumberFormat="0" applyAlignment="0" applyProtection="0">
      <alignment vertical="center"/>
    </xf>
    <xf numFmtId="0" fontId="34" fillId="66" borderId="810" applyNumberFormat="0" applyAlignment="0" applyProtection="0"/>
    <xf numFmtId="0" fontId="34" fillId="86" borderId="855" applyNumberFormat="0" applyAlignment="0" applyProtection="0"/>
    <xf numFmtId="0" fontId="189" fillId="31" borderId="820" applyNumberFormat="0" applyAlignment="0" applyProtection="0">
      <alignment vertical="center"/>
    </xf>
    <xf numFmtId="0" fontId="34" fillId="86" borderId="866" applyNumberFormat="0" applyAlignment="0" applyProtection="0"/>
    <xf numFmtId="0" fontId="82" fillId="29" borderId="835" applyNumberFormat="0" applyAlignment="0" applyProtection="0">
      <alignment vertical="center"/>
    </xf>
    <xf numFmtId="0" fontId="168" fillId="35" borderId="867" applyNumberFormat="0" applyFont="0" applyAlignment="0" applyProtection="0">
      <alignment vertical="center"/>
    </xf>
    <xf numFmtId="0" fontId="29" fillId="0" borderId="826">
      <alignment horizontal="left" vertical="center"/>
    </xf>
    <xf numFmtId="43" fontId="3" fillId="0" borderId="0" applyFont="0" applyFill="0" applyBorder="0" applyAlignment="0" applyProtection="0"/>
    <xf numFmtId="0" fontId="25" fillId="81" borderId="811" applyNumberFormat="0" applyAlignment="0" applyProtection="0"/>
    <xf numFmtId="0" fontId="34" fillId="86" borderId="810" applyNumberFormat="0" applyAlignment="0" applyProtection="0"/>
    <xf numFmtId="0" fontId="25" fillId="81" borderId="867" applyNumberFormat="0" applyAlignment="0" applyProtection="0"/>
    <xf numFmtId="0" fontId="185" fillId="0" borderId="858" applyNumberFormat="0" applyFont="0">
      <alignment horizontal="center" vertical="center"/>
    </xf>
    <xf numFmtId="0" fontId="2" fillId="37" borderId="842" applyNumberFormat="0" applyFont="0" applyAlignment="0" applyProtection="0">
      <alignment vertical="center"/>
    </xf>
    <xf numFmtId="0" fontId="46" fillId="31" borderId="830" applyNumberFormat="0" applyAlignment="0" applyProtection="0"/>
    <xf numFmtId="0" fontId="34" fillId="8" borderId="799" applyNumberFormat="0" applyAlignment="0" applyProtection="0"/>
    <xf numFmtId="0" fontId="178" fillId="86" borderId="810" applyNumberFormat="0" applyAlignment="0" applyProtection="0">
      <alignment vertical="center"/>
    </xf>
    <xf numFmtId="0" fontId="189" fillId="31" borderId="879" applyNumberFormat="0" applyAlignment="0" applyProtection="0">
      <alignment vertical="center"/>
    </xf>
    <xf numFmtId="0" fontId="185" fillId="0" borderId="831" applyNumberFormat="0" applyFont="0">
      <alignment horizontal="center" vertical="center"/>
    </xf>
    <xf numFmtId="0" fontId="46" fillId="79" borderId="839" applyNumberFormat="0" applyAlignment="0" applyProtection="0"/>
    <xf numFmtId="0" fontId="29" fillId="0" borderId="809" applyNumberFormat="0" applyAlignment="0" applyProtection="0"/>
    <xf numFmtId="0" fontId="73" fillId="8" borderId="799" applyNumberFormat="0" applyAlignment="0" applyProtection="0">
      <alignment vertical="center"/>
    </xf>
    <xf numFmtId="0" fontId="29" fillId="0" borderId="847" applyNumberFormat="0" applyAlignment="0" applyProtection="0"/>
    <xf numFmtId="0" fontId="34" fillId="66" borderId="835" applyNumberFormat="0" applyAlignment="0" applyProtection="0"/>
    <xf numFmtId="0" fontId="34" fillId="86" borderId="810" applyNumberFormat="0" applyAlignment="0" applyProtection="0"/>
    <xf numFmtId="2" fontId="174" fillId="0" borderId="807" applyFont="0" applyBorder="0" applyAlignment="0" applyProtection="0">
      <alignment horizontal="right"/>
    </xf>
    <xf numFmtId="0" fontId="178" fillId="86" borderId="866" applyNumberFormat="0" applyAlignment="0" applyProtection="0">
      <alignment vertical="center"/>
    </xf>
    <xf numFmtId="43" fontId="3" fillId="0" borderId="0" applyFont="0" applyFill="0" applyBorder="0" applyAlignment="0" applyProtection="0"/>
    <xf numFmtId="0" fontId="34" fillId="8" borderId="841" applyNumberFormat="0" applyAlignment="0" applyProtection="0"/>
    <xf numFmtId="0" fontId="34" fillId="66" borderId="866" applyNumberFormat="0" applyAlignment="0" applyProtection="0"/>
    <xf numFmtId="0" fontId="29" fillId="0" borderId="887" applyNumberFormat="0" applyAlignment="0" applyProtection="0"/>
    <xf numFmtId="0" fontId="29" fillId="0" borderId="809" applyNumberFormat="0" applyAlignment="0" applyProtection="0"/>
    <xf numFmtId="0" fontId="25" fillId="81" borderId="856" applyNumberFormat="0" applyAlignment="0" applyProtection="0"/>
    <xf numFmtId="0" fontId="29" fillId="0" borderId="809" applyNumberFormat="0" applyAlignment="0" applyProtection="0"/>
    <xf numFmtId="0" fontId="178" fillId="86" borderId="866" applyNumberFormat="0" applyAlignment="0" applyProtection="0">
      <alignment vertical="center"/>
    </xf>
    <xf numFmtId="0" fontId="86" fillId="0" borderId="840" applyNumberFormat="0" applyFill="0" applyAlignment="0" applyProtection="0">
      <alignment vertical="center"/>
    </xf>
    <xf numFmtId="0" fontId="25" fillId="81" borderId="819" applyNumberFormat="0" applyAlignment="0" applyProtection="0"/>
    <xf numFmtId="0" fontId="34" fillId="86" borderId="828" applyNumberFormat="0" applyAlignment="0" applyProtection="0"/>
    <xf numFmtId="0" fontId="74" fillId="29" borderId="843" applyNumberFormat="0" applyAlignment="0" applyProtection="0">
      <alignment vertical="center"/>
    </xf>
    <xf numFmtId="0" fontId="24" fillId="0" borderId="833" applyNumberFormat="0" applyFill="0" applyAlignment="0" applyProtection="0"/>
    <xf numFmtId="0" fontId="25" fillId="81" borderId="867" applyNumberFormat="0" applyAlignment="0" applyProtection="0"/>
    <xf numFmtId="0" fontId="34" fillId="8" borderId="810" applyNumberFormat="0" applyAlignment="0" applyProtection="0"/>
    <xf numFmtId="0" fontId="34" fillId="86" borderId="810" applyNumberFormat="0" applyAlignment="0" applyProtection="0"/>
    <xf numFmtId="0" fontId="34" fillId="86" borderId="818" applyNumberFormat="0" applyAlignment="0" applyProtection="0"/>
    <xf numFmtId="0" fontId="29" fillId="0" borderId="888" applyNumberFormat="0" applyAlignment="0" applyProtection="0"/>
    <xf numFmtId="0" fontId="34" fillId="8" borderId="799" applyNumberFormat="0" applyAlignment="0" applyProtection="0"/>
    <xf numFmtId="0" fontId="82" fillId="29" borderId="810" applyNumberFormat="0" applyAlignment="0" applyProtection="0">
      <alignment vertical="center"/>
    </xf>
    <xf numFmtId="43" fontId="1" fillId="0" borderId="0" applyFont="0" applyFill="0" applyBorder="0" applyAlignment="0" applyProtection="0"/>
    <xf numFmtId="0" fontId="34" fillId="86" borderId="855" applyNumberFormat="0" applyAlignment="0" applyProtection="0"/>
    <xf numFmtId="0" fontId="74" fillId="29" borderId="801" applyNumberFormat="0" applyAlignment="0" applyProtection="0">
      <alignment vertical="center"/>
    </xf>
    <xf numFmtId="43" fontId="1" fillId="0" borderId="0" applyFont="0" applyFill="0" applyBorder="0" applyAlignment="0" applyProtection="0"/>
    <xf numFmtId="0" fontId="34" fillId="66" borderId="818" applyNumberFormat="0" applyAlignment="0" applyProtection="0"/>
    <xf numFmtId="0" fontId="18" fillId="79" borderId="866" applyNumberFormat="0" applyAlignment="0" applyProtection="0"/>
    <xf numFmtId="0" fontId="3" fillId="0" borderId="0"/>
    <xf numFmtId="0" fontId="168" fillId="35" borderId="811" applyNumberFormat="0" applyFont="0" applyAlignment="0" applyProtection="0">
      <alignment vertical="center"/>
    </xf>
    <xf numFmtId="0" fontId="215" fillId="0" borderId="0"/>
    <xf numFmtId="0" fontId="24" fillId="0" borderId="882" applyNumberFormat="0" applyFill="0" applyAlignment="0" applyProtection="0"/>
    <xf numFmtId="9" fontId="214" fillId="0" borderId="0" applyFont="0" applyFill="0" applyBorder="0" applyAlignment="0" applyProtection="0"/>
    <xf numFmtId="0" fontId="168" fillId="35" borderId="811" applyNumberFormat="0" applyFont="0" applyAlignment="0" applyProtection="0">
      <alignment vertical="center"/>
    </xf>
    <xf numFmtId="0" fontId="18" fillId="79" borderId="835" applyNumberFormat="0" applyAlignment="0" applyProtection="0"/>
    <xf numFmtId="0" fontId="18" fillId="31" borderId="818" applyNumberFormat="0" applyAlignment="0" applyProtection="0"/>
    <xf numFmtId="0" fontId="189" fillId="31" borderId="812" applyNumberFormat="0" applyAlignment="0" applyProtection="0">
      <alignment vertical="center"/>
    </xf>
    <xf numFmtId="2" fontId="174" fillId="0" borderId="861" applyFont="0" applyBorder="0" applyAlignment="0" applyProtection="0">
      <alignment horizontal="right"/>
    </xf>
    <xf numFmtId="0" fontId="34" fillId="8" borderId="799" applyNumberFormat="0" applyAlignment="0" applyProtection="0"/>
    <xf numFmtId="0" fontId="214" fillId="0" borderId="0"/>
    <xf numFmtId="0" fontId="202" fillId="31" borderId="810" applyNumberFormat="0" applyAlignment="0" applyProtection="0">
      <alignment vertical="center"/>
    </xf>
    <xf numFmtId="0" fontId="195" fillId="0" borderId="815" applyNumberFormat="0" applyFill="0" applyAlignment="0" applyProtection="0">
      <alignment vertical="center"/>
    </xf>
    <xf numFmtId="0" fontId="178" fillId="86" borderId="828" applyNumberFormat="0" applyAlignment="0" applyProtection="0">
      <alignment vertical="center"/>
    </xf>
    <xf numFmtId="0" fontId="25" fillId="81" borderId="867" applyNumberFormat="0" applyAlignment="0" applyProtection="0"/>
    <xf numFmtId="0" fontId="86" fillId="0" borderId="803" applyNumberFormat="0" applyFill="0" applyAlignment="0" applyProtection="0">
      <alignment vertical="center"/>
    </xf>
    <xf numFmtId="0" fontId="34" fillId="8" borderId="835" applyNumberFormat="0" applyAlignment="0" applyProtection="0"/>
    <xf numFmtId="0" fontId="34" fillId="86" borderId="855" applyNumberFormat="0" applyAlignment="0" applyProtection="0"/>
    <xf numFmtId="0" fontId="2" fillId="37" borderId="800" applyNumberFormat="0" applyFont="0" applyAlignment="0" applyProtection="0">
      <alignment vertical="center"/>
    </xf>
    <xf numFmtId="0" fontId="29" fillId="0" borderId="859">
      <alignment horizontal="left" vertical="center"/>
    </xf>
    <xf numFmtId="0" fontId="34" fillId="86" borderId="818" applyNumberFormat="0" applyAlignment="0" applyProtection="0"/>
    <xf numFmtId="0" fontId="25" fillId="81" borderId="856" applyNumberFormat="0" applyAlignment="0" applyProtection="0"/>
    <xf numFmtId="0" fontId="18" fillId="79" borderId="835" applyNumberFormat="0" applyAlignment="0" applyProtection="0"/>
    <xf numFmtId="9" fontId="214" fillId="0" borderId="0" applyFont="0" applyFill="0" applyBorder="0" applyAlignment="0" applyProtection="0"/>
    <xf numFmtId="0" fontId="34" fillId="66" borderId="835" applyNumberFormat="0" applyAlignment="0" applyProtection="0"/>
    <xf numFmtId="0" fontId="29" fillId="0" borderId="836" applyNumberFormat="0" applyAlignment="0" applyProtection="0"/>
    <xf numFmtId="0" fontId="24" fillId="0" borderId="823" applyNumberFormat="0" applyFill="0" applyAlignment="0" applyProtection="0"/>
    <xf numFmtId="43" fontId="3" fillId="0" borderId="0" applyFont="0" applyFill="0" applyBorder="0" applyAlignment="0" applyProtection="0"/>
    <xf numFmtId="0" fontId="202" fillId="31" borderId="855" applyNumberFormat="0" applyAlignment="0" applyProtection="0">
      <alignment vertical="center"/>
    </xf>
    <xf numFmtId="0" fontId="73" fillId="8" borderId="799" applyNumberFormat="0" applyAlignment="0" applyProtection="0">
      <alignment vertical="center"/>
    </xf>
    <xf numFmtId="0" fontId="29" fillId="0" borderId="825" applyNumberFormat="0" applyAlignment="0" applyProtection="0"/>
    <xf numFmtId="0" fontId="34" fillId="66" borderId="866" applyNumberFormat="0" applyAlignment="0" applyProtection="0"/>
    <xf numFmtId="0" fontId="29" fillId="0" borderId="825" applyNumberFormat="0" applyAlignment="0" applyProtection="0"/>
    <xf numFmtId="0" fontId="46" fillId="79" borderId="851" applyNumberFormat="0" applyAlignment="0" applyProtection="0"/>
    <xf numFmtId="0" fontId="29" fillId="0" borderId="836" applyNumberFormat="0" applyAlignment="0" applyProtection="0"/>
    <xf numFmtId="0" fontId="2" fillId="37" borderId="811" applyNumberFormat="0" applyFont="0" applyAlignment="0" applyProtection="0">
      <alignment vertical="center"/>
    </xf>
    <xf numFmtId="0" fontId="215" fillId="0" borderId="0"/>
    <xf numFmtId="0" fontId="168" fillId="35" borderId="819" applyNumberFormat="0" applyFont="0" applyAlignment="0" applyProtection="0">
      <alignment vertical="center"/>
    </xf>
    <xf numFmtId="0" fontId="149" fillId="0" borderId="850" applyNumberFormat="0" applyFont="0">
      <alignment horizontal="center" vertical="center"/>
    </xf>
    <xf numFmtId="0" fontId="34" fillId="8" borderId="799" applyNumberFormat="0" applyAlignment="0" applyProtection="0"/>
    <xf numFmtId="0" fontId="189" fillId="31" borderId="820" applyNumberFormat="0" applyAlignment="0" applyProtection="0">
      <alignment vertical="center"/>
    </xf>
    <xf numFmtId="0" fontId="86" fillId="0" borderId="815" applyNumberFormat="0" applyFill="0" applyAlignment="0" applyProtection="0">
      <alignment vertical="center"/>
    </xf>
    <xf numFmtId="0" fontId="202" fillId="31" borderId="818" applyNumberFormat="0" applyAlignment="0" applyProtection="0">
      <alignment vertical="center"/>
    </xf>
    <xf numFmtId="0" fontId="195" fillId="0" borderId="823" applyNumberFormat="0" applyFill="0" applyAlignment="0" applyProtection="0">
      <alignment vertical="center"/>
    </xf>
    <xf numFmtId="0" fontId="46" fillId="79" borderId="851" applyNumberFormat="0" applyAlignment="0" applyProtection="0"/>
    <xf numFmtId="0" fontId="34" fillId="66" borderId="828" applyNumberFormat="0" applyAlignment="0" applyProtection="0"/>
    <xf numFmtId="0" fontId="46" fillId="79" borderId="868" applyNumberFormat="0" applyAlignment="0" applyProtection="0"/>
    <xf numFmtId="0" fontId="46" fillId="79" borderId="830" applyNumberFormat="0" applyAlignment="0" applyProtection="0"/>
    <xf numFmtId="0" fontId="29" fillId="0" borderId="854" applyNumberFormat="0" applyAlignment="0" applyProtection="0"/>
    <xf numFmtId="43" fontId="3" fillId="0" borderId="0" applyFont="0" applyFill="0" applyBorder="0" applyAlignment="0" applyProtection="0"/>
    <xf numFmtId="9" fontId="3" fillId="0" borderId="0" applyFont="0" applyFill="0" applyBorder="0" applyAlignment="0" applyProtection="0"/>
    <xf numFmtId="0" fontId="29" fillId="0" borderId="854" applyNumberFormat="0" applyAlignment="0" applyProtection="0"/>
    <xf numFmtId="0" fontId="3" fillId="0" borderId="0"/>
    <xf numFmtId="0" fontId="34" fillId="8" borderId="835" applyNumberFormat="0" applyAlignment="0" applyProtection="0"/>
    <xf numFmtId="0" fontId="46" fillId="31" borderId="879" applyNumberFormat="0" applyAlignment="0" applyProtection="0"/>
    <xf numFmtId="43" fontId="3" fillId="0" borderId="0" applyFont="0" applyFill="0" applyBorder="0" applyAlignment="0" applyProtection="0"/>
    <xf numFmtId="0" fontId="7" fillId="37" borderId="800" applyNumberFormat="0" applyFont="0" applyAlignment="0" applyProtection="0"/>
    <xf numFmtId="2" fontId="148" fillId="0" borderId="846" applyFont="0" applyBorder="0" applyAlignment="0" applyProtection="0">
      <alignment horizontal="right"/>
    </xf>
    <xf numFmtId="0" fontId="29" fillId="0" borderId="827" applyNumberFormat="0" applyAlignment="0" applyProtection="0"/>
    <xf numFmtId="0" fontId="29" fillId="0" borderId="827" applyNumberFormat="0" applyAlignment="0" applyProtection="0"/>
    <xf numFmtId="0" fontId="2" fillId="37" borderId="811" applyNumberFormat="0" applyFont="0" applyAlignment="0" applyProtection="0">
      <alignment vertical="center"/>
    </xf>
    <xf numFmtId="2" fontId="174" fillId="0" borderId="873" applyFont="0" applyBorder="0" applyAlignment="0" applyProtection="0">
      <alignment horizontal="right"/>
    </xf>
    <xf numFmtId="0" fontId="18" fillId="31" borderId="828" applyNumberFormat="0" applyAlignment="0" applyProtection="0"/>
    <xf numFmtId="0" fontId="46" fillId="79" borderId="830" applyNumberFormat="0" applyAlignment="0" applyProtection="0"/>
    <xf numFmtId="0" fontId="29" fillId="0" borderId="887" applyNumberFormat="0" applyAlignment="0" applyProtection="0"/>
    <xf numFmtId="0" fontId="34" fillId="86" borderId="828" applyNumberFormat="0" applyAlignment="0" applyProtection="0"/>
    <xf numFmtId="0" fontId="34" fillId="86" borderId="877" applyNumberFormat="0" applyAlignment="0" applyProtection="0"/>
    <xf numFmtId="0" fontId="34" fillId="86" borderId="828" applyNumberFormat="0" applyAlignment="0" applyProtection="0"/>
    <xf numFmtId="0" fontId="3" fillId="0" borderId="0"/>
    <xf numFmtId="0" fontId="18" fillId="29" borderId="799" applyNumberFormat="0" applyAlignment="0" applyProtection="0"/>
    <xf numFmtId="43" fontId="1" fillId="0" borderId="0" applyFont="0" applyFill="0" applyBorder="0" applyAlignment="0" applyProtection="0"/>
    <xf numFmtId="9" fontId="3" fillId="0" borderId="0" applyFont="0" applyFill="0" applyBorder="0" applyAlignment="0" applyProtection="0"/>
    <xf numFmtId="0" fontId="189" fillId="31" borderId="868" applyNumberFormat="0" applyAlignment="0" applyProtection="0">
      <alignment vertical="center"/>
    </xf>
    <xf numFmtId="0" fontId="29" fillId="0" borderId="859">
      <alignment horizontal="left" vertical="center"/>
    </xf>
    <xf numFmtId="0" fontId="25" fillId="81" borderId="829" applyNumberFormat="0" applyAlignment="0" applyProtection="0"/>
    <xf numFmtId="0" fontId="46" fillId="79" borderId="857" applyNumberFormat="0" applyAlignment="0" applyProtection="0"/>
    <xf numFmtId="0" fontId="29" fillId="0" borderId="875" applyNumberFormat="0" applyAlignment="0" applyProtection="0"/>
    <xf numFmtId="0" fontId="34" fillId="8" borderId="841" applyNumberFormat="0" applyAlignment="0" applyProtection="0"/>
    <xf numFmtId="0" fontId="34" fillId="8" borderId="810" applyNumberFormat="0" applyAlignment="0" applyProtection="0"/>
    <xf numFmtId="0" fontId="18" fillId="79" borderId="877" applyNumberFormat="0" applyAlignment="0" applyProtection="0"/>
    <xf numFmtId="0" fontId="29" fillId="0" borderId="854" applyNumberFormat="0" applyAlignment="0" applyProtection="0"/>
    <xf numFmtId="0" fontId="34" fillId="8" borderId="799" applyNumberFormat="0" applyAlignment="0" applyProtection="0"/>
    <xf numFmtId="0" fontId="34" fillId="66" borderId="855" applyNumberFormat="0" applyAlignment="0" applyProtection="0"/>
    <xf numFmtId="43" fontId="3" fillId="0" borderId="0" applyFont="0" applyFill="0" applyBorder="0" applyAlignment="0" applyProtection="0"/>
    <xf numFmtId="0" fontId="195" fillId="0" borderId="871" applyNumberFormat="0" applyFill="0" applyAlignment="0" applyProtection="0">
      <alignment vertical="center"/>
    </xf>
    <xf numFmtId="0" fontId="215" fillId="0" borderId="0"/>
    <xf numFmtId="0" fontId="213" fillId="0" borderId="0"/>
    <xf numFmtId="0" fontId="34" fillId="8" borderId="810" applyNumberFormat="0" applyAlignment="0" applyProtection="0"/>
    <xf numFmtId="0" fontId="34" fillId="8" borderId="810" applyNumberFormat="0" applyAlignment="0" applyProtection="0"/>
    <xf numFmtId="0" fontId="215" fillId="0" borderId="0"/>
    <xf numFmtId="9" fontId="1" fillId="0" borderId="0" applyFont="0" applyFill="0" applyBorder="0" applyAlignment="0" applyProtection="0"/>
    <xf numFmtId="0" fontId="189" fillId="31" borderId="868" applyNumberFormat="0" applyAlignment="0" applyProtection="0">
      <alignment vertical="center"/>
    </xf>
    <xf numFmtId="0" fontId="29" fillId="0" borderId="876" applyNumberFormat="0" applyAlignment="0" applyProtection="0"/>
    <xf numFmtId="0" fontId="29" fillId="0" borderId="854" applyNumberFormat="0" applyAlignment="0" applyProtection="0"/>
    <xf numFmtId="2" fontId="174" fillId="0" borderId="845" applyFont="0" applyBorder="0" applyAlignment="0" applyProtection="0">
      <alignment horizontal="right"/>
    </xf>
    <xf numFmtId="2" fontId="174" fillId="0" borderId="853" applyFont="0" applyBorder="0" applyAlignment="0" applyProtection="0">
      <alignment horizontal="right"/>
    </xf>
    <xf numFmtId="0" fontId="46" fillId="79" borderId="868" applyNumberFormat="0" applyAlignment="0" applyProtection="0"/>
    <xf numFmtId="0" fontId="202" fillId="31" borderId="866" applyNumberFormat="0" applyAlignment="0" applyProtection="0">
      <alignment vertical="center"/>
    </xf>
    <xf numFmtId="0" fontId="29" fillId="0" borderId="870">
      <alignment horizontal="left" vertical="center"/>
    </xf>
    <xf numFmtId="0" fontId="178" fillId="86" borderId="855" applyNumberFormat="0" applyAlignment="0" applyProtection="0">
      <alignment vertical="center"/>
    </xf>
    <xf numFmtId="0" fontId="195" fillId="0" borderId="864" applyNumberFormat="0" applyFill="0" applyAlignment="0" applyProtection="0">
      <alignment vertical="center"/>
    </xf>
    <xf numFmtId="0" fontId="29" fillId="0" borderId="870">
      <alignment horizontal="left" vertical="center"/>
    </xf>
    <xf numFmtId="0" fontId="46" fillId="79" borderId="857" applyNumberFormat="0" applyAlignment="0" applyProtection="0"/>
    <xf numFmtId="0" fontId="34" fillId="66" borderId="855" applyNumberFormat="0" applyAlignment="0" applyProtection="0"/>
    <xf numFmtId="0" fontId="195" fillId="0" borderId="882" applyNumberFormat="0" applyFill="0" applyAlignment="0" applyProtection="0">
      <alignment vertical="center"/>
    </xf>
    <xf numFmtId="0" fontId="46" fillId="79" borderId="851" applyNumberFormat="0" applyAlignment="0" applyProtection="0"/>
    <xf numFmtId="0" fontId="46" fillId="31" borderId="851" applyNumberFormat="0" applyAlignment="0" applyProtection="0"/>
    <xf numFmtId="0" fontId="29" fillId="0" borderId="859">
      <alignment horizontal="left" vertical="center"/>
    </xf>
    <xf numFmtId="0" fontId="202" fillId="31" borderId="877" applyNumberFormat="0" applyAlignment="0" applyProtection="0">
      <alignment vertical="center"/>
    </xf>
    <xf numFmtId="0" fontId="34" fillId="86" borderId="855" applyNumberFormat="0" applyAlignment="0" applyProtection="0"/>
    <xf numFmtId="0" fontId="7" fillId="35" borderId="856" applyNumberFormat="0" applyFont="0" applyAlignment="0" applyProtection="0"/>
    <xf numFmtId="0" fontId="34" fillId="86" borderId="855" applyNumberFormat="0" applyAlignment="0" applyProtection="0"/>
    <xf numFmtId="0" fontId="46" fillId="31" borderId="868" applyNumberFormat="0" applyAlignment="0" applyProtection="0"/>
    <xf numFmtId="0" fontId="195" fillId="0" borderId="860" applyNumberFormat="0" applyFill="0" applyAlignment="0" applyProtection="0">
      <alignment vertical="center"/>
    </xf>
    <xf numFmtId="0" fontId="195" fillId="0" borderId="871" applyNumberFormat="0" applyFill="0" applyAlignment="0" applyProtection="0">
      <alignment vertical="center"/>
    </xf>
    <xf numFmtId="0" fontId="29" fillId="0" borderId="874">
      <alignment horizontal="left" vertical="center"/>
    </xf>
    <xf numFmtId="0" fontId="46" fillId="79" borderId="879" applyNumberFormat="0" applyAlignment="0" applyProtection="0"/>
    <xf numFmtId="0" fontId="24" fillId="0" borderId="864" applyNumberFormat="0" applyFill="0" applyAlignment="0" applyProtection="0"/>
    <xf numFmtId="0" fontId="168" fillId="35" borderId="878" applyNumberFormat="0" applyFont="0" applyAlignment="0" applyProtection="0">
      <alignment vertical="center"/>
    </xf>
    <xf numFmtId="0" fontId="25" fillId="81" borderId="856" applyNumberFormat="0" applyAlignment="0" applyProtection="0"/>
    <xf numFmtId="0" fontId="24" fillId="0" borderId="864" applyNumberFormat="0" applyFill="0" applyAlignment="0" applyProtection="0"/>
    <xf numFmtId="0" fontId="189" fillId="31" borderId="851" applyNumberFormat="0" applyAlignment="0" applyProtection="0">
      <alignment vertical="center"/>
    </xf>
    <xf numFmtId="0" fontId="29" fillId="0" borderId="863" applyNumberFormat="0" applyAlignment="0" applyProtection="0"/>
    <xf numFmtId="0" fontId="7" fillId="35" borderId="867" applyNumberFormat="0" applyFont="0" applyAlignment="0" applyProtection="0"/>
    <xf numFmtId="0" fontId="168" fillId="35" borderId="856" applyNumberFormat="0" applyFont="0" applyAlignment="0" applyProtection="0">
      <alignment vertical="center"/>
    </xf>
    <xf numFmtId="0" fontId="29" fillId="0" borderId="863" applyNumberFormat="0" applyAlignment="0" applyProtection="0"/>
    <xf numFmtId="0" fontId="29" fillId="0" borderId="875" applyNumberFormat="0" applyAlignment="0" applyProtection="0"/>
    <xf numFmtId="0" fontId="24" fillId="0" borderId="860" applyNumberFormat="0" applyFill="0" applyAlignment="0" applyProtection="0"/>
    <xf numFmtId="0" fontId="34" fillId="86" borderId="866" applyNumberFormat="0" applyAlignment="0" applyProtection="0"/>
    <xf numFmtId="0" fontId="29" fillId="0" borderId="865" applyNumberFormat="0" applyAlignment="0" applyProtection="0"/>
    <xf numFmtId="0" fontId="29" fillId="0" borderId="865" applyNumberFormat="0" applyAlignment="0" applyProtection="0"/>
    <xf numFmtId="0" fontId="168" fillId="35" borderId="878" applyNumberFormat="0" applyFont="0" applyAlignment="0" applyProtection="0">
      <alignment vertical="center"/>
    </xf>
    <xf numFmtId="0" fontId="29" fillId="0" borderId="865" applyNumberFormat="0" applyAlignment="0" applyProtection="0"/>
    <xf numFmtId="0" fontId="178" fillId="86" borderId="877" applyNumberFormat="0" applyAlignment="0" applyProtection="0">
      <alignment vertical="center"/>
    </xf>
    <xf numFmtId="0" fontId="189" fillId="31" borderId="851" applyNumberFormat="0" applyAlignment="0" applyProtection="0">
      <alignment vertical="center"/>
    </xf>
    <xf numFmtId="0" fontId="34" fillId="66" borderId="877" applyNumberFormat="0" applyAlignment="0" applyProtection="0"/>
    <xf numFmtId="43" fontId="3" fillId="0" borderId="0" applyFont="0" applyFill="0" applyBorder="0" applyAlignment="0" applyProtection="0"/>
    <xf numFmtId="0" fontId="189" fillId="31" borderId="879" applyNumberFormat="0" applyAlignment="0" applyProtection="0">
      <alignment vertical="center"/>
    </xf>
    <xf numFmtId="0" fontId="34" fillId="86" borderId="866" applyNumberFormat="0" applyAlignment="0" applyProtection="0"/>
    <xf numFmtId="0" fontId="3" fillId="0" borderId="0"/>
    <xf numFmtId="0" fontId="195" fillId="0" borderId="864" applyNumberFormat="0" applyFill="0" applyAlignment="0" applyProtection="0">
      <alignment vertical="center"/>
    </xf>
    <xf numFmtId="43" fontId="3" fillId="0" borderId="0" applyFont="0" applyFill="0" applyBorder="0" applyAlignment="0" applyProtection="0"/>
    <xf numFmtId="43" fontId="3" fillId="0" borderId="0" applyFont="0" applyFill="0" applyBorder="0" applyAlignment="0" applyProtection="0"/>
    <xf numFmtId="0" fontId="185" fillId="0" borderId="880" applyNumberFormat="0" applyFont="0">
      <alignment horizontal="center" vertical="center"/>
    </xf>
    <xf numFmtId="0" fontId="18" fillId="79" borderId="866" applyNumberFormat="0" applyAlignment="0" applyProtection="0"/>
    <xf numFmtId="0" fontId="34" fillId="86" borderId="877" applyNumberFormat="0" applyAlignment="0" applyProtection="0"/>
    <xf numFmtId="0" fontId="29" fillId="0" borderId="875" applyNumberFormat="0" applyAlignment="0" applyProtection="0"/>
    <xf numFmtId="0" fontId="29" fillId="0" borderId="875" applyNumberFormat="0" applyAlignment="0" applyProtection="0"/>
    <xf numFmtId="43" fontId="3" fillId="0" borderId="0" applyFont="0" applyFill="0" applyBorder="0" applyAlignment="0" applyProtection="0"/>
    <xf numFmtId="0" fontId="34" fillId="86" borderId="877" applyNumberFormat="0" applyAlignment="0" applyProtection="0"/>
    <xf numFmtId="0" fontId="25" fillId="81" borderId="878" applyNumberFormat="0" applyAlignment="0" applyProtection="0"/>
    <xf numFmtId="0" fontId="46" fillId="79" borderId="879" applyNumberFormat="0" applyAlignment="0" applyProtection="0"/>
    <xf numFmtId="0" fontId="18" fillId="79" borderId="877" applyNumberFormat="0" applyAlignment="0" applyProtection="0"/>
    <xf numFmtId="2" fontId="174" fillId="0" borderId="885" applyFont="0" applyBorder="0" applyAlignment="0" applyProtection="0">
      <alignment horizontal="right"/>
    </xf>
    <xf numFmtId="0" fontId="7" fillId="35" borderId="878" applyNumberFormat="0" applyFont="0" applyAlignment="0" applyProtection="0"/>
    <xf numFmtId="0" fontId="25" fillId="81" borderId="878" applyNumberFormat="0" applyAlignment="0" applyProtection="0"/>
    <xf numFmtId="0" fontId="24" fillId="0" borderId="882" applyNumberFormat="0" applyFill="0" applyAlignment="0" applyProtection="0"/>
    <xf numFmtId="0" fontId="29" fillId="0" borderId="888" applyNumberFormat="0" applyAlignment="0" applyProtection="0"/>
    <xf numFmtId="0" fontId="29" fillId="0" borderId="888" applyNumberFormat="0" applyAlignment="0" applyProtection="0"/>
    <xf numFmtId="0" fontId="216" fillId="0" borderId="0"/>
    <xf numFmtId="0" fontId="225" fillId="86" borderId="893" applyNumberFormat="0" applyAlignment="0" applyProtection="0"/>
    <xf numFmtId="249" fontId="216" fillId="0" borderId="0" applyFill="0" applyBorder="0" applyAlignment="0"/>
    <xf numFmtId="0" fontId="225" fillId="86" borderId="926" applyNumberFormat="0" applyAlignment="0" applyProtection="0"/>
    <xf numFmtId="43" fontId="216" fillId="0" borderId="0" applyFont="0" applyFill="0" applyBorder="0" applyAlignment="0" applyProtection="0"/>
    <xf numFmtId="186" fontId="220" fillId="0" borderId="0" applyFill="0" applyBorder="0" applyAlignment="0" applyProtection="0"/>
    <xf numFmtId="185" fontId="216" fillId="0" borderId="0"/>
    <xf numFmtId="0" fontId="216" fillId="0" borderId="0"/>
    <xf numFmtId="0" fontId="222" fillId="21" borderId="0" applyNumberFormat="0" applyBorder="0" applyAlignment="0" applyProtection="0"/>
    <xf numFmtId="0" fontId="228" fillId="0" borderId="0"/>
    <xf numFmtId="4" fontId="220" fillId="0" borderId="0" applyFill="0" applyBorder="0" applyAlignment="0" applyProtection="0"/>
    <xf numFmtId="14" fontId="227" fillId="0" borderId="0">
      <alignment horizontal="center" wrapText="1"/>
      <protection locked="0"/>
    </xf>
    <xf numFmtId="0" fontId="216" fillId="0" borderId="0"/>
    <xf numFmtId="3" fontId="220" fillId="0" borderId="0" applyFill="0" applyBorder="0" applyAlignment="0" applyProtection="0"/>
    <xf numFmtId="0" fontId="223" fillId="76" borderId="0" applyNumberFormat="0" applyBorder="0" applyAlignment="0" applyProtection="0"/>
    <xf numFmtId="0" fontId="231" fillId="79" borderId="895" applyNumberFormat="0" applyAlignment="0" applyProtection="0"/>
    <xf numFmtId="0" fontId="223" fillId="69" borderId="0" applyNumberFormat="0" applyBorder="0" applyAlignment="0" applyProtection="0"/>
    <xf numFmtId="249" fontId="216" fillId="0" borderId="0" applyFill="0" applyBorder="0" applyAlignment="0"/>
    <xf numFmtId="207" fontId="224" fillId="0" borderId="0" applyFill="0" applyBorder="0" applyAlignment="0"/>
    <xf numFmtId="0" fontId="229" fillId="31" borderId="893" applyNumberFormat="0" applyAlignment="0" applyProtection="0"/>
    <xf numFmtId="249" fontId="216" fillId="0" borderId="0" applyFill="0" applyBorder="0" applyAlignment="0"/>
    <xf numFmtId="0" fontId="217" fillId="0" borderId="0"/>
    <xf numFmtId="0" fontId="216" fillId="0" borderId="0"/>
    <xf numFmtId="43" fontId="216" fillId="0" borderId="0" applyFill="0" applyBorder="0" applyAlignment="0"/>
    <xf numFmtId="0" fontId="222" fillId="63" borderId="0" applyNumberFormat="0" applyBorder="0" applyAlignment="0" applyProtection="0"/>
    <xf numFmtId="187" fontId="220" fillId="79" borderId="0" applyBorder="0"/>
    <xf numFmtId="0" fontId="223" fillId="78" borderId="0" applyNumberFormat="0" applyBorder="0" applyAlignment="0" applyProtection="0"/>
    <xf numFmtId="0" fontId="216" fillId="0" borderId="0"/>
    <xf numFmtId="4" fontId="220" fillId="0" borderId="0" applyFill="0" applyBorder="0" applyAlignment="0" applyProtection="0"/>
    <xf numFmtId="0" fontId="217" fillId="0" borderId="0"/>
    <xf numFmtId="0" fontId="228" fillId="0" borderId="0"/>
    <xf numFmtId="0" fontId="222" fillId="17" borderId="0" applyNumberFormat="0" applyBorder="0" applyAlignment="0" applyProtection="0"/>
    <xf numFmtId="0" fontId="221" fillId="0" borderId="900" applyNumberFormat="0" applyAlignment="0" applyProtection="0"/>
    <xf numFmtId="0" fontId="233" fillId="80" borderId="3" applyNumberFormat="0" applyAlignment="0" applyProtection="0"/>
    <xf numFmtId="0" fontId="217" fillId="0" borderId="0"/>
    <xf numFmtId="185" fontId="216" fillId="0" borderId="0"/>
    <xf numFmtId="208" fontId="216" fillId="0" borderId="0" applyFill="0" applyBorder="0" applyAlignment="0" applyProtection="0"/>
    <xf numFmtId="207" fontId="224" fillId="0" borderId="0" applyFill="0" applyBorder="0" applyAlignment="0"/>
    <xf numFmtId="0" fontId="223" fillId="69" borderId="0" applyNumberFormat="0" applyBorder="0" applyAlignment="0" applyProtection="0"/>
    <xf numFmtId="209" fontId="224" fillId="0" borderId="0" applyFill="0" applyBorder="0" applyAlignment="0"/>
    <xf numFmtId="0" fontId="221" fillId="0" borderId="930">
      <alignment horizontal="left" vertical="center"/>
    </xf>
    <xf numFmtId="0" fontId="221" fillId="0" borderId="888" applyNumberFormat="0" applyAlignment="0" applyProtection="0"/>
    <xf numFmtId="0" fontId="216" fillId="0" borderId="0"/>
    <xf numFmtId="0" fontId="234" fillId="0" borderId="0" applyNumberFormat="0" applyFill="0" applyBorder="0" applyAlignment="0" applyProtection="0"/>
    <xf numFmtId="0" fontId="221" fillId="0" borderId="888" applyNumberFormat="0" applyAlignment="0" applyProtection="0"/>
    <xf numFmtId="0" fontId="221" fillId="0" borderId="888" applyNumberFormat="0" applyAlignment="0" applyProtection="0"/>
    <xf numFmtId="212" fontId="216" fillId="0" borderId="0"/>
    <xf numFmtId="0" fontId="216" fillId="0" borderId="0"/>
    <xf numFmtId="0" fontId="220" fillId="0" borderId="0" applyNumberFormat="0" applyFill="0" applyBorder="0" applyAlignment="0" applyProtection="0"/>
    <xf numFmtId="0" fontId="223" fillId="72" borderId="0" applyNumberFormat="0" applyBorder="0" applyAlignment="0" applyProtection="0"/>
    <xf numFmtId="0" fontId="220" fillId="0" borderId="0" applyNumberFormat="0" applyFill="0" applyBorder="0" applyAlignment="0" applyProtection="0"/>
    <xf numFmtId="0" fontId="223" fillId="76" borderId="0" applyNumberFormat="0" applyBorder="0" applyAlignment="0" applyProtection="0"/>
    <xf numFmtId="0" fontId="217" fillId="0" borderId="0"/>
    <xf numFmtId="43" fontId="217" fillId="0" borderId="0" applyFont="0" applyFill="0" applyBorder="0" applyAlignment="0" applyProtection="0"/>
    <xf numFmtId="0" fontId="189" fillId="31" borderId="908" applyNumberFormat="0" applyAlignment="0" applyProtection="0">
      <alignment vertical="center"/>
    </xf>
    <xf numFmtId="0" fontId="225" fillId="66" borderId="950" applyNumberFormat="0" applyAlignment="0" applyProtection="0"/>
    <xf numFmtId="0" fontId="231" fillId="79" borderId="918" applyNumberFormat="0" applyAlignment="0" applyProtection="0"/>
    <xf numFmtId="43" fontId="216" fillId="0" borderId="0" applyFont="0" applyFill="0" applyBorder="0" applyAlignment="0" applyProtection="0"/>
    <xf numFmtId="0" fontId="225" fillId="86" borderId="916" applyNumberFormat="0" applyAlignment="0" applyProtection="0"/>
    <xf numFmtId="0" fontId="232" fillId="0" borderId="0" applyFont="0" applyFill="0" applyBorder="0" applyAlignment="0" applyProtection="0"/>
    <xf numFmtId="0" fontId="217" fillId="0" borderId="0"/>
    <xf numFmtId="15" fontId="220" fillId="0" borderId="0" applyFill="0" applyBorder="0" applyAlignment="0" applyProtection="0"/>
    <xf numFmtId="9" fontId="217" fillId="0" borderId="0" applyFont="0" applyFill="0" applyBorder="0" applyAlignment="0" applyProtection="0"/>
    <xf numFmtId="0" fontId="222" fillId="67" borderId="0" applyNumberFormat="0" applyBorder="0" applyAlignment="0" applyProtection="0"/>
    <xf numFmtId="0" fontId="221" fillId="0" borderId="897">
      <alignment horizontal="left" vertical="center"/>
    </xf>
    <xf numFmtId="0" fontId="223" fillId="68" borderId="0" applyNumberFormat="0" applyBorder="0" applyAlignment="0" applyProtection="0"/>
    <xf numFmtId="0" fontId="232" fillId="79" borderId="0" applyNumberFormat="0" applyBorder="0" applyAlignment="0" applyProtection="0"/>
    <xf numFmtId="2" fontId="174" fillId="0" borderId="891" applyFont="0" applyBorder="0" applyAlignment="0" applyProtection="0">
      <alignment horizontal="right"/>
    </xf>
    <xf numFmtId="0" fontId="217" fillId="0" borderId="0"/>
    <xf numFmtId="0" fontId="225" fillId="86" borderId="893" applyNumberFormat="0" applyAlignment="0" applyProtection="0"/>
    <xf numFmtId="197" fontId="220" fillId="0" borderId="0" applyFill="0" applyBorder="0" applyAlignment="0" applyProtection="0"/>
    <xf numFmtId="0" fontId="216" fillId="0" borderId="0"/>
    <xf numFmtId="43" fontId="216" fillId="0" borderId="0" applyFill="0" applyBorder="0" applyAlignment="0" applyProtection="0"/>
    <xf numFmtId="0" fontId="216" fillId="0" borderId="0"/>
    <xf numFmtId="185" fontId="216" fillId="0" borderId="0"/>
    <xf numFmtId="207" fontId="224" fillId="0" borderId="0" applyFill="0" applyBorder="0" applyAlignment="0"/>
    <xf numFmtId="0" fontId="231" fillId="79" borderId="928" applyNumberFormat="0" applyAlignment="0" applyProtection="0"/>
    <xf numFmtId="0" fontId="216" fillId="0" borderId="0" applyNumberFormat="0" applyFill="0" applyBorder="0" applyAlignment="0" applyProtection="0"/>
    <xf numFmtId="0" fontId="216" fillId="0" borderId="0" applyNumberFormat="0" applyFill="0" applyBorder="0" applyAlignment="0" applyProtection="0"/>
    <xf numFmtId="43" fontId="216" fillId="0" borderId="0" applyFont="0" applyFill="0" applyBorder="0" applyAlignment="0" applyProtection="0"/>
    <xf numFmtId="0" fontId="221" fillId="0" borderId="912" applyNumberFormat="0" applyAlignment="0" applyProtection="0"/>
    <xf numFmtId="167" fontId="216" fillId="0" borderId="0" applyFont="0" applyFill="0" applyBorder="0" applyAlignment="0" applyProtection="0"/>
    <xf numFmtId="0" fontId="216" fillId="0" borderId="0"/>
    <xf numFmtId="0" fontId="222" fillId="62" borderId="0" applyNumberFormat="0" applyBorder="0" applyAlignment="0" applyProtection="0"/>
    <xf numFmtId="0" fontId="223" fillId="68" borderId="0" applyNumberFormat="0" applyBorder="0" applyAlignment="0" applyProtection="0"/>
    <xf numFmtId="0" fontId="221" fillId="0" borderId="946" applyNumberFormat="0" applyAlignment="0" applyProtection="0"/>
    <xf numFmtId="0" fontId="221" fillId="0" borderId="888" applyNumberFormat="0" applyAlignment="0" applyProtection="0"/>
    <xf numFmtId="167" fontId="216" fillId="0" borderId="0" applyFont="0" applyFill="0" applyBorder="0" applyAlignment="0" applyProtection="0"/>
    <xf numFmtId="0" fontId="223" fillId="22" borderId="0" applyNumberFormat="0" applyBorder="0" applyAlignment="0" applyProtection="0"/>
    <xf numFmtId="41" fontId="216" fillId="0" borderId="0" applyFont="0" applyFill="0" applyBorder="0" applyAlignment="0" applyProtection="0"/>
    <xf numFmtId="0" fontId="216" fillId="0" borderId="0"/>
    <xf numFmtId="0" fontId="232" fillId="81" borderId="0" applyNumberFormat="0" applyBorder="0" applyAlignment="0" applyProtection="0"/>
    <xf numFmtId="0" fontId="222" fillId="17" borderId="0" applyNumberFormat="0" applyBorder="0" applyAlignment="0" applyProtection="0"/>
    <xf numFmtId="15" fontId="220" fillId="0" borderId="0" applyFill="0" applyBorder="0" applyAlignment="0" applyProtection="0"/>
    <xf numFmtId="0" fontId="231" fillId="79" borderId="938" applyNumberFormat="0" applyAlignment="0" applyProtection="0"/>
    <xf numFmtId="0" fontId="178" fillId="86" borderId="893" applyNumberFormat="0" applyAlignment="0" applyProtection="0">
      <alignment vertical="center"/>
    </xf>
    <xf numFmtId="182" fontId="216" fillId="0" borderId="0" applyFill="0" applyBorder="0" applyAlignment="0"/>
    <xf numFmtId="207" fontId="224" fillId="0" borderId="0" applyFill="0" applyBorder="0" applyAlignment="0"/>
    <xf numFmtId="165" fontId="216" fillId="0" borderId="0" applyFont="0" applyFill="0" applyBorder="0" applyAlignment="0" applyProtection="0"/>
    <xf numFmtId="0" fontId="220" fillId="0" borderId="0" applyNumberFormat="0" applyFill="0" applyBorder="0" applyAlignment="0" applyProtection="0"/>
    <xf numFmtId="0" fontId="223" fillId="76" borderId="0" applyNumberFormat="0" applyBorder="0" applyAlignment="0" applyProtection="0"/>
    <xf numFmtId="0" fontId="237" fillId="63" borderId="0" applyNumberFormat="0" applyBorder="0" applyAlignment="0" applyProtection="0"/>
    <xf numFmtId="0" fontId="225" fillId="66" borderId="916" applyNumberFormat="0" applyAlignment="0" applyProtection="0"/>
    <xf numFmtId="0" fontId="220" fillId="81" borderId="937" applyNumberFormat="0" applyAlignment="0" applyProtection="0"/>
    <xf numFmtId="208" fontId="220" fillId="0" borderId="0" applyFill="0" applyBorder="0" applyAlignment="0" applyProtection="0"/>
    <xf numFmtId="213" fontId="224" fillId="0" borderId="0" applyFill="0" applyBorder="0" applyAlignment="0"/>
    <xf numFmtId="186" fontId="216" fillId="0" borderId="0" applyFill="0" applyBorder="0" applyAlignment="0"/>
    <xf numFmtId="227" fontId="226" fillId="0" borderId="0" applyFont="0" applyFill="0" applyBorder="0" applyAlignment="0" applyProtection="0"/>
    <xf numFmtId="165" fontId="216" fillId="0" borderId="0" applyFont="0" applyFill="0" applyBorder="0" applyAlignment="0" applyProtection="0"/>
    <xf numFmtId="0" fontId="222" fillId="61" borderId="0" applyNumberFormat="0" applyBorder="0" applyAlignment="0" applyProtection="0"/>
    <xf numFmtId="0" fontId="222" fillId="26" borderId="0" applyNumberFormat="0" applyBorder="0" applyAlignment="0" applyProtection="0"/>
    <xf numFmtId="227" fontId="226" fillId="0" borderId="0" applyFont="0" applyFill="0" applyBorder="0" applyAlignment="0" applyProtection="0"/>
    <xf numFmtId="0" fontId="217" fillId="0" borderId="0"/>
    <xf numFmtId="0" fontId="217" fillId="0" borderId="0"/>
    <xf numFmtId="0" fontId="236" fillId="82" borderId="0" applyNumberFormat="0" applyBorder="0" applyAlignment="0" applyProtection="0"/>
    <xf numFmtId="0" fontId="225" fillId="86" borderId="893" applyNumberFormat="0" applyAlignment="0" applyProtection="0"/>
    <xf numFmtId="0" fontId="220" fillId="81" borderId="951" applyNumberFormat="0" applyAlignment="0" applyProtection="0"/>
    <xf numFmtId="0" fontId="232" fillId="0" borderId="0" applyFont="0" applyFill="0" applyBorder="0" applyAlignment="0" applyProtection="0"/>
    <xf numFmtId="0" fontId="220" fillId="81" borderId="894" applyNumberFormat="0" applyAlignment="0" applyProtection="0"/>
    <xf numFmtId="185" fontId="216" fillId="0" borderId="0"/>
    <xf numFmtId="0" fontId="222" fillId="69" borderId="0" applyNumberFormat="0" applyBorder="0" applyAlignment="0" applyProtection="0"/>
    <xf numFmtId="4" fontId="220" fillId="0" borderId="0" applyFill="0" applyBorder="0" applyAlignment="0" applyProtection="0"/>
    <xf numFmtId="0" fontId="217" fillId="0" borderId="0"/>
    <xf numFmtId="0" fontId="223" fillId="18" borderId="0" applyNumberFormat="0" applyBorder="0" applyAlignment="0" applyProtection="0"/>
    <xf numFmtId="248" fontId="216" fillId="0" borderId="456">
      <alignment vertical="center"/>
    </xf>
    <xf numFmtId="0" fontId="222" fillId="17" borderId="0" applyNumberFormat="0" applyBorder="0" applyAlignment="0" applyProtection="0"/>
    <xf numFmtId="0" fontId="222" fillId="68" borderId="0" applyNumberFormat="0" applyBorder="0" applyAlignment="0" applyProtection="0"/>
    <xf numFmtId="185" fontId="216" fillId="0" borderId="0"/>
    <xf numFmtId="197" fontId="220" fillId="0" borderId="0" applyFill="0" applyBorder="0" applyAlignment="0" applyProtection="0"/>
    <xf numFmtId="43" fontId="217" fillId="0" borderId="0" applyFont="0" applyFill="0" applyBorder="0" applyAlignment="0" applyProtection="0"/>
    <xf numFmtId="0" fontId="168" fillId="35" borderId="894" applyNumberFormat="0" applyFont="0" applyAlignment="0" applyProtection="0">
      <alignment vertical="center"/>
    </xf>
    <xf numFmtId="174" fontId="216" fillId="0" borderId="0" applyFill="0" applyBorder="0" applyAlignment="0"/>
    <xf numFmtId="0" fontId="222" fillId="67" borderId="0" applyNumberFormat="0" applyBorder="0" applyAlignment="0" applyProtection="0"/>
    <xf numFmtId="207" fontId="224" fillId="0" borderId="0" applyFill="0" applyBorder="0" applyAlignment="0"/>
    <xf numFmtId="0" fontId="217" fillId="0" borderId="0"/>
    <xf numFmtId="0" fontId="223" fillId="75" borderId="0" applyNumberFormat="0" applyBorder="0" applyAlignment="0" applyProtection="0"/>
    <xf numFmtId="0" fontId="222" fillId="61" borderId="0" applyNumberFormat="0" applyBorder="0" applyAlignment="0" applyProtection="0"/>
    <xf numFmtId="185" fontId="216" fillId="0" borderId="0" applyFont="0" applyFill="0" applyBorder="0" applyAlignment="0" applyProtection="0"/>
    <xf numFmtId="186" fontId="216" fillId="0" borderId="0" applyFill="0" applyBorder="0" applyAlignment="0"/>
    <xf numFmtId="0" fontId="222" fillId="61" borderId="0" applyNumberFormat="0" applyBorder="0" applyAlignment="0" applyProtection="0"/>
    <xf numFmtId="178" fontId="216" fillId="0" borderId="0" applyFill="0" applyBorder="0" applyAlignment="0"/>
    <xf numFmtId="0" fontId="225" fillId="86" borderId="893" applyNumberFormat="0" applyAlignment="0" applyProtection="0"/>
    <xf numFmtId="0" fontId="222" fillId="61" borderId="0" applyNumberFormat="0" applyBorder="0" applyAlignment="0" applyProtection="0"/>
    <xf numFmtId="178" fontId="216" fillId="0" borderId="0" applyFill="0" applyBorder="0" applyAlignment="0"/>
    <xf numFmtId="0" fontId="225" fillId="66" borderId="893" applyNumberFormat="0" applyAlignment="0" applyProtection="0"/>
    <xf numFmtId="0" fontId="222" fillId="62" borderId="0" applyNumberFormat="0" applyBorder="0" applyAlignment="0" applyProtection="0"/>
    <xf numFmtId="0" fontId="222" fillId="62" borderId="0" applyNumberFormat="0" applyBorder="0" applyAlignment="0" applyProtection="0"/>
    <xf numFmtId="0" fontId="222" fillId="62" borderId="0" applyNumberFormat="0" applyBorder="0" applyAlignment="0" applyProtection="0"/>
    <xf numFmtId="0" fontId="222" fillId="63" borderId="0" applyNumberFormat="0" applyBorder="0" applyAlignment="0" applyProtection="0"/>
    <xf numFmtId="187" fontId="220" fillId="79" borderId="0" applyBorder="0"/>
    <xf numFmtId="0" fontId="235" fillId="0" borderId="9" applyNumberFormat="0" applyFill="0" applyAlignment="0" applyProtection="0"/>
    <xf numFmtId="0" fontId="225" fillId="86" borderId="893" applyNumberFormat="0" applyAlignment="0" applyProtection="0"/>
    <xf numFmtId="0" fontId="222" fillId="63" borderId="0" applyNumberFormat="0" applyBorder="0" applyAlignment="0" applyProtection="0"/>
    <xf numFmtId="187" fontId="220" fillId="79" borderId="0" applyBorder="0"/>
    <xf numFmtId="0" fontId="225" fillId="86" borderId="893" applyNumberFormat="0" applyAlignment="0" applyProtection="0"/>
    <xf numFmtId="0" fontId="222" fillId="63" borderId="0" applyNumberFormat="0" applyBorder="0" applyAlignment="0" applyProtection="0"/>
    <xf numFmtId="249" fontId="216" fillId="0" borderId="0" applyFill="0" applyBorder="0" applyAlignment="0"/>
    <xf numFmtId="187" fontId="220" fillId="79" borderId="0" applyBorder="0"/>
    <xf numFmtId="0" fontId="225" fillId="86" borderId="893" applyNumberFormat="0" applyAlignment="0" applyProtection="0"/>
    <xf numFmtId="0" fontId="222" fillId="64" borderId="0" applyNumberFormat="0" applyBorder="0" applyAlignment="0" applyProtection="0"/>
    <xf numFmtId="43" fontId="216" fillId="0" borderId="0" applyFill="0" applyBorder="0" applyAlignment="0"/>
    <xf numFmtId="0" fontId="222" fillId="64" borderId="0" applyNumberFormat="0" applyBorder="0" applyAlignment="0" applyProtection="0"/>
    <xf numFmtId="0" fontId="222" fillId="64" borderId="0" applyNumberFormat="0" applyBorder="0" applyAlignment="0" applyProtection="0"/>
    <xf numFmtId="0" fontId="222" fillId="64" borderId="0" applyNumberFormat="0" applyBorder="0" applyAlignment="0" applyProtection="0"/>
    <xf numFmtId="0" fontId="222" fillId="65" borderId="0" applyNumberFormat="0" applyBorder="0" applyAlignment="0" applyProtection="0"/>
    <xf numFmtId="0" fontId="222" fillId="65" borderId="0" applyNumberFormat="0" applyBorder="0" applyAlignment="0" applyProtection="0"/>
    <xf numFmtId="0" fontId="222" fillId="65" borderId="0" applyNumberFormat="0" applyBorder="0" applyAlignment="0" applyProtection="0"/>
    <xf numFmtId="0" fontId="222" fillId="65" borderId="0" applyNumberFormat="0" applyBorder="0" applyAlignment="0" applyProtection="0"/>
    <xf numFmtId="43" fontId="216" fillId="0" borderId="0" applyFill="0" applyBorder="0" applyAlignment="0"/>
    <xf numFmtId="0" fontId="222" fillId="66" borderId="0" applyNumberFormat="0" applyBorder="0" applyAlignment="0" applyProtection="0"/>
    <xf numFmtId="209" fontId="224" fillId="0" borderId="0" applyFill="0" applyBorder="0" applyAlignment="0"/>
    <xf numFmtId="0" fontId="222" fillId="66" borderId="0" applyNumberFormat="0" applyBorder="0" applyAlignment="0" applyProtection="0"/>
    <xf numFmtId="0" fontId="219" fillId="0" borderId="920" applyNumberFormat="0" applyFill="0" applyAlignment="0" applyProtection="0"/>
    <xf numFmtId="0" fontId="229" fillId="79" borderId="893" applyNumberFormat="0" applyAlignment="0" applyProtection="0"/>
    <xf numFmtId="0" fontId="222" fillId="66" borderId="0" applyNumberFormat="0" applyBorder="0" applyAlignment="0" applyProtection="0"/>
    <xf numFmtId="0" fontId="185" fillId="0" borderId="850" applyNumberFormat="0" applyFont="0">
      <alignment horizontal="center" vertical="center"/>
    </xf>
    <xf numFmtId="0" fontId="221" fillId="0" borderId="912" applyNumberFormat="0" applyAlignment="0" applyProtection="0"/>
    <xf numFmtId="0" fontId="222" fillId="66" borderId="0" applyNumberFormat="0" applyBorder="0" applyAlignment="0" applyProtection="0"/>
    <xf numFmtId="0" fontId="229" fillId="79" borderId="950" applyNumberFormat="0" applyAlignment="0" applyProtection="0"/>
    <xf numFmtId="0" fontId="229" fillId="79" borderId="906" applyNumberFormat="0" applyAlignment="0" applyProtection="0"/>
    <xf numFmtId="0" fontId="222" fillId="67" borderId="0" applyNumberFormat="0" applyBorder="0" applyAlignment="0" applyProtection="0"/>
    <xf numFmtId="0" fontId="229" fillId="79" borderId="893" applyNumberFormat="0" applyAlignment="0" applyProtection="0"/>
    <xf numFmtId="0" fontId="222" fillId="67" borderId="0" applyNumberFormat="0" applyBorder="0" applyAlignment="0" applyProtection="0"/>
    <xf numFmtId="0" fontId="229" fillId="79" borderId="893" applyNumberFormat="0" applyAlignment="0" applyProtection="0"/>
    <xf numFmtId="0" fontId="222" fillId="67" borderId="0" applyNumberFormat="0" applyBorder="0" applyAlignment="0" applyProtection="0"/>
    <xf numFmtId="176" fontId="216" fillId="0" borderId="0" applyFill="0" applyBorder="0" applyAlignment="0"/>
    <xf numFmtId="185" fontId="216" fillId="0" borderId="0"/>
    <xf numFmtId="0" fontId="228" fillId="0" borderId="0"/>
    <xf numFmtId="0" fontId="222" fillId="68" borderId="0" applyNumberFormat="0" applyBorder="0" applyAlignment="0" applyProtection="0"/>
    <xf numFmtId="186" fontId="216" fillId="0" borderId="0" applyFill="0" applyBorder="0" applyAlignment="0"/>
    <xf numFmtId="0" fontId="222" fillId="68" borderId="0" applyNumberFormat="0" applyBorder="0" applyAlignment="0" applyProtection="0"/>
    <xf numFmtId="185" fontId="216" fillId="0" borderId="0"/>
    <xf numFmtId="0" fontId="222" fillId="68" borderId="0" applyNumberFormat="0" applyBorder="0" applyAlignment="0" applyProtection="0"/>
    <xf numFmtId="0" fontId="222" fillId="69" borderId="0" applyNumberFormat="0" applyBorder="0" applyAlignment="0" applyProtection="0"/>
    <xf numFmtId="0" fontId="222" fillId="69" borderId="0" applyNumberFormat="0" applyBorder="0" applyAlignment="0" applyProtection="0"/>
    <xf numFmtId="0" fontId="225" fillId="86" borderId="893" applyNumberFormat="0" applyAlignment="0" applyProtection="0"/>
    <xf numFmtId="0" fontId="222" fillId="69" borderId="0" applyNumberFormat="0" applyBorder="0" applyAlignment="0" applyProtection="0"/>
    <xf numFmtId="238" fontId="216" fillId="0" borderId="0" applyFont="0" applyFill="0" applyBorder="0" applyAlignment="0" applyProtection="0"/>
    <xf numFmtId="0" fontId="222" fillId="64" borderId="0" applyNumberFormat="0" applyBorder="0" applyAlignment="0" applyProtection="0"/>
    <xf numFmtId="212" fontId="216" fillId="0" borderId="0"/>
    <xf numFmtId="9" fontId="217" fillId="0" borderId="0" applyFont="0" applyFill="0" applyBorder="0" applyAlignment="0" applyProtection="0"/>
    <xf numFmtId="0" fontId="222" fillId="64" borderId="0" applyNumberFormat="0" applyBorder="0" applyAlignment="0" applyProtection="0"/>
    <xf numFmtId="212" fontId="216" fillId="0" borderId="0"/>
    <xf numFmtId="9" fontId="216" fillId="0" borderId="0" applyFont="0" applyFill="0" applyBorder="0" applyAlignment="0" applyProtection="0"/>
    <xf numFmtId="0" fontId="222" fillId="64" borderId="0" applyNumberFormat="0" applyBorder="0" applyAlignment="0" applyProtection="0"/>
    <xf numFmtId="0" fontId="222" fillId="64" borderId="0" applyNumberFormat="0" applyBorder="0" applyAlignment="0" applyProtection="0"/>
    <xf numFmtId="0" fontId="223" fillId="74" borderId="0" applyNumberFormat="0" applyBorder="0" applyAlignment="0" applyProtection="0"/>
    <xf numFmtId="0" fontId="222" fillId="67" borderId="0" applyNumberFormat="0" applyBorder="0" applyAlignment="0" applyProtection="0"/>
    <xf numFmtId="0" fontId="217" fillId="0" borderId="0"/>
    <xf numFmtId="0" fontId="222" fillId="67" borderId="0" applyNumberFormat="0" applyBorder="0" applyAlignment="0" applyProtection="0"/>
    <xf numFmtId="0" fontId="232" fillId="81" borderId="0" applyNumberFormat="0" applyBorder="0" applyAlignment="0" applyProtection="0"/>
    <xf numFmtId="0" fontId="222" fillId="67" borderId="0" applyNumberFormat="0" applyBorder="0" applyAlignment="0" applyProtection="0"/>
    <xf numFmtId="0" fontId="232" fillId="81" borderId="0" applyNumberFormat="0" applyBorder="0" applyAlignment="0" applyProtection="0"/>
    <xf numFmtId="0" fontId="222" fillId="70" borderId="0" applyNumberFormat="0" applyBorder="0" applyAlignment="0" applyProtection="0"/>
    <xf numFmtId="0" fontId="223" fillId="71" borderId="0" applyNumberFormat="0" applyBorder="0" applyAlignment="0" applyProtection="0"/>
    <xf numFmtId="0" fontId="222" fillId="70" borderId="0" applyNumberFormat="0" applyBorder="0" applyAlignment="0" applyProtection="0"/>
    <xf numFmtId="0" fontId="189" fillId="31" borderId="895" applyNumberFormat="0" applyAlignment="0" applyProtection="0">
      <alignment vertical="center"/>
    </xf>
    <xf numFmtId="0" fontId="222" fillId="70" borderId="0" applyNumberFormat="0" applyBorder="0" applyAlignment="0" applyProtection="0"/>
    <xf numFmtId="0" fontId="217" fillId="0" borderId="0"/>
    <xf numFmtId="209" fontId="224" fillId="0" borderId="0" applyFill="0" applyBorder="0" applyAlignment="0"/>
    <xf numFmtId="0" fontId="222" fillId="70" borderId="0" applyNumberFormat="0" applyBorder="0" applyAlignment="0" applyProtection="0"/>
    <xf numFmtId="0" fontId="231" fillId="79" borderId="928" applyNumberFormat="0" applyAlignment="0" applyProtection="0"/>
    <xf numFmtId="176" fontId="216" fillId="0" borderId="0" applyFill="0" applyBorder="0" applyAlignment="0"/>
    <xf numFmtId="208" fontId="220" fillId="0" borderId="0" applyFill="0" applyBorder="0" applyAlignment="0" applyProtection="0"/>
    <xf numFmtId="0" fontId="220" fillId="81" borderId="894" applyNumberFormat="0" applyAlignment="0" applyProtection="0"/>
    <xf numFmtId="185" fontId="216" fillId="0" borderId="0"/>
    <xf numFmtId="2" fontId="174" fillId="0" borderId="903" applyFont="0" applyBorder="0" applyAlignment="0" applyProtection="0">
      <alignment horizontal="right"/>
    </xf>
    <xf numFmtId="208" fontId="220" fillId="0" borderId="0" applyFill="0" applyBorder="0" applyAlignment="0" applyProtection="0"/>
    <xf numFmtId="0" fontId="223" fillId="71" borderId="0" applyNumberFormat="0" applyBorder="0" applyAlignment="0" applyProtection="0"/>
    <xf numFmtId="209" fontId="224" fillId="0" borderId="0" applyFill="0" applyBorder="0" applyAlignment="0"/>
    <xf numFmtId="0" fontId="223" fillId="71" borderId="0" applyNumberFormat="0" applyBorder="0" applyAlignment="0" applyProtection="0"/>
    <xf numFmtId="0" fontId="221" fillId="0" borderId="924">
      <alignment horizontal="left" vertical="center"/>
    </xf>
    <xf numFmtId="0" fontId="223" fillId="71" borderId="0" applyNumberFormat="0" applyBorder="0" applyAlignment="0" applyProtection="0"/>
    <xf numFmtId="0" fontId="223" fillId="68" borderId="0" applyNumberFormat="0" applyBorder="0" applyAlignment="0" applyProtection="0"/>
    <xf numFmtId="207" fontId="224" fillId="0" borderId="0" applyFill="0" applyBorder="0" applyAlignment="0"/>
    <xf numFmtId="0" fontId="223" fillId="68" borderId="0" applyNumberFormat="0" applyBorder="0" applyAlignment="0" applyProtection="0"/>
    <xf numFmtId="0" fontId="223" fillId="69" borderId="0" applyNumberFormat="0" applyBorder="0" applyAlignment="0" applyProtection="0"/>
    <xf numFmtId="0" fontId="238" fillId="62" borderId="0" applyNumberFormat="0" applyBorder="0" applyAlignment="0" applyProtection="0"/>
    <xf numFmtId="0" fontId="223" fillId="69" borderId="0" applyNumberFormat="0" applyBorder="0" applyAlignment="0" applyProtection="0"/>
    <xf numFmtId="0" fontId="223" fillId="72" borderId="0" applyNumberFormat="0" applyBorder="0" applyAlignment="0" applyProtection="0"/>
    <xf numFmtId="0" fontId="223" fillId="72" borderId="0" applyNumberFormat="0" applyBorder="0" applyAlignment="0" applyProtection="0"/>
    <xf numFmtId="0" fontId="223" fillId="72" borderId="0" applyNumberFormat="0" applyBorder="0" applyAlignment="0" applyProtection="0"/>
    <xf numFmtId="0" fontId="223" fillId="72" borderId="0" applyNumberFormat="0" applyBorder="0" applyAlignment="0" applyProtection="0"/>
    <xf numFmtId="207" fontId="224" fillId="0" borderId="0" applyFill="0" applyBorder="0" applyAlignment="0"/>
    <xf numFmtId="0" fontId="223" fillId="73" borderId="0" applyNumberFormat="0" applyBorder="0" applyAlignment="0" applyProtection="0"/>
    <xf numFmtId="0" fontId="225" fillId="86" borderId="950" applyNumberFormat="0" applyAlignment="0" applyProtection="0"/>
    <xf numFmtId="0" fontId="223" fillId="73" borderId="0" applyNumberFormat="0" applyBorder="0" applyAlignment="0" applyProtection="0"/>
    <xf numFmtId="0" fontId="223" fillId="73" borderId="0" applyNumberFormat="0" applyBorder="0" applyAlignment="0" applyProtection="0"/>
    <xf numFmtId="0" fontId="239" fillId="0" borderId="8" applyNumberFormat="0" applyFill="0" applyAlignment="0" applyProtection="0"/>
    <xf numFmtId="0" fontId="223" fillId="73" borderId="0" applyNumberFormat="0" applyBorder="0" applyAlignment="0" applyProtection="0"/>
    <xf numFmtId="0" fontId="223" fillId="74" borderId="0" applyNumberFormat="0" applyBorder="0" applyAlignment="0" applyProtection="0"/>
    <xf numFmtId="0" fontId="223" fillId="74" borderId="0" applyNumberFormat="0" applyBorder="0" applyAlignment="0" applyProtection="0"/>
    <xf numFmtId="207" fontId="224" fillId="0" borderId="0" applyFill="0" applyBorder="0" applyAlignment="0"/>
    <xf numFmtId="0" fontId="223" fillId="74" borderId="0" applyNumberFormat="0" applyBorder="0" applyAlignment="0" applyProtection="0"/>
    <xf numFmtId="0" fontId="222" fillId="27" borderId="0" applyNumberFormat="0" applyBorder="0" applyAlignment="0" applyProtection="0"/>
    <xf numFmtId="186" fontId="220" fillId="0" borderId="0" applyFill="0" applyBorder="0" applyAlignment="0" applyProtection="0"/>
    <xf numFmtId="0" fontId="216" fillId="0" borderId="0"/>
    <xf numFmtId="0" fontId="240" fillId="0" borderId="0" applyNumberFormat="0" applyFill="0" applyBorder="0" applyAlignment="0" applyProtection="0">
      <alignment vertical="top"/>
      <protection locked="0"/>
    </xf>
    <xf numFmtId="186" fontId="220" fillId="0" borderId="0" applyFill="0" applyBorder="0" applyAlignment="0" applyProtection="0"/>
    <xf numFmtId="0" fontId="219" fillId="0" borderId="911" applyNumberFormat="0" applyFill="0" applyAlignment="0" applyProtection="0"/>
    <xf numFmtId="0" fontId="195" fillId="0" borderId="898" applyNumberFormat="0" applyFill="0" applyAlignment="0" applyProtection="0">
      <alignment vertical="center"/>
    </xf>
    <xf numFmtId="207" fontId="224" fillId="0" borderId="0" applyFill="0" applyBorder="0" applyAlignment="0"/>
    <xf numFmtId="0" fontId="223" fillId="18" borderId="0" applyNumberFormat="0" applyBorder="0" applyAlignment="0" applyProtection="0"/>
    <xf numFmtId="0" fontId="178" fillId="86" borderId="926" applyNumberFormat="0" applyAlignment="0" applyProtection="0">
      <alignment vertical="center"/>
    </xf>
    <xf numFmtId="0" fontId="223" fillId="75" borderId="0" applyNumberFormat="0" applyBorder="0" applyAlignment="0" applyProtection="0"/>
    <xf numFmtId="0" fontId="217" fillId="0" borderId="0"/>
    <xf numFmtId="0" fontId="223" fillId="75" borderId="0" applyNumberFormat="0" applyBorder="0" applyAlignment="0" applyProtection="0"/>
    <xf numFmtId="0" fontId="225" fillId="86" borderId="906" applyNumberFormat="0" applyAlignment="0" applyProtection="0"/>
    <xf numFmtId="0" fontId="217" fillId="0" borderId="0"/>
    <xf numFmtId="0" fontId="223" fillId="75" borderId="0" applyNumberFormat="0" applyBorder="0" applyAlignment="0" applyProtection="0"/>
    <xf numFmtId="186" fontId="216" fillId="0" borderId="0" applyFill="0" applyBorder="0" applyAlignment="0"/>
    <xf numFmtId="0" fontId="222" fillId="20" borderId="0" applyNumberFormat="0" applyBorder="0" applyAlignment="0" applyProtection="0"/>
    <xf numFmtId="0" fontId="223" fillId="76" borderId="0" applyNumberFormat="0" applyBorder="0" applyAlignment="0" applyProtection="0"/>
    <xf numFmtId="0" fontId="237" fillId="63" borderId="0" applyNumberFormat="0" applyBorder="0" applyAlignment="0" applyProtection="0"/>
    <xf numFmtId="0" fontId="222" fillId="20" borderId="0" applyNumberFormat="0" applyBorder="0" applyAlignment="0" applyProtection="0"/>
    <xf numFmtId="0" fontId="223" fillId="73" borderId="0" applyNumberFormat="0" applyBorder="0" applyAlignment="0" applyProtection="0"/>
    <xf numFmtId="185" fontId="216" fillId="0" borderId="0"/>
    <xf numFmtId="0" fontId="222" fillId="24" borderId="0" applyNumberFormat="0" applyBorder="0" applyAlignment="0" applyProtection="0"/>
    <xf numFmtId="0" fontId="223" fillId="21" borderId="0" applyNumberFormat="0" applyBorder="0" applyAlignment="0" applyProtection="0"/>
    <xf numFmtId="0" fontId="221" fillId="0" borderId="925" applyNumberFormat="0" applyAlignment="0" applyProtection="0"/>
    <xf numFmtId="0" fontId="216" fillId="0" borderId="0"/>
    <xf numFmtId="43" fontId="217" fillId="0" borderId="0" applyFont="0" applyFill="0" applyBorder="0" applyAlignment="0" applyProtection="0"/>
    <xf numFmtId="0" fontId="223" fillId="77" borderId="0" applyNumberFormat="0" applyBorder="0" applyAlignment="0" applyProtection="0"/>
    <xf numFmtId="211" fontId="220" fillId="0" borderId="0" applyFill="0" applyBorder="0" applyAlignment="0" applyProtection="0"/>
    <xf numFmtId="0" fontId="223" fillId="77" borderId="0" applyNumberFormat="0" applyBorder="0" applyAlignment="0" applyProtection="0"/>
    <xf numFmtId="0" fontId="223" fillId="77" borderId="0" applyNumberFormat="0" applyBorder="0" applyAlignment="0" applyProtection="0"/>
    <xf numFmtId="0" fontId="223" fillId="77" borderId="0" applyNumberFormat="0" applyBorder="0" applyAlignment="0" applyProtection="0"/>
    <xf numFmtId="0" fontId="222" fillId="17" borderId="0" applyNumberFormat="0" applyBorder="0" applyAlignment="0" applyProtection="0"/>
    <xf numFmtId="43" fontId="217" fillId="0" borderId="0" applyFont="0" applyFill="0" applyBorder="0" applyAlignment="0" applyProtection="0"/>
    <xf numFmtId="0" fontId="178" fillId="86" borderId="893" applyNumberFormat="0" applyAlignment="0" applyProtection="0">
      <alignment vertical="center"/>
    </xf>
    <xf numFmtId="185" fontId="216" fillId="0" borderId="0"/>
    <xf numFmtId="207" fontId="224" fillId="0" borderId="0" applyFill="0" applyBorder="0" applyAlignment="0"/>
    <xf numFmtId="0" fontId="220" fillId="83" borderId="0" applyNumberFormat="0" applyBorder="0" applyAlignment="0" applyProtection="0"/>
    <xf numFmtId="0" fontId="222" fillId="21" borderId="0" applyNumberFormat="0" applyBorder="0" applyAlignment="0" applyProtection="0"/>
    <xf numFmtId="0" fontId="233" fillId="80" borderId="3" applyNumberFormat="0" applyAlignment="0" applyProtection="0"/>
    <xf numFmtId="0" fontId="223" fillId="21" borderId="0" applyNumberFormat="0" applyBorder="0" applyAlignment="0" applyProtection="0"/>
    <xf numFmtId="0" fontId="217" fillId="0" borderId="0"/>
    <xf numFmtId="0" fontId="223" fillId="72" borderId="0" applyNumberFormat="0" applyBorder="0" applyAlignment="0" applyProtection="0"/>
    <xf numFmtId="0" fontId="223" fillId="78" borderId="0" applyNumberFormat="0" applyBorder="0" applyAlignment="0" applyProtection="0"/>
    <xf numFmtId="0" fontId="223" fillId="72" borderId="0" applyNumberFormat="0" applyBorder="0" applyAlignment="0" applyProtection="0"/>
    <xf numFmtId="0" fontId="223" fillId="72" borderId="0" applyNumberFormat="0" applyBorder="0" applyAlignment="0" applyProtection="0"/>
    <xf numFmtId="0" fontId="223" fillId="73" borderId="0" applyNumberFormat="0" applyBorder="0" applyAlignment="0" applyProtection="0"/>
    <xf numFmtId="185" fontId="216" fillId="0" borderId="0"/>
    <xf numFmtId="0" fontId="223" fillId="73" borderId="0" applyNumberFormat="0" applyBorder="0" applyAlignment="0" applyProtection="0"/>
    <xf numFmtId="185" fontId="216" fillId="0" borderId="0"/>
    <xf numFmtId="0" fontId="223" fillId="73" borderId="0" applyNumberFormat="0" applyBorder="0" applyAlignment="0" applyProtection="0"/>
    <xf numFmtId="185" fontId="216" fillId="0" borderId="0"/>
    <xf numFmtId="9" fontId="217" fillId="0" borderId="0" applyFont="0" applyFill="0" applyBorder="0" applyAlignment="0" applyProtection="0"/>
    <xf numFmtId="0" fontId="222" fillId="20" borderId="0" applyNumberFormat="0" applyBorder="0" applyAlignment="0" applyProtection="0"/>
    <xf numFmtId="0" fontId="223" fillId="27" borderId="0" applyNumberFormat="0" applyBorder="0" applyAlignment="0" applyProtection="0"/>
    <xf numFmtId="0" fontId="223" fillId="78" borderId="0" applyNumberFormat="0" applyBorder="0" applyAlignment="0" applyProtection="0"/>
    <xf numFmtId="0" fontId="223" fillId="78" borderId="0" applyNumberFormat="0" applyBorder="0" applyAlignment="0" applyProtection="0"/>
    <xf numFmtId="207" fontId="224" fillId="0" borderId="0" applyFill="0" applyBorder="0" applyAlignment="0"/>
    <xf numFmtId="210" fontId="220" fillId="0" borderId="0" applyFill="0" applyBorder="0" applyAlignment="0" applyProtection="0"/>
    <xf numFmtId="9" fontId="220" fillId="0" borderId="0" applyFill="0" applyBorder="0" applyAlignment="0" applyProtection="0"/>
    <xf numFmtId="212" fontId="216" fillId="0" borderId="0"/>
    <xf numFmtId="0" fontId="227" fillId="0" borderId="0">
      <alignment horizontal="center" wrapText="1"/>
      <protection locked="0"/>
    </xf>
    <xf numFmtId="0" fontId="238" fillId="62" borderId="0" applyNumberFormat="0" applyBorder="0" applyAlignment="0" applyProtection="0"/>
    <xf numFmtId="207" fontId="224" fillId="0" borderId="0" applyFill="0" applyBorder="0" applyAlignment="0"/>
    <xf numFmtId="0" fontId="238" fillId="62" borderId="0" applyNumberFormat="0" applyBorder="0" applyAlignment="0" applyProtection="0"/>
    <xf numFmtId="186" fontId="216" fillId="0" borderId="0" applyFill="0" applyBorder="0" applyAlignment="0"/>
    <xf numFmtId="207" fontId="224" fillId="0" borderId="0" applyFill="0" applyBorder="0" applyAlignment="0"/>
    <xf numFmtId="0" fontId="238" fillId="62" borderId="0" applyNumberFormat="0" applyBorder="0" applyAlignment="0" applyProtection="0"/>
    <xf numFmtId="186" fontId="216" fillId="0" borderId="0" applyFill="0" applyBorder="0" applyAlignment="0"/>
    <xf numFmtId="185" fontId="216" fillId="0" borderId="0"/>
    <xf numFmtId="43" fontId="216" fillId="0" borderId="0" applyFill="0" applyBorder="0" applyAlignment="0"/>
    <xf numFmtId="172" fontId="241" fillId="0" borderId="0" applyFill="0" applyBorder="0" applyAlignment="0"/>
    <xf numFmtId="0" fontId="222" fillId="0" borderId="0"/>
    <xf numFmtId="43" fontId="216" fillId="0" borderId="0" applyFill="0" applyBorder="0" applyAlignment="0"/>
    <xf numFmtId="174" fontId="216" fillId="0" borderId="0" applyFill="0" applyBorder="0" applyAlignment="0"/>
    <xf numFmtId="174" fontId="216" fillId="0" borderId="0" applyFill="0" applyBorder="0" applyAlignment="0"/>
    <xf numFmtId="174" fontId="216" fillId="0" borderId="0" applyFill="0" applyBorder="0" applyAlignment="0"/>
    <xf numFmtId="176" fontId="216" fillId="0" borderId="0" applyFill="0" applyBorder="0" applyAlignment="0"/>
    <xf numFmtId="176" fontId="216" fillId="0" borderId="0" applyFill="0" applyBorder="0" applyAlignment="0"/>
    <xf numFmtId="178" fontId="216" fillId="0" borderId="0" applyFill="0" applyBorder="0" applyAlignment="0"/>
    <xf numFmtId="0" fontId="225" fillId="66" borderId="893" applyNumberFormat="0" applyAlignment="0" applyProtection="0"/>
    <xf numFmtId="186" fontId="216" fillId="0" borderId="0" applyFill="0" applyBorder="0" applyAlignment="0"/>
    <xf numFmtId="178" fontId="216" fillId="0" borderId="0" applyFill="0" applyBorder="0" applyAlignment="0"/>
    <xf numFmtId="0" fontId="225" fillId="66" borderId="893" applyNumberFormat="0" applyAlignment="0" applyProtection="0"/>
    <xf numFmtId="43" fontId="216" fillId="0" borderId="0" applyFill="0" applyBorder="0" applyAlignment="0"/>
    <xf numFmtId="43" fontId="216" fillId="0" borderId="0" applyFill="0" applyBorder="0" applyAlignment="0"/>
    <xf numFmtId="43" fontId="216" fillId="0" borderId="0" applyFill="0" applyBorder="0" applyAlignment="0"/>
    <xf numFmtId="208" fontId="216" fillId="0" borderId="0" applyFill="0" applyBorder="0" applyAlignment="0" applyProtection="0"/>
    <xf numFmtId="182" fontId="216" fillId="0" borderId="0" applyFill="0" applyBorder="0" applyAlignment="0"/>
    <xf numFmtId="182" fontId="216" fillId="0" borderId="0" applyFill="0" applyBorder="0" applyAlignment="0"/>
    <xf numFmtId="186" fontId="216" fillId="0" borderId="0" applyFill="0" applyBorder="0" applyAlignment="0"/>
    <xf numFmtId="15" fontId="220" fillId="0" borderId="0" applyFill="0" applyBorder="0" applyAlignment="0" applyProtection="0"/>
    <xf numFmtId="0" fontId="219" fillId="0" borderId="920" applyNumberFormat="0" applyFill="0" applyAlignment="0" applyProtection="0"/>
    <xf numFmtId="182" fontId="216" fillId="0" borderId="0" applyFill="0" applyBorder="0" applyAlignment="0"/>
    <xf numFmtId="207" fontId="224" fillId="0" borderId="0" applyFill="0" applyBorder="0" applyAlignment="0"/>
    <xf numFmtId="207" fontId="224" fillId="0" borderId="0" applyFill="0" applyBorder="0" applyAlignment="0"/>
    <xf numFmtId="207" fontId="224" fillId="0" borderId="0" applyFill="0" applyBorder="0" applyAlignment="0"/>
    <xf numFmtId="43" fontId="216" fillId="0" borderId="0" applyFont="0" applyFill="0" applyBorder="0" applyAlignment="0" applyProtection="0"/>
    <xf numFmtId="207" fontId="224" fillId="0" borderId="0" applyFill="0" applyBorder="0" applyAlignment="0"/>
    <xf numFmtId="0" fontId="229" fillId="79" borderId="893" applyNumberFormat="0" applyAlignment="0" applyProtection="0"/>
    <xf numFmtId="185" fontId="216" fillId="0" borderId="0"/>
    <xf numFmtId="0" fontId="233" fillId="80" borderId="3" applyNumberFormat="0" applyAlignment="0" applyProtection="0"/>
    <xf numFmtId="0" fontId="221" fillId="0" borderId="912" applyNumberFormat="0" applyAlignment="0" applyProtection="0"/>
    <xf numFmtId="0" fontId="216" fillId="0" borderId="0"/>
    <xf numFmtId="0" fontId="233" fillId="80" borderId="3" applyNumberFormat="0" applyAlignment="0" applyProtection="0"/>
    <xf numFmtId="185" fontId="216" fillId="0" borderId="0"/>
    <xf numFmtId="0" fontId="221" fillId="0" borderId="897">
      <alignment horizontal="left" vertical="center"/>
    </xf>
    <xf numFmtId="0" fontId="217" fillId="0" borderId="0"/>
    <xf numFmtId="185" fontId="216" fillId="0" borderId="0"/>
    <xf numFmtId="0" fontId="216" fillId="0" borderId="0"/>
    <xf numFmtId="0" fontId="231" fillId="79" borderId="952" applyNumberFormat="0" applyAlignment="0" applyProtection="0"/>
    <xf numFmtId="185" fontId="216" fillId="0" borderId="0"/>
    <xf numFmtId="0" fontId="217" fillId="0" borderId="0"/>
    <xf numFmtId="0" fontId="217" fillId="0" borderId="0"/>
    <xf numFmtId="185" fontId="216" fillId="0" borderId="0"/>
    <xf numFmtId="185" fontId="216" fillId="0" borderId="0"/>
    <xf numFmtId="210" fontId="220" fillId="0" borderId="0" applyFill="0" applyBorder="0" applyAlignment="0" applyProtection="0"/>
    <xf numFmtId="185" fontId="216" fillId="0" borderId="0"/>
    <xf numFmtId="210" fontId="220" fillId="0" borderId="0" applyFill="0" applyBorder="0" applyAlignment="0" applyProtection="0"/>
    <xf numFmtId="0" fontId="216" fillId="0" borderId="0" applyNumberFormat="0" applyFill="0" applyBorder="0" applyAlignment="0" applyProtection="0"/>
    <xf numFmtId="185" fontId="216" fillId="0" borderId="0"/>
    <xf numFmtId="207" fontId="224" fillId="0" borderId="0" applyFill="0" applyBorder="0" applyAlignment="0"/>
    <xf numFmtId="185" fontId="216" fillId="0" borderId="0"/>
    <xf numFmtId="186" fontId="216" fillId="0" borderId="0" applyFill="0" applyBorder="0" applyAlignment="0"/>
    <xf numFmtId="0" fontId="228" fillId="0" borderId="0"/>
    <xf numFmtId="0" fontId="217" fillId="0" borderId="0"/>
    <xf numFmtId="185" fontId="216" fillId="0" borderId="0"/>
    <xf numFmtId="208" fontId="216" fillId="0" borderId="0" applyFill="0" applyBorder="0" applyAlignment="0" applyProtection="0"/>
    <xf numFmtId="185" fontId="216" fillId="0" borderId="0"/>
    <xf numFmtId="208" fontId="216" fillId="0" borderId="0" applyFill="0" applyBorder="0" applyAlignment="0" applyProtection="0"/>
    <xf numFmtId="185" fontId="216" fillId="0" borderId="0"/>
    <xf numFmtId="186" fontId="216" fillId="0" borderId="0" applyFill="0" applyBorder="0" applyAlignment="0"/>
    <xf numFmtId="0" fontId="228" fillId="0" borderId="0"/>
    <xf numFmtId="185" fontId="216" fillId="0" borderId="0"/>
    <xf numFmtId="208" fontId="220" fillId="0" borderId="0" applyFill="0" applyBorder="0" applyAlignment="0" applyProtection="0"/>
    <xf numFmtId="185" fontId="216" fillId="0" borderId="0"/>
    <xf numFmtId="0" fontId="220" fillId="81" borderId="894" applyNumberFormat="0" applyAlignment="0" applyProtection="0"/>
    <xf numFmtId="43" fontId="217" fillId="0" borderId="0" applyFont="0" applyFill="0" applyBorder="0" applyAlignment="0" applyProtection="0"/>
    <xf numFmtId="197" fontId="220" fillId="0" borderId="0" applyFill="0" applyBorder="0" applyAlignment="0" applyProtection="0"/>
    <xf numFmtId="185" fontId="216" fillId="0" borderId="0"/>
    <xf numFmtId="185" fontId="216" fillId="0" borderId="0"/>
    <xf numFmtId="185" fontId="216" fillId="0" borderId="0"/>
    <xf numFmtId="185" fontId="216" fillId="0" borderId="0"/>
    <xf numFmtId="0" fontId="221" fillId="0" borderId="934" applyNumberFormat="0" applyAlignment="0" applyProtection="0"/>
    <xf numFmtId="186" fontId="216" fillId="0" borderId="0" applyFill="0" applyBorder="0" applyAlignment="0"/>
    <xf numFmtId="186" fontId="220" fillId="0" borderId="0" applyFill="0" applyBorder="0" applyAlignment="0" applyProtection="0"/>
    <xf numFmtId="9" fontId="216" fillId="0" borderId="0" applyFont="0" applyFill="0" applyBorder="0" applyAlignment="0" applyProtection="0"/>
    <xf numFmtId="186" fontId="216" fillId="0" borderId="0" applyFill="0" applyBorder="0" applyAlignment="0"/>
    <xf numFmtId="43" fontId="217" fillId="0" borderId="0" applyFont="0" applyFill="0" applyBorder="0" applyAlignment="0" applyProtection="0"/>
    <xf numFmtId="0" fontId="228" fillId="0" borderId="0"/>
    <xf numFmtId="0" fontId="217" fillId="0" borderId="0"/>
    <xf numFmtId="43" fontId="217" fillId="0" borderId="0" applyFont="0" applyFill="0" applyBorder="0" applyAlignment="0" applyProtection="0"/>
    <xf numFmtId="43" fontId="217" fillId="0" borderId="0" applyFont="0" applyFill="0" applyBorder="0" applyAlignment="0" applyProtection="0"/>
    <xf numFmtId="43" fontId="217" fillId="0" borderId="0" applyFont="0" applyFill="0" applyBorder="0" applyAlignment="0" applyProtection="0"/>
    <xf numFmtId="43" fontId="217" fillId="0" borderId="0" applyFont="0" applyFill="0" applyBorder="0" applyAlignment="0" applyProtection="0"/>
    <xf numFmtId="43" fontId="217" fillId="0" borderId="0" applyFont="0" applyFill="0" applyBorder="0" applyAlignment="0" applyProtection="0"/>
    <xf numFmtId="209" fontId="224" fillId="0" borderId="0" applyFill="0" applyBorder="0" applyAlignment="0"/>
    <xf numFmtId="43" fontId="217" fillId="0" borderId="0" applyFont="0" applyFill="0" applyBorder="0" applyAlignment="0" applyProtection="0"/>
    <xf numFmtId="0" fontId="221" fillId="0" borderId="925" applyNumberFormat="0" applyAlignment="0" applyProtection="0"/>
    <xf numFmtId="0" fontId="221" fillId="0" borderId="912" applyNumberFormat="0" applyAlignment="0" applyProtection="0"/>
    <xf numFmtId="209" fontId="224" fillId="0" borderId="0" applyFill="0" applyBorder="0" applyAlignment="0"/>
    <xf numFmtId="43" fontId="217" fillId="0" borderId="0" applyFont="0" applyFill="0" applyBorder="0" applyAlignment="0" applyProtection="0"/>
    <xf numFmtId="207" fontId="220" fillId="0" borderId="0" applyFill="0" applyBorder="0" applyAlignment="0" applyProtection="0"/>
    <xf numFmtId="43" fontId="217" fillId="0" borderId="0" applyFont="0" applyFill="0" applyBorder="0" applyAlignment="0" applyProtection="0"/>
    <xf numFmtId="197" fontId="220" fillId="0" borderId="0" applyFill="0" applyBorder="0" applyAlignment="0" applyProtection="0"/>
    <xf numFmtId="207" fontId="220" fillId="0" borderId="0" applyFill="0" applyBorder="0" applyAlignment="0" applyProtection="0"/>
    <xf numFmtId="0" fontId="237" fillId="63" borderId="0" applyNumberFormat="0" applyBorder="0" applyAlignment="0" applyProtection="0"/>
    <xf numFmtId="0" fontId="228" fillId="0" borderId="0"/>
    <xf numFmtId="207" fontId="220" fillId="0" borderId="0" applyFill="0" applyBorder="0" applyAlignment="0" applyProtection="0"/>
    <xf numFmtId="0" fontId="225" fillId="86" borderId="936" applyNumberFormat="0" applyAlignment="0" applyProtection="0"/>
    <xf numFmtId="43" fontId="228" fillId="0" borderId="0" applyFont="0" applyFill="0" applyBorder="0" applyAlignment="0" applyProtection="0"/>
    <xf numFmtId="43" fontId="228" fillId="0" borderId="0" applyFont="0" applyFill="0" applyBorder="0" applyAlignment="0" applyProtection="0"/>
    <xf numFmtId="43" fontId="228" fillId="0" borderId="0" applyFont="0" applyFill="0" applyBorder="0" applyAlignment="0" applyProtection="0"/>
    <xf numFmtId="43" fontId="228" fillId="0" borderId="0" applyFont="0" applyFill="0" applyBorder="0" applyAlignment="0" applyProtection="0"/>
    <xf numFmtId="43" fontId="217" fillId="0" borderId="0" applyFont="0" applyFill="0" applyBorder="0" applyAlignment="0" applyProtection="0"/>
    <xf numFmtId="207" fontId="220" fillId="0" borderId="0" applyFill="0" applyBorder="0" applyAlignment="0" applyProtection="0"/>
    <xf numFmtId="0" fontId="189" fillId="31" borderId="918" applyNumberFormat="0" applyAlignment="0" applyProtection="0">
      <alignment vertical="center"/>
    </xf>
    <xf numFmtId="14" fontId="241" fillId="0" borderId="0" applyFill="0" applyBorder="0" applyAlignment="0"/>
    <xf numFmtId="186" fontId="216" fillId="0" borderId="0" applyFill="0" applyBorder="0" applyAlignment="0"/>
    <xf numFmtId="207" fontId="224" fillId="0" borderId="0" applyFill="0" applyBorder="0" applyAlignment="0"/>
    <xf numFmtId="0" fontId="219" fillId="0" borderId="898" applyNumberFormat="0" applyFill="0" applyAlignment="0" applyProtection="0"/>
    <xf numFmtId="0" fontId="236" fillId="82" borderId="0" applyNumberFormat="0" applyBorder="0" applyAlignment="0" applyProtection="0"/>
    <xf numFmtId="0" fontId="217" fillId="0" borderId="0"/>
    <xf numFmtId="0" fontId="217" fillId="0" borderId="0"/>
    <xf numFmtId="0" fontId="219" fillId="32" borderId="0" applyNumberFormat="0" applyBorder="0" applyAlignment="0" applyProtection="0"/>
    <xf numFmtId="0" fontId="236" fillId="82" borderId="0" applyNumberFormat="0" applyBorder="0" applyAlignment="0" applyProtection="0"/>
    <xf numFmtId="49" fontId="241" fillId="0" borderId="0" applyFill="0" applyBorder="0" applyAlignment="0"/>
    <xf numFmtId="0" fontId="219" fillId="33" borderId="0" applyNumberFormat="0" applyBorder="0" applyAlignment="0" applyProtection="0"/>
    <xf numFmtId="0" fontId="236" fillId="82" borderId="0" applyNumberFormat="0" applyBorder="0" applyAlignment="0" applyProtection="0"/>
    <xf numFmtId="213" fontId="224" fillId="0" borderId="0" applyFill="0" applyBorder="0" applyAlignment="0"/>
    <xf numFmtId="0" fontId="219" fillId="34" borderId="0" applyNumberFormat="0" applyBorder="0" applyAlignment="0" applyProtection="0"/>
    <xf numFmtId="186" fontId="216" fillId="0" borderId="0" applyFill="0" applyBorder="0" applyAlignment="0"/>
    <xf numFmtId="186" fontId="216" fillId="0" borderId="0" applyFill="0" applyBorder="0" applyAlignment="0"/>
    <xf numFmtId="186" fontId="216" fillId="0" borderId="0" applyFill="0" applyBorder="0" applyAlignment="0"/>
    <xf numFmtId="186" fontId="216" fillId="0" borderId="0" applyFill="0" applyBorder="0" applyAlignment="0"/>
    <xf numFmtId="207" fontId="224" fillId="0" borderId="0" applyFill="0" applyBorder="0" applyAlignment="0"/>
    <xf numFmtId="209" fontId="224" fillId="0" borderId="0" applyFill="0" applyBorder="0" applyAlignment="0"/>
    <xf numFmtId="209" fontId="224" fillId="0" borderId="0" applyFill="0" applyBorder="0" applyAlignment="0"/>
    <xf numFmtId="207" fontId="224" fillId="0" borderId="0" applyFill="0" applyBorder="0" applyAlignment="0"/>
    <xf numFmtId="0" fontId="232" fillId="0" borderId="0"/>
    <xf numFmtId="0" fontId="221" fillId="0" borderId="892">
      <alignment horizontal="left" vertical="center"/>
    </xf>
    <xf numFmtId="210" fontId="220" fillId="0" borderId="0" applyFill="0" applyBorder="0" applyAlignment="0" applyProtection="0"/>
    <xf numFmtId="0" fontId="242" fillId="0" borderId="0" applyNumberFormat="0" applyFill="0" applyBorder="0" applyAlignment="0" applyProtection="0"/>
    <xf numFmtId="0" fontId="237" fillId="63" borderId="0" applyNumberFormat="0" applyBorder="0" applyAlignment="0" applyProtection="0"/>
    <xf numFmtId="0" fontId="232" fillId="79" borderId="0" applyNumberFormat="0" applyBorder="0" applyAlignment="0" applyProtection="0"/>
    <xf numFmtId="10" fontId="220" fillId="0" borderId="0" applyFill="0" applyBorder="0" applyAlignment="0" applyProtection="0"/>
    <xf numFmtId="0" fontId="232" fillId="79" borderId="0" applyNumberFormat="0" applyBorder="0" applyAlignment="0" applyProtection="0"/>
    <xf numFmtId="0" fontId="232" fillId="79" borderId="0" applyNumberFormat="0" applyBorder="0" applyAlignment="0" applyProtection="0"/>
    <xf numFmtId="0" fontId="221" fillId="0" borderId="897">
      <alignment horizontal="left" vertical="center"/>
    </xf>
    <xf numFmtId="0" fontId="217" fillId="0" borderId="0"/>
    <xf numFmtId="0" fontId="221" fillId="0" borderId="897">
      <alignment horizontal="left" vertical="center"/>
    </xf>
    <xf numFmtId="0" fontId="243" fillId="0" borderId="7" applyNumberFormat="0" applyFill="0" applyAlignment="0" applyProtection="0"/>
    <xf numFmtId="0" fontId="235" fillId="0" borderId="0" applyNumberFormat="0" applyFill="0" applyBorder="0" applyAlignment="0" applyProtection="0"/>
    <xf numFmtId="0" fontId="232" fillId="81" borderId="0" applyNumberFormat="0" applyBorder="0" applyAlignment="0" applyProtection="0"/>
    <xf numFmtId="0" fontId="225" fillId="66" borderId="893" applyNumberFormat="0" applyAlignment="0" applyProtection="0"/>
    <xf numFmtId="0" fontId="225" fillId="86" borderId="893" applyNumberFormat="0" applyAlignment="0" applyProtection="0"/>
    <xf numFmtId="0" fontId="225" fillId="86" borderId="893" applyNumberFormat="0" applyAlignment="0" applyProtection="0"/>
    <xf numFmtId="0" fontId="195" fillId="0" borderId="920" applyNumberFormat="0" applyFill="0" applyAlignment="0" applyProtection="0">
      <alignment vertical="center"/>
    </xf>
    <xf numFmtId="0" fontId="225" fillId="86" borderId="893" applyNumberFormat="0" applyAlignment="0" applyProtection="0"/>
    <xf numFmtId="186" fontId="216" fillId="0" borderId="0" applyFill="0" applyBorder="0" applyAlignment="0"/>
    <xf numFmtId="186" fontId="216" fillId="0" borderId="0" applyFill="0" applyBorder="0" applyAlignment="0"/>
    <xf numFmtId="186" fontId="216" fillId="0" borderId="0" applyFill="0" applyBorder="0" applyAlignment="0"/>
    <xf numFmtId="207" fontId="224" fillId="0" borderId="0" applyFill="0" applyBorder="0" applyAlignment="0"/>
    <xf numFmtId="207" fontId="224" fillId="0" borderId="0" applyFill="0" applyBorder="0" applyAlignment="0"/>
    <xf numFmtId="186" fontId="216" fillId="0" borderId="0" applyFill="0" applyBorder="0" applyAlignment="0"/>
    <xf numFmtId="209" fontId="224" fillId="0" borderId="0" applyFill="0" applyBorder="0" applyAlignment="0"/>
    <xf numFmtId="0" fontId="244" fillId="0" borderId="10" applyNumberFormat="0" applyFill="0" applyAlignment="0" applyProtection="0"/>
    <xf numFmtId="0" fontId="221" fillId="0" borderId="940">
      <alignment horizontal="left" vertical="center"/>
    </xf>
    <xf numFmtId="0" fontId="225" fillId="86" borderId="916" applyNumberFormat="0" applyAlignment="0" applyProtection="0"/>
    <xf numFmtId="0" fontId="202" fillId="31" borderId="893" applyNumberFormat="0" applyAlignment="0" applyProtection="0">
      <alignment vertical="center"/>
    </xf>
    <xf numFmtId="0" fontId="216" fillId="0" borderId="0"/>
    <xf numFmtId="0" fontId="217" fillId="0" borderId="0"/>
    <xf numFmtId="0" fontId="217" fillId="0" borderId="0"/>
    <xf numFmtId="0" fontId="217" fillId="0" borderId="0"/>
    <xf numFmtId="0" fontId="216" fillId="0" borderId="0"/>
    <xf numFmtId="0" fontId="217" fillId="0" borderId="0"/>
    <xf numFmtId="0" fontId="217" fillId="0" borderId="0"/>
    <xf numFmtId="0" fontId="217" fillId="0" borderId="0"/>
    <xf numFmtId="0" fontId="217" fillId="0" borderId="0"/>
    <xf numFmtId="0" fontId="225" fillId="86" borderId="926" applyNumberFormat="0" applyAlignment="0" applyProtection="0"/>
    <xf numFmtId="0" fontId="216" fillId="0" borderId="0"/>
    <xf numFmtId="0" fontId="216" fillId="0" borderId="0"/>
    <xf numFmtId="0" fontId="225" fillId="66" borderId="950" applyNumberFormat="0" applyAlignment="0" applyProtection="0"/>
    <xf numFmtId="0" fontId="202" fillId="31" borderId="926" applyNumberFormat="0" applyAlignment="0" applyProtection="0">
      <alignment vertical="center"/>
    </xf>
    <xf numFmtId="0" fontId="217" fillId="0" borderId="0"/>
    <xf numFmtId="0" fontId="217" fillId="0" borderId="0"/>
    <xf numFmtId="0" fontId="220" fillId="0" borderId="0"/>
    <xf numFmtId="0" fontId="168" fillId="35" borderId="937" applyNumberFormat="0" applyFont="0" applyAlignment="0" applyProtection="0">
      <alignment vertical="center"/>
    </xf>
    <xf numFmtId="0" fontId="217" fillId="0" borderId="0"/>
    <xf numFmtId="0" fontId="217" fillId="0" borderId="0"/>
    <xf numFmtId="0" fontId="217" fillId="0" borderId="0"/>
    <xf numFmtId="0" fontId="220" fillId="0" borderId="0"/>
    <xf numFmtId="0" fontId="220" fillId="0" borderId="0"/>
    <xf numFmtId="0" fontId="220" fillId="0" borderId="0"/>
    <xf numFmtId="0" fontId="216" fillId="0" borderId="0"/>
    <xf numFmtId="0" fontId="189" fillId="31" borderId="938" applyNumberFormat="0" applyAlignment="0" applyProtection="0">
      <alignment vertical="center"/>
    </xf>
    <xf numFmtId="0" fontId="217" fillId="0" borderId="0"/>
    <xf numFmtId="9" fontId="217" fillId="0" borderId="0" applyFont="0" applyFill="0" applyBorder="0" applyAlignment="0" applyProtection="0"/>
    <xf numFmtId="9" fontId="217" fillId="0" borderId="0" applyFont="0" applyFill="0" applyBorder="0" applyAlignment="0" applyProtection="0"/>
    <xf numFmtId="0" fontId="202" fillId="31" borderId="906" applyNumberFormat="0" applyAlignment="0" applyProtection="0">
      <alignment vertical="center"/>
    </xf>
    <xf numFmtId="9" fontId="217" fillId="0" borderId="0" applyFont="0" applyFill="0" applyBorder="0" applyAlignment="0" applyProtection="0"/>
    <xf numFmtId="0" fontId="217" fillId="0" borderId="0"/>
    <xf numFmtId="0" fontId="217" fillId="0" borderId="0"/>
    <xf numFmtId="0" fontId="217" fillId="0" borderId="0"/>
    <xf numFmtId="0" fontId="217" fillId="0" borderId="0"/>
    <xf numFmtId="0" fontId="217" fillId="0" borderId="0"/>
    <xf numFmtId="0" fontId="232" fillId="0" borderId="0"/>
    <xf numFmtId="0" fontId="217" fillId="0" borderId="0"/>
    <xf numFmtId="0" fontId="217" fillId="0" borderId="0"/>
    <xf numFmtId="0" fontId="217" fillId="0" borderId="0"/>
    <xf numFmtId="0" fontId="217" fillId="0" borderId="0"/>
    <xf numFmtId="0" fontId="217" fillId="0" borderId="0"/>
    <xf numFmtId="0" fontId="217" fillId="0" borderId="0"/>
    <xf numFmtId="0" fontId="228" fillId="0" borderId="0"/>
    <xf numFmtId="0" fontId="217" fillId="0" borderId="0"/>
    <xf numFmtId="0" fontId="217" fillId="0" borderId="0"/>
    <xf numFmtId="0" fontId="221" fillId="0" borderId="900" applyNumberFormat="0" applyAlignment="0" applyProtection="0"/>
    <xf numFmtId="0" fontId="216" fillId="0" borderId="0"/>
    <xf numFmtId="0" fontId="216" fillId="0" borderId="0"/>
    <xf numFmtId="0" fontId="216" fillId="0" borderId="0"/>
    <xf numFmtId="0" fontId="216" fillId="0" borderId="0"/>
    <xf numFmtId="0" fontId="216" fillId="0" borderId="0"/>
    <xf numFmtId="0" fontId="222" fillId="0" borderId="0"/>
    <xf numFmtId="0" fontId="225" fillId="86" borderId="926" applyNumberFormat="0" applyAlignment="0" applyProtection="0"/>
    <xf numFmtId="0" fontId="217" fillId="0" borderId="0"/>
    <xf numFmtId="0" fontId="217" fillId="0" borderId="0"/>
    <xf numFmtId="9" fontId="217" fillId="0" borderId="0" applyFont="0" applyFill="0" applyBorder="0" applyAlignment="0" applyProtection="0"/>
    <xf numFmtId="0" fontId="217" fillId="0" borderId="0"/>
    <xf numFmtId="0" fontId="216" fillId="0" borderId="0"/>
    <xf numFmtId="0" fontId="217" fillId="0" borderId="0"/>
    <xf numFmtId="0" fontId="228" fillId="0" borderId="0"/>
    <xf numFmtId="0" fontId="228" fillId="0" borderId="0"/>
    <xf numFmtId="0" fontId="221" fillId="0" borderId="930">
      <alignment horizontal="left" vertical="center"/>
    </xf>
    <xf numFmtId="0" fontId="202" fillId="31" borderId="950" applyNumberFormat="0" applyAlignment="0" applyProtection="0">
      <alignment vertical="center"/>
    </xf>
    <xf numFmtId="0" fontId="216" fillId="0" borderId="0"/>
    <xf numFmtId="0" fontId="217" fillId="0" borderId="0"/>
    <xf numFmtId="0" fontId="216" fillId="0" borderId="0"/>
    <xf numFmtId="0" fontId="220" fillId="0" borderId="0" applyNumberFormat="0" applyFill="0" applyBorder="0" applyAlignment="0" applyProtection="0"/>
    <xf numFmtId="0" fontId="216" fillId="0" borderId="0"/>
    <xf numFmtId="0" fontId="217" fillId="0" borderId="0"/>
    <xf numFmtId="0" fontId="217" fillId="0" borderId="0"/>
    <xf numFmtId="0" fontId="217" fillId="0" borderId="0"/>
    <xf numFmtId="0" fontId="220" fillId="81" borderId="894" applyNumberFormat="0" applyAlignment="0" applyProtection="0"/>
    <xf numFmtId="0" fontId="222" fillId="35" borderId="894" applyNumberFormat="0" applyFont="0" applyAlignment="0" applyProtection="0"/>
    <xf numFmtId="9" fontId="216" fillId="0" borderId="0" applyFont="0" applyFill="0" applyBorder="0" applyAlignment="0" applyProtection="0"/>
    <xf numFmtId="0" fontId="231" fillId="79" borderId="895" applyNumberFormat="0" applyAlignment="0" applyProtection="0"/>
    <xf numFmtId="0" fontId="231" fillId="31" borderId="895" applyNumberFormat="0" applyAlignment="0" applyProtection="0"/>
    <xf numFmtId="0" fontId="231" fillId="79" borderId="895" applyNumberFormat="0" applyAlignment="0" applyProtection="0"/>
    <xf numFmtId="0" fontId="231" fillId="79" borderId="895" applyNumberFormat="0" applyAlignment="0" applyProtection="0"/>
    <xf numFmtId="0" fontId="246" fillId="38" borderId="0"/>
    <xf numFmtId="211" fontId="220" fillId="0" borderId="0" applyFill="0" applyBorder="0" applyAlignment="0" applyProtection="0"/>
    <xf numFmtId="211" fontId="220" fillId="0" borderId="0" applyFill="0" applyBorder="0" applyAlignment="0" applyProtection="0"/>
    <xf numFmtId="0" fontId="185" fillId="0" borderId="896" applyNumberFormat="0" applyFont="0">
      <alignment horizontal="center" vertical="center"/>
    </xf>
    <xf numFmtId="211" fontId="220" fillId="0" borderId="0" applyFill="0" applyBorder="0" applyAlignment="0" applyProtection="0"/>
    <xf numFmtId="10" fontId="220" fillId="0" borderId="0" applyFill="0" applyBorder="0" applyAlignment="0" applyProtection="0"/>
    <xf numFmtId="10" fontId="220" fillId="0" borderId="0" applyFill="0" applyBorder="0" applyAlignment="0" applyProtection="0"/>
    <xf numFmtId="10" fontId="220" fillId="0" borderId="0" applyFill="0" applyBorder="0" applyAlignment="0" applyProtection="0"/>
    <xf numFmtId="9" fontId="217" fillId="0" borderId="0" applyFont="0" applyFill="0" applyBorder="0" applyAlignment="0" applyProtection="0"/>
    <xf numFmtId="0" fontId="221" fillId="0" borderId="905" applyNumberFormat="0" applyAlignment="0" applyProtection="0"/>
    <xf numFmtId="0" fontId="225" fillId="86" borderId="950" applyNumberFormat="0" applyAlignment="0" applyProtection="0"/>
    <xf numFmtId="0" fontId="195" fillId="0" borderId="931" applyNumberFormat="0" applyFill="0" applyAlignment="0" applyProtection="0">
      <alignment vertical="center"/>
    </xf>
    <xf numFmtId="9" fontId="220" fillId="0" borderId="0" applyFill="0" applyBorder="0" applyAlignment="0" applyProtection="0"/>
    <xf numFmtId="0" fontId="221" fillId="0" borderId="933">
      <alignment horizontal="left" vertical="center"/>
    </xf>
    <xf numFmtId="9" fontId="220" fillId="0" borderId="0" applyFill="0" applyBorder="0" applyAlignment="0" applyProtection="0"/>
    <xf numFmtId="9" fontId="220" fillId="0" borderId="0" applyFill="0" applyBorder="0" applyAlignment="0" applyProtection="0"/>
    <xf numFmtId="0" fontId="231" fillId="31" borderId="928" applyNumberFormat="0" applyAlignment="0" applyProtection="0"/>
    <xf numFmtId="0" fontId="229" fillId="79" borderId="926" applyNumberFormat="0" applyAlignment="0" applyProtection="0"/>
    <xf numFmtId="0" fontId="216" fillId="0" borderId="0"/>
    <xf numFmtId="0" fontId="225" fillId="86" borderId="950" applyNumberFormat="0" applyAlignment="0" applyProtection="0"/>
    <xf numFmtId="9" fontId="217" fillId="0" borderId="0" applyFont="0" applyFill="0" applyBorder="0" applyAlignment="0" applyProtection="0"/>
    <xf numFmtId="9" fontId="217" fillId="0" borderId="0" applyFont="0" applyFill="0" applyBorder="0" applyAlignment="0" applyProtection="0"/>
    <xf numFmtId="9" fontId="217" fillId="0" borderId="0" applyFont="0" applyFill="0" applyBorder="0" applyAlignment="0" applyProtection="0"/>
    <xf numFmtId="9" fontId="217" fillId="0" borderId="0" applyFont="0" applyFill="0" applyBorder="0" applyAlignment="0" applyProtection="0"/>
    <xf numFmtId="9" fontId="217" fillId="0" borderId="0" applyFont="0" applyFill="0" applyBorder="0" applyAlignment="0" applyProtection="0"/>
    <xf numFmtId="9" fontId="217" fillId="0" borderId="0" applyFont="0" applyFill="0" applyBorder="0" applyAlignment="0" applyProtection="0"/>
    <xf numFmtId="9" fontId="217" fillId="0" borderId="0" applyFont="0" applyFill="0" applyBorder="0" applyAlignment="0" applyProtection="0"/>
    <xf numFmtId="9" fontId="217" fillId="0" borderId="0" applyFont="0" applyFill="0" applyBorder="0" applyAlignment="0" applyProtection="0"/>
    <xf numFmtId="0" fontId="221" fillId="0" borderId="900" applyNumberFormat="0" applyAlignment="0" applyProtection="0"/>
    <xf numFmtId="0" fontId="221" fillId="0" borderId="900" applyNumberFormat="0" applyAlignment="0" applyProtection="0"/>
    <xf numFmtId="9" fontId="216" fillId="0" borderId="0" applyFont="0" applyFill="0" applyBorder="0" applyAlignment="0" applyProtection="0"/>
    <xf numFmtId="186" fontId="216" fillId="0" borderId="0" applyFill="0" applyBorder="0" applyAlignment="0"/>
    <xf numFmtId="207" fontId="224" fillId="0" borderId="0" applyFill="0" applyBorder="0" applyAlignment="0"/>
    <xf numFmtId="207" fontId="224" fillId="0" borderId="0" applyFill="0" applyBorder="0" applyAlignment="0"/>
    <xf numFmtId="207" fontId="224" fillId="0" borderId="0" applyFill="0" applyBorder="0" applyAlignment="0"/>
    <xf numFmtId="186" fontId="216" fillId="0" borderId="0" applyFill="0" applyBorder="0" applyAlignment="0"/>
    <xf numFmtId="213" fontId="224" fillId="0" borderId="0" applyFill="0" applyBorder="0" applyAlignment="0"/>
    <xf numFmtId="186" fontId="216" fillId="0" borderId="0" applyFill="0" applyBorder="0" applyAlignment="0"/>
    <xf numFmtId="209" fontId="224" fillId="0" borderId="0" applyFill="0" applyBorder="0" applyAlignment="0"/>
    <xf numFmtId="209" fontId="224" fillId="0" borderId="0" applyFill="0" applyBorder="0" applyAlignment="0"/>
    <xf numFmtId="0" fontId="231" fillId="79" borderId="918" applyNumberFormat="0" applyAlignment="0" applyProtection="0"/>
    <xf numFmtId="209" fontId="224" fillId="0" borderId="0" applyFill="0" applyBorder="0" applyAlignment="0"/>
    <xf numFmtId="207" fontId="224" fillId="0" borderId="0" applyFill="0" applyBorder="0" applyAlignment="0"/>
    <xf numFmtId="207" fontId="224" fillId="0" borderId="0" applyFill="0" applyBorder="0" applyAlignment="0"/>
    <xf numFmtId="15" fontId="220" fillId="0" borderId="0" applyFill="0" applyBorder="0" applyAlignment="0" applyProtection="0"/>
    <xf numFmtId="4" fontId="220" fillId="0" borderId="0" applyFill="0" applyBorder="0" applyAlignment="0" applyProtection="0"/>
    <xf numFmtId="3" fontId="220" fillId="0" borderId="0" applyFill="0" applyBorder="0" applyAlignment="0" applyProtection="0"/>
    <xf numFmtId="3" fontId="220" fillId="0" borderId="0" applyFill="0" applyBorder="0" applyAlignment="0" applyProtection="0"/>
    <xf numFmtId="3" fontId="220" fillId="0" borderId="0" applyFill="0" applyBorder="0" applyAlignment="0" applyProtection="0"/>
    <xf numFmtId="0" fontId="220" fillId="83" borderId="0" applyNumberFormat="0" applyBorder="0" applyAlignment="0" applyProtection="0"/>
    <xf numFmtId="0" fontId="220" fillId="83" borderId="0" applyNumberFormat="0" applyBorder="0" applyAlignment="0" applyProtection="0"/>
    <xf numFmtId="0" fontId="220" fillId="83" borderId="0" applyNumberFormat="0" applyBorder="0" applyAlignment="0" applyProtection="0"/>
    <xf numFmtId="0" fontId="230" fillId="0" borderId="0" applyNumberFormat="0" applyFill="0" applyBorder="0" applyAlignment="0" applyProtection="0"/>
    <xf numFmtId="0" fontId="232" fillId="0" borderId="0"/>
    <xf numFmtId="0" fontId="232" fillId="0" borderId="0"/>
    <xf numFmtId="0" fontId="232" fillId="0" borderId="0"/>
    <xf numFmtId="213" fontId="224" fillId="0" borderId="0" applyFill="0" applyBorder="0" applyAlignment="0"/>
    <xf numFmtId="213" fontId="216" fillId="0" borderId="0" applyFill="0" applyBorder="0" applyAlignment="0"/>
    <xf numFmtId="213" fontId="216" fillId="0" borderId="0" applyFill="0" applyBorder="0" applyAlignment="0"/>
    <xf numFmtId="213" fontId="216" fillId="0" borderId="0" applyFill="0" applyBorder="0" applyAlignment="0"/>
    <xf numFmtId="213" fontId="216" fillId="0" borderId="0" applyFill="0" applyBorder="0" applyAlignment="0"/>
    <xf numFmtId="0" fontId="219" fillId="0" borderId="898" applyNumberFormat="0" applyFill="0" applyAlignment="0" applyProtection="0"/>
    <xf numFmtId="237" fontId="232" fillId="0" borderId="0" applyFont="0" applyFill="0" applyBorder="0" applyAlignment="0" applyProtection="0"/>
    <xf numFmtId="43" fontId="216" fillId="0" borderId="0" applyFont="0" applyFill="0" applyBorder="0" applyAlignment="0" applyProtection="0"/>
    <xf numFmtId="0" fontId="247" fillId="0" borderId="0">
      <alignment vertical="top"/>
    </xf>
    <xf numFmtId="239" fontId="216" fillId="0" borderId="0" applyFont="0" applyFill="0" applyBorder="0" applyAlignment="0" applyProtection="0"/>
    <xf numFmtId="0" fontId="245" fillId="0" borderId="0" applyNumberFormat="0" applyFill="0" applyBorder="0" applyAlignment="0" applyProtection="0"/>
    <xf numFmtId="0" fontId="218" fillId="0" borderId="0">
      <alignment horizontal="left"/>
    </xf>
    <xf numFmtId="240" fontId="216" fillId="0" borderId="0" applyFont="0" applyFill="0" applyBorder="0" applyAlignment="0" applyProtection="0"/>
    <xf numFmtId="241" fontId="216" fillId="0" borderId="0" applyFont="0" applyFill="0" applyBorder="0" applyAlignment="0" applyProtection="0"/>
    <xf numFmtId="0" fontId="229" fillId="79" borderId="906" applyNumberFormat="0" applyAlignment="0" applyProtection="0"/>
    <xf numFmtId="0" fontId="168" fillId="35" borderId="894" applyNumberFormat="0" applyFont="0" applyAlignment="0" applyProtection="0">
      <alignment vertical="center"/>
    </xf>
    <xf numFmtId="0" fontId="231" fillId="79" borderId="918" applyNumberFormat="0" applyAlignment="0" applyProtection="0"/>
    <xf numFmtId="0" fontId="189" fillId="31" borderId="895" applyNumberFormat="0" applyAlignment="0" applyProtection="0">
      <alignment vertical="center"/>
    </xf>
    <xf numFmtId="0" fontId="185" fillId="0" borderId="909" applyNumberFormat="0" applyFont="0">
      <alignment horizontal="center" vertical="center"/>
    </xf>
    <xf numFmtId="0" fontId="202" fillId="31" borderId="893" applyNumberFormat="0" applyAlignment="0" applyProtection="0">
      <alignment vertical="center"/>
    </xf>
    <xf numFmtId="0" fontId="216" fillId="0" borderId="0"/>
    <xf numFmtId="0" fontId="195" fillId="0" borderId="898" applyNumberFormat="0" applyFill="0" applyAlignment="0" applyProtection="0">
      <alignment vertical="center"/>
    </xf>
    <xf numFmtId="0" fontId="221" fillId="0" borderId="915" applyNumberFormat="0" applyAlignment="0" applyProtection="0"/>
    <xf numFmtId="0" fontId="248" fillId="106" borderId="0" applyNumberFormat="0" applyBorder="0" applyAlignment="0" applyProtection="0"/>
    <xf numFmtId="0" fontId="221" fillId="0" borderId="910">
      <alignment horizontal="left" vertical="center"/>
    </xf>
    <xf numFmtId="43" fontId="1" fillId="0" borderId="0" applyFont="0" applyFill="0" applyBorder="0" applyAlignment="0" applyProtection="0"/>
    <xf numFmtId="0" fontId="221" fillId="0" borderId="945">
      <alignment horizontal="left" vertical="center"/>
    </xf>
    <xf numFmtId="43" fontId="1" fillId="0" borderId="0" applyFont="0" applyFill="0" applyBorder="0" applyAlignment="0" applyProtection="0"/>
    <xf numFmtId="0" fontId="168" fillId="35" borderId="907" applyNumberFormat="0" applyFont="0" applyAlignment="0" applyProtection="0">
      <alignment vertical="center"/>
    </xf>
    <xf numFmtId="0" fontId="221" fillId="0" borderId="901">
      <alignment horizontal="left" vertical="center"/>
    </xf>
    <xf numFmtId="0" fontId="195" fillId="0" borderId="911" applyNumberFormat="0" applyFill="0" applyAlignment="0" applyProtection="0">
      <alignment vertical="center"/>
    </xf>
    <xf numFmtId="0" fontId="229" fillId="79" borderId="936" applyNumberFormat="0" applyAlignment="0" applyProtection="0"/>
    <xf numFmtId="0" fontId="219" fillId="0" borderId="941" applyNumberFormat="0" applyFill="0" applyAlignment="0" applyProtection="0"/>
    <xf numFmtId="0" fontId="222" fillId="35" borderId="927" applyNumberFormat="0" applyFont="0" applyAlignment="0" applyProtection="0"/>
    <xf numFmtId="0" fontId="225" fillId="66" borderId="936" applyNumberFormat="0" applyAlignment="0" applyProtection="0"/>
    <xf numFmtId="0" fontId="168" fillId="35" borderId="917" applyNumberFormat="0" applyFont="0" applyAlignment="0" applyProtection="0">
      <alignment vertical="center"/>
    </xf>
    <xf numFmtId="0" fontId="225" fillId="86" borderId="916" applyNumberFormat="0" applyAlignment="0" applyProtection="0"/>
    <xf numFmtId="0" fontId="221" fillId="0" borderId="940">
      <alignment horizontal="left" vertical="center"/>
    </xf>
    <xf numFmtId="0" fontId="229" fillId="79" borderId="950" applyNumberFormat="0" applyAlignment="0" applyProtection="0"/>
    <xf numFmtId="0" fontId="225" fillId="86" borderId="916" applyNumberFormat="0" applyAlignment="0" applyProtection="0"/>
    <xf numFmtId="0" fontId="222" fillId="35" borderId="951" applyNumberFormat="0" applyFont="0" applyAlignment="0" applyProtection="0"/>
    <xf numFmtId="0" fontId="225" fillId="86" borderId="926" applyNumberFormat="0" applyAlignment="0" applyProtection="0"/>
    <xf numFmtId="0" fontId="221" fillId="0" borderId="919">
      <alignment horizontal="left" vertical="center"/>
    </xf>
    <xf numFmtId="0" fontId="231" fillId="79" borderId="952" applyNumberFormat="0" applyAlignment="0" applyProtection="0"/>
    <xf numFmtId="0" fontId="219" fillId="0" borderId="955" applyNumberFormat="0" applyFill="0" applyAlignment="0" applyProtection="0"/>
    <xf numFmtId="0" fontId="221" fillId="0" borderId="925" applyNumberFormat="0" applyAlignment="0" applyProtection="0"/>
    <xf numFmtId="0" fontId="168" fillId="35" borderId="917" applyNumberFormat="0" applyFont="0" applyAlignment="0" applyProtection="0">
      <alignment vertical="center"/>
    </xf>
    <xf numFmtId="0" fontId="178" fillId="86" borderId="950" applyNumberFormat="0" applyAlignment="0" applyProtection="0">
      <alignment vertical="center"/>
    </xf>
    <xf numFmtId="0" fontId="189" fillId="31" borderId="952" applyNumberFormat="0" applyAlignment="0" applyProtection="0">
      <alignment vertical="center"/>
    </xf>
    <xf numFmtId="0" fontId="231" fillId="79" borderId="908" applyNumberFormat="0" applyAlignment="0" applyProtection="0"/>
    <xf numFmtId="0" fontId="231" fillId="79" borderId="908" applyNumberFormat="0" applyAlignment="0" applyProtection="0"/>
    <xf numFmtId="0" fontId="225" fillId="66" borderId="936" applyNumberFormat="0" applyAlignment="0" applyProtection="0"/>
    <xf numFmtId="0" fontId="231" fillId="31" borderId="908" applyNumberFormat="0" applyAlignment="0" applyProtection="0"/>
    <xf numFmtId="0" fontId="231" fillId="79" borderId="908" applyNumberFormat="0" applyAlignment="0" applyProtection="0"/>
    <xf numFmtId="0" fontId="229" fillId="79" borderId="936" applyNumberFormat="0" applyAlignment="0" applyProtection="0"/>
    <xf numFmtId="0" fontId="219" fillId="0" borderId="931" applyNumberFormat="0" applyFill="0" applyAlignment="0" applyProtection="0"/>
    <xf numFmtId="0" fontId="222" fillId="35" borderId="907" applyNumberFormat="0" applyFont="0" applyAlignment="0" applyProtection="0"/>
    <xf numFmtId="0" fontId="220" fillId="81" borderId="907" applyNumberFormat="0" applyAlignment="0" applyProtection="0"/>
    <xf numFmtId="0" fontId="231" fillId="79" borderId="928" applyNumberFormat="0" applyAlignment="0" applyProtection="0"/>
    <xf numFmtId="0" fontId="195" fillId="0" borderId="902" applyNumberFormat="0" applyFill="0" applyAlignment="0" applyProtection="0">
      <alignment vertical="center"/>
    </xf>
    <xf numFmtId="0" fontId="202" fillId="31" borderId="936" applyNumberFormat="0" applyAlignment="0" applyProtection="0">
      <alignment vertical="center"/>
    </xf>
    <xf numFmtId="0" fontId="225" fillId="86" borderId="906" applyNumberFormat="0" applyAlignment="0" applyProtection="0"/>
    <xf numFmtId="0" fontId="225" fillId="86" borderId="926" applyNumberFormat="0" applyAlignment="0" applyProtection="0"/>
    <xf numFmtId="0" fontId="189" fillId="31" borderId="928" applyNumberFormat="0" applyAlignment="0" applyProtection="0">
      <alignment vertical="center"/>
    </xf>
    <xf numFmtId="0" fontId="221" fillId="0" borderId="930">
      <alignment horizontal="left" vertical="center"/>
    </xf>
    <xf numFmtId="0" fontId="220" fillId="81" borderId="917" applyNumberFormat="0" applyAlignment="0" applyProtection="0"/>
    <xf numFmtId="0" fontId="225" fillId="86" borderId="926" applyNumberFormat="0" applyAlignment="0" applyProtection="0"/>
    <xf numFmtId="0" fontId="220" fillId="81" borderId="951" applyNumberFormat="0" applyAlignment="0" applyProtection="0"/>
    <xf numFmtId="0" fontId="168" fillId="35" borderId="937" applyNumberFormat="0" applyFont="0" applyAlignment="0" applyProtection="0">
      <alignment vertical="center"/>
    </xf>
    <xf numFmtId="0" fontId="225" fillId="86" borderId="936" applyNumberFormat="0" applyAlignment="0" applyProtection="0"/>
    <xf numFmtId="0" fontId="178" fillId="86" borderId="926" applyNumberFormat="0" applyAlignment="0" applyProtection="0">
      <alignment vertical="center"/>
    </xf>
    <xf numFmtId="0" fontId="225" fillId="66" borderId="936" applyNumberFormat="0" applyAlignment="0" applyProtection="0"/>
    <xf numFmtId="0" fontId="221" fillId="0" borderId="935" applyNumberFormat="0" applyAlignment="0" applyProtection="0"/>
    <xf numFmtId="0" fontId="221" fillId="0" borderId="919">
      <alignment horizontal="left" vertical="center"/>
    </xf>
    <xf numFmtId="0" fontId="225" fillId="86" borderId="916" applyNumberFormat="0" applyAlignment="0" applyProtection="0"/>
    <xf numFmtId="0" fontId="221" fillId="0" borderId="940">
      <alignment horizontal="left" vertical="center"/>
    </xf>
    <xf numFmtId="0" fontId="225" fillId="86" borderId="926" applyNumberFormat="0" applyAlignment="0" applyProtection="0"/>
    <xf numFmtId="0" fontId="229" fillId="79" borderId="916" applyNumberFormat="0" applyAlignment="0" applyProtection="0"/>
    <xf numFmtId="0" fontId="225" fillId="66" borderId="906" applyNumberFormat="0" applyAlignment="0" applyProtection="0"/>
    <xf numFmtId="0" fontId="178" fillId="86" borderId="916" applyNumberFormat="0" applyAlignment="0" applyProtection="0">
      <alignment vertical="center"/>
    </xf>
    <xf numFmtId="0" fontId="225" fillId="66" borderId="950" applyNumberFormat="0" applyAlignment="0" applyProtection="0"/>
    <xf numFmtId="0" fontId="225" fillId="86" borderId="926" applyNumberFormat="0" applyAlignment="0" applyProtection="0"/>
    <xf numFmtId="0" fontId="229" fillId="79" borderId="936" applyNumberFormat="0" applyAlignment="0" applyProtection="0"/>
    <xf numFmtId="0" fontId="229" fillId="79" borderId="926" applyNumberFormat="0" applyAlignment="0" applyProtection="0"/>
    <xf numFmtId="0" fontId="221" fillId="0" borderId="954">
      <alignment horizontal="left" vertical="center"/>
    </xf>
    <xf numFmtId="0" fontId="229" fillId="79" borderId="936" applyNumberFormat="0" applyAlignment="0" applyProtection="0"/>
    <xf numFmtId="0" fontId="178" fillId="86" borderId="916" applyNumberFormat="0" applyAlignment="0" applyProtection="0">
      <alignment vertical="center"/>
    </xf>
    <xf numFmtId="0" fontId="221" fillId="0" borderId="904">
      <alignment horizontal="left" vertical="center"/>
    </xf>
    <xf numFmtId="0" fontId="225" fillId="86" borderId="950" applyNumberFormat="0" applyAlignment="0" applyProtection="0"/>
    <xf numFmtId="0" fontId="221" fillId="0" borderId="901">
      <alignment horizontal="left" vertical="center"/>
    </xf>
    <xf numFmtId="0" fontId="225" fillId="86" borderId="916" applyNumberFormat="0" applyAlignment="0" applyProtection="0"/>
    <xf numFmtId="0" fontId="202" fillId="31" borderId="906" applyNumberFormat="0" applyAlignment="0" applyProtection="0">
      <alignment vertical="center"/>
    </xf>
    <xf numFmtId="0" fontId="222" fillId="35" borderId="917" applyNumberFormat="0" applyFont="0" applyAlignment="0" applyProtection="0"/>
    <xf numFmtId="0" fontId="220" fillId="81" borderId="917" applyNumberFormat="0" applyAlignment="0" applyProtection="0"/>
    <xf numFmtId="0" fontId="225" fillId="66" borderId="906" applyNumberFormat="0" applyAlignment="0" applyProtection="0"/>
    <xf numFmtId="0" fontId="225" fillId="86" borderId="906" applyNumberFormat="0" applyAlignment="0" applyProtection="0"/>
    <xf numFmtId="0" fontId="229" fillId="79" borderId="950" applyNumberFormat="0" applyAlignment="0" applyProtection="0"/>
    <xf numFmtId="0" fontId="185" fillId="0" borderId="929" applyNumberFormat="0" applyFont="0">
      <alignment horizontal="center" vertical="center"/>
    </xf>
    <xf numFmtId="0" fontId="225" fillId="66" borderId="926" applyNumberFormat="0" applyAlignment="0" applyProtection="0"/>
    <xf numFmtId="0" fontId="225" fillId="86" borderId="906" applyNumberFormat="0" applyAlignment="0" applyProtection="0"/>
    <xf numFmtId="0" fontId="225" fillId="66" borderId="926" applyNumberFormat="0" applyAlignment="0" applyProtection="0"/>
    <xf numFmtId="0" fontId="225" fillId="66" borderId="906" applyNumberFormat="0" applyAlignment="0" applyProtection="0"/>
    <xf numFmtId="0" fontId="220" fillId="81" borderId="907" applyNumberFormat="0" applyAlignment="0" applyProtection="0"/>
    <xf numFmtId="0" fontId="220" fillId="81" borderId="937" applyNumberFormat="0" applyAlignment="0" applyProtection="0"/>
    <xf numFmtId="0" fontId="229" fillId="79" borderId="906" applyNumberFormat="0" applyAlignment="0" applyProtection="0"/>
    <xf numFmtId="0" fontId="195" fillId="0" borderId="955" applyNumberFormat="0" applyFill="0" applyAlignment="0" applyProtection="0">
      <alignment vertical="center"/>
    </xf>
    <xf numFmtId="0" fontId="221" fillId="0" borderId="910">
      <alignment horizontal="left" vertical="center"/>
    </xf>
    <xf numFmtId="0" fontId="229" fillId="31" borderId="926" applyNumberFormat="0" applyAlignment="0" applyProtection="0"/>
    <xf numFmtId="0" fontId="189" fillId="31" borderId="918" applyNumberFormat="0" applyAlignment="0" applyProtection="0">
      <alignment vertical="center"/>
    </xf>
    <xf numFmtId="0" fontId="225" fillId="86" borderId="936" applyNumberFormat="0" applyAlignment="0" applyProtection="0"/>
    <xf numFmtId="0" fontId="225" fillId="66" borderId="926" applyNumberFormat="0" applyAlignment="0" applyProtection="0"/>
    <xf numFmtId="0" fontId="202" fillId="31" borderId="916" applyNumberFormat="0" applyAlignment="0" applyProtection="0">
      <alignment vertical="center"/>
    </xf>
    <xf numFmtId="0" fontId="225" fillId="86" borderId="906" applyNumberFormat="0" applyAlignment="0" applyProtection="0"/>
    <xf numFmtId="43" fontId="216" fillId="0" borderId="0" applyFont="0" applyFill="0" applyBorder="0" applyAlignment="0" applyProtection="0"/>
    <xf numFmtId="0" fontId="168" fillId="35" borderId="951" applyNumberFormat="0" applyFont="0" applyAlignment="0" applyProtection="0">
      <alignment vertical="center"/>
    </xf>
    <xf numFmtId="0" fontId="221" fillId="0" borderId="954">
      <alignment horizontal="left" vertical="center"/>
    </xf>
    <xf numFmtId="0" fontId="225" fillId="86" borderId="936" applyNumberFormat="0" applyAlignment="0" applyProtection="0"/>
    <xf numFmtId="0" fontId="219" fillId="0" borderId="902" applyNumberFormat="0" applyFill="0" applyAlignment="0" applyProtection="0"/>
    <xf numFmtId="0" fontId="221" fillId="0" borderId="919">
      <alignment horizontal="left" vertical="center"/>
    </xf>
    <xf numFmtId="0" fontId="229" fillId="31" borderId="950" applyNumberFormat="0" applyAlignment="0" applyProtection="0"/>
    <xf numFmtId="0" fontId="225" fillId="86" borderId="950" applyNumberFormat="0" applyAlignment="0" applyProtection="0"/>
    <xf numFmtId="0" fontId="221" fillId="0" borderId="910">
      <alignment horizontal="left" vertical="center"/>
    </xf>
    <xf numFmtId="0" fontId="220" fillId="81" borderId="927" applyNumberFormat="0" applyAlignment="0" applyProtection="0"/>
    <xf numFmtId="0" fontId="216" fillId="0" borderId="0"/>
    <xf numFmtId="0" fontId="195" fillId="0" borderId="920" applyNumberFormat="0" applyFill="0" applyAlignment="0" applyProtection="0">
      <alignment vertical="center"/>
    </xf>
    <xf numFmtId="0" fontId="231" fillId="79" borderId="928" applyNumberFormat="0" applyAlignment="0" applyProtection="0"/>
    <xf numFmtId="0" fontId="225" fillId="86" borderId="906" applyNumberFormat="0" applyAlignment="0" applyProtection="0"/>
    <xf numFmtId="0" fontId="221" fillId="0" borderId="901">
      <alignment horizontal="left" vertical="center"/>
    </xf>
    <xf numFmtId="0" fontId="221" fillId="0" borderId="901">
      <alignment horizontal="left" vertical="center"/>
    </xf>
    <xf numFmtId="0" fontId="220" fillId="81" borderId="917" applyNumberFormat="0" applyAlignment="0" applyProtection="0"/>
    <xf numFmtId="0" fontId="221" fillId="0" borderId="910">
      <alignment horizontal="left" vertical="center"/>
    </xf>
    <xf numFmtId="0" fontId="225" fillId="86" borderId="950" applyNumberFormat="0" applyAlignment="0" applyProtection="0"/>
    <xf numFmtId="0" fontId="231" fillId="79" borderId="908" applyNumberFormat="0" applyAlignment="0" applyProtection="0"/>
    <xf numFmtId="0" fontId="225" fillId="66" borderId="916" applyNumberFormat="0" applyAlignment="0" applyProtection="0"/>
    <xf numFmtId="43" fontId="216" fillId="0" borderId="0" applyFont="0" applyFill="0" applyBorder="0" applyAlignment="0" applyProtection="0"/>
    <xf numFmtId="0" fontId="178" fillId="86" borderId="906" applyNumberFormat="0" applyAlignment="0" applyProtection="0">
      <alignment vertical="center"/>
    </xf>
    <xf numFmtId="0" fontId="225" fillId="86" borderId="936" applyNumberFormat="0" applyAlignment="0" applyProtection="0"/>
    <xf numFmtId="0" fontId="222" fillId="35" borderId="937" applyNumberFormat="0" applyFont="0" applyAlignment="0" applyProtection="0"/>
    <xf numFmtId="0" fontId="225" fillId="66" borderId="936" applyNumberFormat="0" applyAlignment="0" applyProtection="0"/>
    <xf numFmtId="0" fontId="225" fillId="86" borderId="916" applyNumberFormat="0" applyAlignment="0" applyProtection="0"/>
    <xf numFmtId="0" fontId="195" fillId="0" borderId="911" applyNumberFormat="0" applyFill="0" applyAlignment="0" applyProtection="0">
      <alignment vertical="center"/>
    </xf>
    <xf numFmtId="0" fontId="221" fillId="0" borderId="915" applyNumberFormat="0" applyAlignment="0" applyProtection="0"/>
    <xf numFmtId="0" fontId="195" fillId="0" borderId="941" applyNumberFormat="0" applyFill="0" applyAlignment="0" applyProtection="0">
      <alignment vertical="center"/>
    </xf>
    <xf numFmtId="0" fontId="225" fillId="86" borderId="950" applyNumberFormat="0" applyAlignment="0" applyProtection="0"/>
    <xf numFmtId="0" fontId="220" fillId="81" borderId="951" applyNumberFormat="0" applyAlignment="0" applyProtection="0"/>
    <xf numFmtId="0" fontId="220" fillId="81" borderId="927" applyNumberFormat="0" applyAlignment="0" applyProtection="0"/>
    <xf numFmtId="0" fontId="220" fillId="81" borderId="907" applyNumberFormat="0" applyAlignment="0" applyProtection="0"/>
    <xf numFmtId="0" fontId="189" fillId="31" borderId="908" applyNumberFormat="0" applyAlignment="0" applyProtection="0">
      <alignment vertical="center"/>
    </xf>
    <xf numFmtId="0" fontId="229" fillId="79" borderId="916" applyNumberFormat="0" applyAlignment="0" applyProtection="0"/>
    <xf numFmtId="0" fontId="185" fillId="0" borderId="953" applyNumberFormat="0" applyFont="0">
      <alignment horizontal="center" vertical="center"/>
    </xf>
    <xf numFmtId="0" fontId="225" fillId="86" borderId="916" applyNumberFormat="0" applyAlignment="0" applyProtection="0"/>
    <xf numFmtId="0" fontId="225" fillId="86" borderId="906" applyNumberFormat="0" applyAlignment="0" applyProtection="0"/>
    <xf numFmtId="0" fontId="229" fillId="79" borderId="916" applyNumberFormat="0" applyAlignment="0" applyProtection="0"/>
    <xf numFmtId="0" fontId="229" fillId="79" borderId="906" applyNumberFormat="0" applyAlignment="0" applyProtection="0"/>
    <xf numFmtId="0" fontId="189" fillId="31" borderId="938" applyNumberFormat="0" applyAlignment="0" applyProtection="0">
      <alignment vertical="center"/>
    </xf>
    <xf numFmtId="0" fontId="225" fillId="86" borderId="916" applyNumberFormat="0" applyAlignment="0" applyProtection="0"/>
    <xf numFmtId="0" fontId="225" fillId="86" borderId="950" applyNumberFormat="0" applyAlignment="0" applyProtection="0"/>
    <xf numFmtId="0" fontId="202" fillId="31" borderId="936" applyNumberFormat="0" applyAlignment="0" applyProtection="0">
      <alignment vertical="center"/>
    </xf>
    <xf numFmtId="0" fontId="225" fillId="66" borderId="916" applyNumberFormat="0" applyAlignment="0" applyProtection="0"/>
    <xf numFmtId="0" fontId="225" fillId="86" borderId="950" applyNumberFormat="0" applyAlignment="0" applyProtection="0"/>
    <xf numFmtId="0" fontId="185" fillId="0" borderId="899" applyNumberFormat="0" applyFont="0">
      <alignment horizontal="center" vertical="center"/>
    </xf>
    <xf numFmtId="0" fontId="225" fillId="86" borderId="906" applyNumberFormat="0" applyAlignment="0" applyProtection="0"/>
    <xf numFmtId="0" fontId="225" fillId="66" borderId="906" applyNumberFormat="0" applyAlignment="0" applyProtection="0"/>
    <xf numFmtId="0" fontId="225" fillId="86" borderId="906" applyNumberFormat="0" applyAlignment="0" applyProtection="0"/>
    <xf numFmtId="0" fontId="220" fillId="81" borderId="917" applyNumberFormat="0" applyAlignment="0" applyProtection="0"/>
    <xf numFmtId="0" fontId="168" fillId="35" borderId="907" applyNumberFormat="0" applyFont="0" applyAlignment="0" applyProtection="0">
      <alignment vertical="center"/>
    </xf>
    <xf numFmtId="0" fontId="220" fillId="81" borderId="927" applyNumberFormat="0" applyAlignment="0" applyProtection="0"/>
    <xf numFmtId="0" fontId="219" fillId="0" borderId="955" applyNumberFormat="0" applyFill="0" applyAlignment="0" applyProtection="0"/>
    <xf numFmtId="0" fontId="229" fillId="79" borderId="916" applyNumberFormat="0" applyAlignment="0" applyProtection="0"/>
    <xf numFmtId="0" fontId="225" fillId="86" borderId="906" applyNumberFormat="0" applyAlignment="0" applyProtection="0"/>
    <xf numFmtId="0" fontId="229" fillId="79" borderId="926" applyNumberFormat="0" applyAlignment="0" applyProtection="0"/>
    <xf numFmtId="0" fontId="220" fillId="81" borderId="907" applyNumberFormat="0" applyAlignment="0" applyProtection="0"/>
    <xf numFmtId="43" fontId="216" fillId="0" borderId="0" applyFont="0" applyFill="0" applyBorder="0" applyAlignment="0" applyProtection="0"/>
    <xf numFmtId="0" fontId="221" fillId="0" borderId="935" applyNumberFormat="0" applyAlignment="0" applyProtection="0"/>
    <xf numFmtId="0" fontId="225" fillId="86" borderId="936" applyNumberFormat="0" applyAlignment="0" applyProtection="0"/>
    <xf numFmtId="0" fontId="178" fillId="86" borderId="906" applyNumberFormat="0" applyAlignment="0" applyProtection="0">
      <alignment vertical="center"/>
    </xf>
    <xf numFmtId="0" fontId="225" fillId="86" borderId="936" applyNumberFormat="0" applyAlignment="0" applyProtection="0"/>
    <xf numFmtId="0" fontId="229" fillId="31" borderId="906" applyNumberFormat="0" applyAlignment="0" applyProtection="0"/>
    <xf numFmtId="2" fontId="174" fillId="0" borderId="932" applyFont="0" applyBorder="0" applyAlignment="0" applyProtection="0">
      <alignment horizontal="right"/>
    </xf>
    <xf numFmtId="43" fontId="216" fillId="0" borderId="0" applyFont="0" applyFill="0" applyBorder="0" applyAlignment="0" applyProtection="0"/>
    <xf numFmtId="0" fontId="231" fillId="79" borderId="938" applyNumberFormat="0" applyAlignment="0" applyProtection="0"/>
    <xf numFmtId="0" fontId="168" fillId="35" borderId="927" applyNumberFormat="0" applyFont="0" applyAlignment="0" applyProtection="0">
      <alignment vertical="center"/>
    </xf>
    <xf numFmtId="0" fontId="220" fillId="81" borderId="951" applyNumberFormat="0" applyAlignment="0" applyProtection="0"/>
    <xf numFmtId="0" fontId="225" fillId="66" borderId="950" applyNumberFormat="0" applyAlignment="0" applyProtection="0"/>
    <xf numFmtId="0" fontId="221" fillId="0" borderId="919">
      <alignment horizontal="left" vertical="center"/>
    </xf>
    <xf numFmtId="0" fontId="195" fillId="0" borderId="941" applyNumberFormat="0" applyFill="0" applyAlignment="0" applyProtection="0">
      <alignment vertical="center"/>
    </xf>
    <xf numFmtId="0" fontId="219" fillId="0" borderId="902" applyNumberFormat="0" applyFill="0" applyAlignment="0" applyProtection="0"/>
    <xf numFmtId="0" fontId="225" fillId="66" borderId="926" applyNumberFormat="0" applyAlignment="0" applyProtection="0"/>
    <xf numFmtId="0" fontId="221" fillId="0" borderId="954">
      <alignment horizontal="left" vertical="center"/>
    </xf>
    <xf numFmtId="0" fontId="219" fillId="0" borderId="941" applyNumberFormat="0" applyFill="0" applyAlignment="0" applyProtection="0"/>
    <xf numFmtId="0" fontId="221" fillId="0" borderId="905" applyNumberFormat="0" applyAlignment="0" applyProtection="0"/>
    <xf numFmtId="0" fontId="221" fillId="0" borderId="905" applyNumberFormat="0" applyAlignment="0" applyProtection="0"/>
    <xf numFmtId="0" fontId="229" fillId="79" borderId="926" applyNumberFormat="0" applyAlignment="0" applyProtection="0"/>
    <xf numFmtId="0" fontId="221" fillId="0" borderId="905" applyNumberFormat="0" applyAlignment="0" applyProtection="0"/>
    <xf numFmtId="0" fontId="225" fillId="66" borderId="916" applyNumberFormat="0" applyAlignment="0" applyProtection="0"/>
    <xf numFmtId="0" fontId="221" fillId="0" borderId="940">
      <alignment horizontal="left" vertical="center"/>
    </xf>
    <xf numFmtId="2" fontId="174" fillId="0" borderId="913" applyFont="0" applyBorder="0" applyAlignment="0" applyProtection="0">
      <alignment horizontal="right"/>
    </xf>
    <xf numFmtId="0" fontId="178" fillId="86" borderId="936" applyNumberFormat="0" applyAlignment="0" applyProtection="0">
      <alignment vertical="center"/>
    </xf>
    <xf numFmtId="43" fontId="216" fillId="0" borderId="0" applyFont="0" applyFill="0" applyBorder="0" applyAlignment="0" applyProtection="0"/>
    <xf numFmtId="0" fontId="225" fillId="86" borderId="906" applyNumberFormat="0" applyAlignment="0" applyProtection="0"/>
    <xf numFmtId="0" fontId="216" fillId="0" borderId="0"/>
    <xf numFmtId="0" fontId="195" fillId="0" borderId="902" applyNumberFormat="0" applyFill="0" applyAlignment="0" applyProtection="0">
      <alignment vertical="center"/>
    </xf>
    <xf numFmtId="0" fontId="221" fillId="0" borderId="946" applyNumberFormat="0" applyAlignment="0" applyProtection="0"/>
    <xf numFmtId="0" fontId="202" fillId="31" borderId="916" applyNumberFormat="0" applyAlignment="0" applyProtection="0">
      <alignment vertical="center"/>
    </xf>
    <xf numFmtId="0" fontId="219" fillId="0" borderId="911" applyNumberFormat="0" applyFill="0" applyAlignment="0" applyProtection="0"/>
    <xf numFmtId="0" fontId="231" fillId="79" borderId="952" applyNumberFormat="0" applyAlignment="0" applyProtection="0"/>
    <xf numFmtId="0" fontId="219" fillId="0" borderId="931" applyNumberFormat="0" applyFill="0" applyAlignment="0" applyProtection="0"/>
    <xf numFmtId="0" fontId="220" fillId="81" borderId="927" applyNumberFormat="0" applyAlignment="0" applyProtection="0"/>
    <xf numFmtId="0" fontId="225" fillId="86" borderId="926" applyNumberFormat="0" applyAlignment="0" applyProtection="0"/>
    <xf numFmtId="0" fontId="221" fillId="0" borderId="925" applyNumberFormat="0" applyAlignment="0" applyProtection="0"/>
    <xf numFmtId="0" fontId="221" fillId="0" borderId="954">
      <alignment horizontal="left" vertical="center"/>
    </xf>
    <xf numFmtId="0" fontId="231" fillId="31" borderId="918" applyNumberFormat="0" applyAlignment="0" applyProtection="0"/>
    <xf numFmtId="2" fontId="174" fillId="0" borderId="923" applyFont="0" applyBorder="0" applyAlignment="0" applyProtection="0">
      <alignment horizontal="right"/>
    </xf>
    <xf numFmtId="0" fontId="178" fillId="86" borderId="936" applyNumberFormat="0" applyAlignment="0" applyProtection="0">
      <alignment vertical="center"/>
    </xf>
    <xf numFmtId="0" fontId="225" fillId="86" borderId="936" applyNumberFormat="0" applyAlignment="0" applyProtection="0"/>
    <xf numFmtId="0" fontId="221" fillId="0" borderId="934" applyNumberFormat="0" applyAlignment="0" applyProtection="0"/>
    <xf numFmtId="0" fontId="221" fillId="0" borderId="915" applyNumberFormat="0" applyAlignment="0" applyProtection="0"/>
    <xf numFmtId="0" fontId="221" fillId="0" borderId="934" applyNumberFormat="0" applyAlignment="0" applyProtection="0"/>
    <xf numFmtId="0" fontId="221" fillId="0" borderId="915" applyNumberFormat="0" applyAlignment="0" applyProtection="0"/>
    <xf numFmtId="0" fontId="229" fillId="31" borderId="916" applyNumberFormat="0" applyAlignment="0" applyProtection="0"/>
    <xf numFmtId="0" fontId="231" fillId="79" borderId="918" applyNumberFormat="0" applyAlignment="0" applyProtection="0"/>
    <xf numFmtId="0" fontId="225" fillId="86" borderId="926" applyNumberFormat="0" applyAlignment="0" applyProtection="0"/>
    <xf numFmtId="0" fontId="221" fillId="0" borderId="934" applyNumberFormat="0" applyAlignment="0" applyProtection="0"/>
    <xf numFmtId="0" fontId="225" fillId="86" borderId="926" applyNumberFormat="0" applyAlignment="0" applyProtection="0"/>
    <xf numFmtId="0" fontId="225" fillId="86" borderId="916" applyNumberFormat="0" applyAlignment="0" applyProtection="0"/>
    <xf numFmtId="0" fontId="220" fillId="81" borderId="937" applyNumberFormat="0" applyAlignment="0" applyProtection="0"/>
    <xf numFmtId="0" fontId="221" fillId="0" borderId="930">
      <alignment horizontal="left" vertical="center"/>
    </xf>
    <xf numFmtId="0" fontId="185" fillId="0" borderId="939" applyNumberFormat="0" applyFont="0">
      <alignment horizontal="center" vertical="center"/>
    </xf>
    <xf numFmtId="0" fontId="225" fillId="86" borderId="916" applyNumberFormat="0" applyAlignment="0" applyProtection="0"/>
    <xf numFmtId="0" fontId="221" fillId="0" borderId="914">
      <alignment horizontal="left" vertical="center"/>
    </xf>
    <xf numFmtId="43" fontId="216" fillId="0" borderId="0" applyFont="0" applyFill="0" applyBorder="0" applyAlignment="0" applyProtection="0"/>
    <xf numFmtId="0" fontId="221" fillId="0" borderId="946" applyNumberFormat="0" applyAlignment="0" applyProtection="0"/>
    <xf numFmtId="0" fontId="168" fillId="35" borderId="927" applyNumberFormat="0" applyFont="0" applyAlignment="0" applyProtection="0">
      <alignment vertical="center"/>
    </xf>
    <xf numFmtId="0" fontId="189" fillId="31" borderId="928" applyNumberFormat="0" applyAlignment="0" applyProtection="0">
      <alignment vertical="center"/>
    </xf>
    <xf numFmtId="0" fontId="229" fillId="79" borderId="950" applyNumberFormat="0" applyAlignment="0" applyProtection="0"/>
    <xf numFmtId="0" fontId="202" fillId="31" borderId="926" applyNumberFormat="0" applyAlignment="0" applyProtection="0">
      <alignment vertical="center"/>
    </xf>
    <xf numFmtId="0" fontId="216" fillId="0" borderId="0"/>
    <xf numFmtId="0" fontId="195" fillId="0" borderId="931" applyNumberFormat="0" applyFill="0" applyAlignment="0" applyProtection="0">
      <alignment vertical="center"/>
    </xf>
    <xf numFmtId="0" fontId="231" fillId="79" borderId="938" applyNumberFormat="0" applyAlignment="0" applyProtection="0"/>
    <xf numFmtId="0" fontId="231" fillId="31" borderId="938" applyNumberFormat="0" applyAlignment="0" applyProtection="0"/>
    <xf numFmtId="0" fontId="221" fillId="0" borderId="946" applyNumberFormat="0" applyAlignment="0" applyProtection="0"/>
    <xf numFmtId="0" fontId="225" fillId="86" borderId="936" applyNumberFormat="0" applyAlignment="0" applyProtection="0"/>
    <xf numFmtId="0" fontId="225" fillId="86" borderId="950" applyNumberFormat="0" applyAlignment="0" applyProtection="0"/>
    <xf numFmtId="2" fontId="174" fillId="0" borderId="944" applyFont="0" applyBorder="0" applyAlignment="0" applyProtection="0">
      <alignment horizontal="right"/>
    </xf>
    <xf numFmtId="0" fontId="178" fillId="86" borderId="950" applyNumberFormat="0" applyAlignment="0" applyProtection="0">
      <alignment vertical="center"/>
    </xf>
    <xf numFmtId="0" fontId="221" fillId="0" borderId="935" applyNumberFormat="0" applyAlignment="0" applyProtection="0"/>
    <xf numFmtId="0" fontId="221" fillId="0" borderId="935" applyNumberFormat="0" applyAlignment="0" applyProtection="0"/>
    <xf numFmtId="0" fontId="229" fillId="31" borderId="936" applyNumberFormat="0" applyAlignment="0" applyProtection="0"/>
    <xf numFmtId="0" fontId="231" fillId="79" borderId="938" applyNumberFormat="0" applyAlignment="0" applyProtection="0"/>
    <xf numFmtId="0" fontId="225" fillId="86" borderId="936" applyNumberFormat="0" applyAlignment="0" applyProtection="0"/>
    <xf numFmtId="0" fontId="225" fillId="86" borderId="936" applyNumberFormat="0" applyAlignment="0" applyProtection="0"/>
    <xf numFmtId="0" fontId="220" fillId="81" borderId="937" applyNumberFormat="0" applyAlignment="0" applyProtection="0"/>
    <xf numFmtId="0" fontId="231" fillId="79" borderId="952" applyNumberFormat="0" applyAlignment="0" applyProtection="0"/>
    <xf numFmtId="0" fontId="225" fillId="86" borderId="950" applyNumberFormat="0" applyAlignment="0" applyProtection="0"/>
    <xf numFmtId="0" fontId="231" fillId="31" borderId="952" applyNumberFormat="0" applyAlignment="0" applyProtection="0"/>
    <xf numFmtId="0" fontId="168" fillId="35" borderId="951" applyNumberFormat="0" applyFont="0" applyAlignment="0" applyProtection="0">
      <alignment vertical="center"/>
    </xf>
    <xf numFmtId="0" fontId="189" fillId="31" borderId="952" applyNumberFormat="0" applyAlignment="0" applyProtection="0">
      <alignment vertical="center"/>
    </xf>
    <xf numFmtId="0" fontId="202" fillId="31" borderId="950" applyNumberFormat="0" applyAlignment="0" applyProtection="0">
      <alignment vertical="center"/>
    </xf>
    <xf numFmtId="0" fontId="195" fillId="0" borderId="955" applyNumberFormat="0" applyFill="0" applyAlignment="0" applyProtection="0">
      <alignment vertical="center"/>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62" fillId="0" borderId="0" applyNumberFormat="0" applyFill="0" applyBorder="0" applyAlignment="0" applyProtection="0"/>
  </cellStyleXfs>
  <cellXfs count="2558">
    <xf numFmtId="0" fontId="0" fillId="0" borderId="0" xfId="0"/>
    <xf numFmtId="0" fontId="1" fillId="0" borderId="1" xfId="1" applyBorder="1" applyAlignment="1">
      <alignment horizontal="left" vertical="center"/>
    </xf>
    <xf numFmtId="0" fontId="0" fillId="0" borderId="1" xfId="0" applyBorder="1" applyAlignment="1">
      <alignment horizontal="center" vertical="center"/>
    </xf>
    <xf numFmtId="0" fontId="1" fillId="0" borderId="1" xfId="1" applyBorder="1"/>
    <xf numFmtId="0" fontId="1" fillId="0" borderId="1" xfId="1" applyBorder="1" applyAlignment="1">
      <alignment horizontal="center" vertical="center"/>
    </xf>
    <xf numFmtId="0" fontId="0" fillId="0" borderId="1" xfId="1" applyFont="1" applyBorder="1" applyAlignment="1">
      <alignment horizontal="center" vertical="center"/>
    </xf>
    <xf numFmtId="15" fontId="1" fillId="0" borderId="1" xfId="1" applyNumberFormat="1" applyBorder="1" applyAlignment="1">
      <alignment horizontal="center" vertical="center"/>
    </xf>
    <xf numFmtId="1" fontId="1" fillId="0" borderId="1" xfId="1" applyNumberFormat="1" applyBorder="1" applyAlignment="1">
      <alignment horizontal="center" vertical="center"/>
    </xf>
    <xf numFmtId="0" fontId="88" fillId="0" borderId="0" xfId="0" applyFont="1"/>
    <xf numFmtId="203" fontId="1" fillId="0" borderId="1" xfId="1" applyNumberFormat="1" applyBorder="1" applyAlignment="1">
      <alignment horizontal="right" vertical="center"/>
    </xf>
    <xf numFmtId="203" fontId="1" fillId="0" borderId="1" xfId="1" applyNumberFormat="1" applyBorder="1"/>
    <xf numFmtId="0" fontId="0" fillId="0" borderId="1" xfId="1" applyFont="1" applyBorder="1"/>
    <xf numFmtId="0" fontId="87" fillId="2" borderId="1" xfId="1" applyFont="1" applyFill="1" applyBorder="1" applyAlignment="1">
      <alignment horizontal="center" vertical="center" wrapText="1"/>
    </xf>
    <xf numFmtId="0" fontId="87" fillId="2" borderId="1" xfId="1" applyFont="1" applyFill="1" applyBorder="1" applyAlignment="1">
      <alignment horizontal="left" vertical="center" wrapText="1"/>
    </xf>
    <xf numFmtId="0" fontId="0" fillId="0" borderId="1" xfId="1" applyFont="1" applyBorder="1" applyAlignment="1">
      <alignment horizontal="center" vertical="center" wrapText="1"/>
    </xf>
    <xf numFmtId="0" fontId="0" fillId="0" borderId="0" xfId="0" applyAlignment="1">
      <alignment horizontal="center" vertical="center"/>
    </xf>
    <xf numFmtId="0" fontId="0" fillId="0" borderId="1" xfId="0" applyBorder="1"/>
    <xf numFmtId="0" fontId="0" fillId="0" borderId="27" xfId="0" applyBorder="1"/>
    <xf numFmtId="0" fontId="0" fillId="0" borderId="0" xfId="0" applyAlignment="1">
      <alignment horizontal="center"/>
    </xf>
    <xf numFmtId="0" fontId="0" fillId="41" borderId="1" xfId="0" applyFill="1" applyBorder="1" applyAlignment="1">
      <alignment horizontal="center"/>
    </xf>
    <xf numFmtId="168" fontId="0" fillId="41" borderId="1" xfId="0" applyNumberFormat="1" applyFill="1" applyBorder="1" applyAlignment="1">
      <alignment horizontal="center" vertical="center"/>
    </xf>
    <xf numFmtId="168" fontId="0" fillId="41" borderId="1" xfId="0" applyNumberFormat="1" applyFill="1" applyBorder="1" applyAlignment="1">
      <alignment horizontal="center"/>
    </xf>
    <xf numFmtId="0" fontId="0" fillId="41" borderId="1" xfId="0" applyFill="1" applyBorder="1" applyAlignment="1">
      <alignment horizontal="center" wrapText="1"/>
    </xf>
    <xf numFmtId="2" fontId="0" fillId="41" borderId="1" xfId="0" applyNumberFormat="1" applyFill="1" applyBorder="1" applyAlignment="1">
      <alignment horizontal="center"/>
    </xf>
    <xf numFmtId="2" fontId="0" fillId="41" borderId="1" xfId="0" applyNumberFormat="1" applyFill="1" applyBorder="1" applyAlignment="1">
      <alignment horizontal="center" vertical="center"/>
    </xf>
    <xf numFmtId="0" fontId="0" fillId="41" borderId="1" xfId="0" applyFill="1" applyBorder="1" applyAlignment="1">
      <alignment horizontal="center" vertical="center"/>
    </xf>
    <xf numFmtId="0" fontId="90" fillId="40" borderId="1" xfId="0" applyFont="1" applyFill="1" applyBorder="1" applyAlignment="1">
      <alignment horizontal="center"/>
    </xf>
    <xf numFmtId="0" fontId="90" fillId="40" borderId="1" xfId="0" applyFont="1" applyFill="1" applyBorder="1" applyAlignment="1">
      <alignment horizontal="center" vertical="center" wrapText="1"/>
    </xf>
    <xf numFmtId="0" fontId="90" fillId="40" borderId="1" xfId="0" applyFont="1" applyFill="1" applyBorder="1" applyAlignment="1">
      <alignment horizontal="center" wrapText="1"/>
    </xf>
    <xf numFmtId="0" fontId="90" fillId="40" borderId="1" xfId="0" applyFont="1" applyFill="1" applyBorder="1" applyAlignment="1">
      <alignment horizontal="center" vertical="center"/>
    </xf>
    <xf numFmtId="2" fontId="0" fillId="0" borderId="1" xfId="0" applyNumberFormat="1" applyBorder="1" applyAlignment="1">
      <alignment horizontal="center"/>
    </xf>
    <xf numFmtId="2" fontId="0" fillId="0" borderId="1" xfId="0" applyNumberFormat="1" applyBorder="1" applyAlignment="1">
      <alignment horizontal="center" vertical="center"/>
    </xf>
    <xf numFmtId="1" fontId="0" fillId="0" borderId="1" xfId="0" applyNumberFormat="1" applyBorder="1" applyAlignment="1">
      <alignment horizontal="center"/>
    </xf>
    <xf numFmtId="0" fontId="90" fillId="2" borderId="1" xfId="0" applyFont="1" applyFill="1" applyBorder="1" applyAlignment="1">
      <alignment horizontal="center" vertical="center" wrapText="1"/>
    </xf>
    <xf numFmtId="168" fontId="0" fillId="0" borderId="1" xfId="0" applyNumberFormat="1" applyBorder="1" applyAlignment="1">
      <alignment horizontal="center" vertical="center"/>
    </xf>
    <xf numFmtId="0" fontId="0" fillId="0" borderId="1" xfId="1" applyFont="1" applyBorder="1" applyAlignment="1">
      <alignment horizontal="right" vertical="center"/>
    </xf>
    <xf numFmtId="0" fontId="1" fillId="41" borderId="1" xfId="1" applyFill="1" applyBorder="1" applyAlignment="1">
      <alignment horizontal="center" vertical="center"/>
    </xf>
    <xf numFmtId="0" fontId="0" fillId="41" borderId="1" xfId="1" applyFont="1" applyFill="1" applyBorder="1" applyAlignment="1">
      <alignment horizontal="center" vertical="center"/>
    </xf>
    <xf numFmtId="15" fontId="1" fillId="41" borderId="1" xfId="1" applyNumberFormat="1" applyFill="1" applyBorder="1" applyAlignment="1">
      <alignment horizontal="center" vertical="center"/>
    </xf>
    <xf numFmtId="1" fontId="1" fillId="41" borderId="1" xfId="1" applyNumberFormat="1" applyFill="1" applyBorder="1" applyAlignment="1">
      <alignment horizontal="center" vertical="center"/>
    </xf>
    <xf numFmtId="203" fontId="1" fillId="41" borderId="1" xfId="1" applyNumberFormat="1" applyFill="1" applyBorder="1" applyAlignment="1">
      <alignment horizontal="center" vertical="center"/>
    </xf>
    <xf numFmtId="203" fontId="1" fillId="41" borderId="1" xfId="1" applyNumberFormat="1" applyFill="1" applyBorder="1" applyAlignment="1">
      <alignment vertical="center"/>
    </xf>
    <xf numFmtId="15" fontId="0" fillId="41" borderId="1" xfId="0" applyNumberFormat="1" applyFill="1" applyBorder="1" applyAlignment="1">
      <alignment horizontal="center" vertical="center"/>
    </xf>
    <xf numFmtId="0" fontId="89" fillId="41" borderId="1" xfId="0" applyFont="1" applyFill="1" applyBorder="1" applyAlignment="1">
      <alignment horizontal="center" vertical="center"/>
    </xf>
    <xf numFmtId="0" fontId="0" fillId="41" borderId="1" xfId="0" applyFill="1" applyBorder="1" applyAlignment="1">
      <alignment vertical="center" wrapText="1"/>
    </xf>
    <xf numFmtId="204" fontId="0" fillId="41" borderId="1" xfId="0" applyNumberFormat="1" applyFill="1" applyBorder="1" applyAlignment="1">
      <alignment horizontal="center" vertical="center"/>
    </xf>
    <xf numFmtId="0" fontId="0" fillId="41" borderId="1" xfId="0" applyFill="1" applyBorder="1"/>
    <xf numFmtId="0" fontId="89" fillId="41" borderId="20" xfId="0" applyFont="1" applyFill="1" applyBorder="1" applyAlignment="1">
      <alignment horizontal="center" vertical="center"/>
    </xf>
    <xf numFmtId="204" fontId="0" fillId="41" borderId="1" xfId="0" applyNumberFormat="1" applyFill="1" applyBorder="1" applyAlignment="1">
      <alignment horizontal="center"/>
    </xf>
    <xf numFmtId="0" fontId="0" fillId="41" borderId="27" xfId="1" applyFont="1" applyFill="1" applyBorder="1" applyAlignment="1">
      <alignment horizontal="center" vertical="center"/>
    </xf>
    <xf numFmtId="15" fontId="0" fillId="41" borderId="27" xfId="0" applyNumberFormat="1" applyFill="1" applyBorder="1" applyAlignment="1">
      <alignment horizontal="center" vertical="center"/>
    </xf>
    <xf numFmtId="204" fontId="0" fillId="41" borderId="27" xfId="0" applyNumberFormat="1" applyFill="1" applyBorder="1" applyAlignment="1">
      <alignment horizontal="center"/>
    </xf>
    <xf numFmtId="15" fontId="0" fillId="41" borderId="1" xfId="0" applyNumberFormat="1" applyFill="1" applyBorder="1"/>
    <xf numFmtId="15" fontId="0" fillId="41" borderId="32" xfId="0" applyNumberFormat="1" applyFill="1" applyBorder="1"/>
    <xf numFmtId="0" fontId="0" fillId="41" borderId="32" xfId="1" applyFont="1" applyFill="1" applyBorder="1" applyAlignment="1">
      <alignment horizontal="center" vertical="center"/>
    </xf>
    <xf numFmtId="0" fontId="0" fillId="0" borderId="1" xfId="0" applyBorder="1" applyAlignment="1">
      <alignment horizontal="center"/>
    </xf>
    <xf numFmtId="0" fontId="0" fillId="0" borderId="15" xfId="0" applyBorder="1" applyAlignment="1">
      <alignment horizontal="center"/>
    </xf>
    <xf numFmtId="2" fontId="92" fillId="2" borderId="1" xfId="0" applyNumberFormat="1" applyFont="1" applyFill="1" applyBorder="1" applyAlignment="1">
      <alignment horizontal="center" vertical="center"/>
    </xf>
    <xf numFmtId="0" fontId="92" fillId="2" borderId="1" xfId="0" applyFont="1" applyFill="1" applyBorder="1" applyAlignment="1">
      <alignment horizontal="center" vertical="center"/>
    </xf>
    <xf numFmtId="2" fontId="92" fillId="2" borderId="1" xfId="0" applyNumberFormat="1" applyFont="1" applyFill="1" applyBorder="1" applyAlignment="1">
      <alignment horizontal="center" vertical="center" wrapText="1"/>
    </xf>
    <xf numFmtId="2" fontId="92" fillId="2" borderId="1" xfId="407" applyNumberFormat="1" applyFont="1" applyFill="1" applyBorder="1" applyAlignment="1">
      <alignment horizontal="center" vertical="center" wrapText="1"/>
    </xf>
    <xf numFmtId="0" fontId="92" fillId="2" borderId="1" xfId="0" applyFont="1" applyFill="1" applyBorder="1" applyAlignment="1">
      <alignment horizontal="center" vertical="center" wrapText="1"/>
    </xf>
    <xf numFmtId="0" fontId="93" fillId="2" borderId="1" xfId="0" applyFont="1" applyFill="1" applyBorder="1" applyAlignment="1">
      <alignment horizontal="center" vertical="center"/>
    </xf>
    <xf numFmtId="0" fontId="93" fillId="2" borderId="1" xfId="0" applyFont="1" applyFill="1" applyBorder="1" applyAlignment="1">
      <alignment horizontal="center" vertical="center" wrapText="1"/>
    </xf>
    <xf numFmtId="2" fontId="93" fillId="2" borderId="1" xfId="0" applyNumberFormat="1" applyFont="1" applyFill="1" applyBorder="1" applyAlignment="1">
      <alignment horizontal="center" vertical="center" wrapText="1"/>
    </xf>
    <xf numFmtId="0" fontId="94" fillId="0" borderId="1" xfId="0" applyFont="1" applyBorder="1" applyAlignment="1">
      <alignment horizontal="center" vertical="center" wrapText="1"/>
    </xf>
    <xf numFmtId="0" fontId="94" fillId="0" borderId="1" xfId="0" applyFont="1" applyBorder="1" applyAlignment="1">
      <alignment horizontal="left" vertical="center" wrapText="1"/>
    </xf>
    <xf numFmtId="168" fontId="0" fillId="0" borderId="1" xfId="0" applyNumberFormat="1" applyBorder="1"/>
    <xf numFmtId="9" fontId="0" fillId="0" borderId="1" xfId="725" applyFont="1" applyFill="1" applyBorder="1"/>
    <xf numFmtId="2" fontId="0" fillId="0" borderId="1" xfId="0" applyNumberFormat="1" applyBorder="1"/>
    <xf numFmtId="4" fontId="0" fillId="0" borderId="1" xfId="0" applyNumberFormat="1" applyBorder="1"/>
    <xf numFmtId="168" fontId="90" fillId="0" borderId="1" xfId="724" applyFont="1" applyFill="1" applyBorder="1" applyAlignment="1">
      <alignment horizontal="center" vertical="center"/>
    </xf>
    <xf numFmtId="168" fontId="0" fillId="0" borderId="1" xfId="724" applyFont="1" applyFill="1" applyBorder="1"/>
    <xf numFmtId="168" fontId="90" fillId="0" borderId="1" xfId="724" applyFont="1" applyFill="1" applyBorder="1"/>
    <xf numFmtId="2" fontId="95" fillId="0" borderId="1" xfId="0" applyNumberFormat="1" applyFont="1" applyBorder="1"/>
    <xf numFmtId="205" fontId="0" fillId="0" borderId="1" xfId="725" applyNumberFormat="1" applyFont="1" applyFill="1" applyBorder="1"/>
    <xf numFmtId="10" fontId="0" fillId="0" borderId="1" xfId="0" applyNumberFormat="1" applyBorder="1"/>
    <xf numFmtId="9" fontId="0" fillId="0" borderId="1" xfId="725" applyFont="1" applyFill="1" applyBorder="1" applyAlignment="1">
      <alignment horizontal="center"/>
    </xf>
    <xf numFmtId="0" fontId="95" fillId="0" borderId="1" xfId="0" applyFont="1" applyBorder="1"/>
    <xf numFmtId="0" fontId="3" fillId="0" borderId="17" xfId="0" applyFont="1" applyBorder="1" applyAlignment="1">
      <alignment horizontal="center" vertical="center" wrapText="1"/>
    </xf>
    <xf numFmtId="0" fontId="3" fillId="0" borderId="17" xfId="0" applyFont="1" applyBorder="1" applyAlignment="1">
      <alignment horizontal="left" vertical="center" wrapText="1"/>
    </xf>
    <xf numFmtId="168" fontId="95" fillId="0" borderId="17" xfId="0" applyNumberFormat="1" applyFont="1" applyBorder="1"/>
    <xf numFmtId="9" fontId="0" fillId="0" borderId="17" xfId="725" applyFont="1" applyFill="1" applyBorder="1"/>
    <xf numFmtId="4" fontId="95" fillId="0" borderId="17" xfId="0" applyNumberFormat="1" applyFont="1" applyBorder="1"/>
    <xf numFmtId="168" fontId="90" fillId="0" borderId="17" xfId="724" applyFont="1" applyFill="1" applyBorder="1" applyAlignment="1">
      <alignment horizontal="center" vertical="center"/>
    </xf>
    <xf numFmtId="2" fontId="95" fillId="0" borderId="17" xfId="0" applyNumberFormat="1" applyFont="1" applyBorder="1"/>
    <xf numFmtId="168" fontId="95" fillId="0" borderId="17" xfId="724" applyFont="1" applyFill="1" applyBorder="1"/>
    <xf numFmtId="168" fontId="0" fillId="0" borderId="17" xfId="0" applyNumberFormat="1" applyBorder="1"/>
    <xf numFmtId="168" fontId="90" fillId="0" borderId="17" xfId="724" applyFont="1" applyFill="1" applyBorder="1"/>
    <xf numFmtId="2" fontId="0" fillId="0" borderId="17" xfId="0" applyNumberFormat="1" applyBorder="1"/>
    <xf numFmtId="0" fontId="95" fillId="0" borderId="17" xfId="0" applyFont="1" applyBorder="1"/>
    <xf numFmtId="205" fontId="95" fillId="0" borderId="17" xfId="725" applyNumberFormat="1" applyFont="1" applyFill="1" applyBorder="1"/>
    <xf numFmtId="205" fontId="0" fillId="0" borderId="17" xfId="725" applyNumberFormat="1" applyFont="1" applyFill="1" applyBorder="1"/>
    <xf numFmtId="10" fontId="0" fillId="0" borderId="17" xfId="0" applyNumberFormat="1" applyBorder="1"/>
    <xf numFmtId="9" fontId="0" fillId="0" borderId="17" xfId="725" applyFont="1" applyFill="1" applyBorder="1" applyAlignment="1">
      <alignment horizontal="center"/>
    </xf>
    <xf numFmtId="0" fontId="95" fillId="0" borderId="0" xfId="0" applyFont="1"/>
    <xf numFmtId="0" fontId="0" fillId="0" borderId="19" xfId="0" applyBorder="1" applyAlignment="1">
      <alignment horizontal="center"/>
    </xf>
    <xf numFmtId="0" fontId="0" fillId="0" borderId="19" xfId="0" applyBorder="1"/>
    <xf numFmtId="168" fontId="0" fillId="0" borderId="19" xfId="724" applyFont="1" applyBorder="1"/>
    <xf numFmtId="9" fontId="0" fillId="0" borderId="19" xfId="725" applyFont="1" applyFill="1" applyBorder="1"/>
    <xf numFmtId="4" fontId="0" fillId="0" borderId="19" xfId="0" applyNumberFormat="1" applyBorder="1"/>
    <xf numFmtId="4" fontId="0" fillId="0" borderId="19" xfId="725" applyNumberFormat="1" applyFont="1" applyBorder="1"/>
    <xf numFmtId="168" fontId="90" fillId="0" borderId="19" xfId="724" applyFont="1" applyFill="1" applyBorder="1" applyAlignment="1">
      <alignment horizontal="center" vertical="center"/>
    </xf>
    <xf numFmtId="2" fontId="0" fillId="0" borderId="19" xfId="0" applyNumberFormat="1" applyBorder="1"/>
    <xf numFmtId="168" fontId="0" fillId="0" borderId="19" xfId="0" applyNumberFormat="1" applyBorder="1"/>
    <xf numFmtId="168" fontId="90" fillId="0" borderId="19" xfId="724" applyFont="1" applyFill="1" applyBorder="1"/>
    <xf numFmtId="205" fontId="0" fillId="0" borderId="19" xfId="725" applyNumberFormat="1" applyFont="1" applyFill="1" applyBorder="1"/>
    <xf numFmtId="10" fontId="0" fillId="0" borderId="19" xfId="0" applyNumberFormat="1" applyBorder="1"/>
    <xf numFmtId="9" fontId="0" fillId="0" borderId="19" xfId="725" applyFont="1" applyFill="1" applyBorder="1" applyAlignment="1">
      <alignment horizontal="center"/>
    </xf>
    <xf numFmtId="0" fontId="95" fillId="0" borderId="19" xfId="0" applyFont="1" applyBorder="1"/>
    <xf numFmtId="0" fontId="0" fillId="0" borderId="18" xfId="0" applyBorder="1" applyAlignment="1">
      <alignment horizontal="center"/>
    </xf>
    <xf numFmtId="0" fontId="0" fillId="0" borderId="18" xfId="0" applyBorder="1"/>
    <xf numFmtId="168" fontId="0" fillId="0" borderId="18" xfId="724" applyFont="1" applyBorder="1"/>
    <xf numFmtId="9" fontId="0" fillId="0" borderId="18" xfId="725" applyFont="1" applyFill="1" applyBorder="1"/>
    <xf numFmtId="2" fontId="0" fillId="0" borderId="18" xfId="0" applyNumberFormat="1" applyBorder="1"/>
    <xf numFmtId="4" fontId="0" fillId="0" borderId="18" xfId="725" applyNumberFormat="1" applyFont="1" applyBorder="1"/>
    <xf numFmtId="168" fontId="90" fillId="0" borderId="18" xfId="724" applyFont="1" applyFill="1" applyBorder="1" applyAlignment="1">
      <alignment horizontal="center" vertical="center"/>
    </xf>
    <xf numFmtId="168" fontId="0" fillId="0" borderId="18" xfId="0" applyNumberFormat="1" applyBorder="1"/>
    <xf numFmtId="168" fontId="90" fillId="0" borderId="18" xfId="724" applyFont="1" applyFill="1" applyBorder="1"/>
    <xf numFmtId="205" fontId="0" fillId="0" borderId="18" xfId="725" applyNumberFormat="1" applyFont="1" applyFill="1" applyBorder="1"/>
    <xf numFmtId="10" fontId="0" fillId="0" borderId="18" xfId="0" applyNumberFormat="1" applyBorder="1"/>
    <xf numFmtId="9" fontId="0" fillId="0" borderId="18" xfId="725" applyFont="1" applyFill="1" applyBorder="1" applyAlignment="1">
      <alignment horizontal="center"/>
    </xf>
    <xf numFmtId="0" fontId="95" fillId="0" borderId="18" xfId="0" applyFont="1" applyBorder="1"/>
    <xf numFmtId="0" fontId="0" fillId="0" borderId="17" xfId="0" applyBorder="1" applyAlignment="1">
      <alignment horizontal="center"/>
    </xf>
    <xf numFmtId="0" fontId="0" fillId="0" borderId="17" xfId="0" applyBorder="1"/>
    <xf numFmtId="168" fontId="0" fillId="0" borderId="17" xfId="724" applyFont="1" applyBorder="1"/>
    <xf numFmtId="4" fontId="0" fillId="0" borderId="17" xfId="0" applyNumberFormat="1" applyBorder="1"/>
    <xf numFmtId="4" fontId="0" fillId="0" borderId="17" xfId="725" applyNumberFormat="1" applyFont="1" applyBorder="1"/>
    <xf numFmtId="4" fontId="0" fillId="0" borderId="18" xfId="0" applyNumberFormat="1" applyBorder="1"/>
    <xf numFmtId="168" fontId="0" fillId="0" borderId="1" xfId="724" applyFont="1" applyBorder="1"/>
    <xf numFmtId="4" fontId="0" fillId="0" borderId="1" xfId="725" applyNumberFormat="1" applyFont="1" applyBorder="1"/>
    <xf numFmtId="168" fontId="0" fillId="0" borderId="18" xfId="724" applyFont="1" applyFill="1" applyBorder="1"/>
    <xf numFmtId="168" fontId="0" fillId="0" borderId="17" xfId="724" applyFont="1" applyFill="1" applyBorder="1"/>
    <xf numFmtId="0" fontId="0" fillId="0" borderId="15" xfId="0" applyBorder="1"/>
    <xf numFmtId="168" fontId="0" fillId="0" borderId="15" xfId="724" applyFont="1" applyBorder="1"/>
    <xf numFmtId="9" fontId="0" fillId="0" borderId="15" xfId="725" applyFont="1" applyFill="1" applyBorder="1"/>
    <xf numFmtId="4" fontId="0" fillId="0" borderId="15" xfId="0" applyNumberFormat="1" applyBorder="1"/>
    <xf numFmtId="4" fontId="0" fillId="0" borderId="15" xfId="725" applyNumberFormat="1" applyFont="1" applyBorder="1"/>
    <xf numFmtId="168" fontId="90" fillId="0" borderId="15" xfId="724" applyFont="1" applyFill="1" applyBorder="1" applyAlignment="1">
      <alignment horizontal="center" vertical="center"/>
    </xf>
    <xf numFmtId="2" fontId="0" fillId="0" borderId="15" xfId="0" applyNumberFormat="1" applyBorder="1"/>
    <xf numFmtId="168" fontId="0" fillId="0" borderId="15" xfId="0" applyNumberFormat="1" applyBorder="1"/>
    <xf numFmtId="168" fontId="90" fillId="0" borderId="15" xfId="724" applyFont="1" applyFill="1" applyBorder="1"/>
    <xf numFmtId="168" fontId="0" fillId="0" borderId="15" xfId="724" applyFont="1" applyFill="1" applyBorder="1"/>
    <xf numFmtId="205" fontId="0" fillId="0" borderId="15" xfId="725" applyNumberFormat="1" applyFont="1" applyFill="1" applyBorder="1"/>
    <xf numFmtId="10" fontId="0" fillId="0" borderId="15" xfId="0" applyNumberFormat="1" applyBorder="1"/>
    <xf numFmtId="9" fontId="0" fillId="0" borderId="15" xfId="725" applyFont="1" applyFill="1" applyBorder="1" applyAlignment="1">
      <alignment horizontal="center"/>
    </xf>
    <xf numFmtId="0" fontId="95" fillId="0" borderId="15" xfId="0" applyFont="1" applyBorder="1"/>
    <xf numFmtId="0" fontId="90" fillId="0" borderId="0" xfId="0" applyFont="1" applyAlignment="1">
      <alignment horizontal="center"/>
    </xf>
    <xf numFmtId="2" fontId="0" fillId="0" borderId="0" xfId="0" applyNumberFormat="1"/>
    <xf numFmtId="0" fontId="0" fillId="41" borderId="32" xfId="0" applyFill="1" applyBorder="1" applyAlignment="1">
      <alignment horizontal="center" vertical="center"/>
    </xf>
    <xf numFmtId="15" fontId="0" fillId="41" borderId="1" xfId="1" applyNumberFormat="1" applyFont="1" applyFill="1" applyBorder="1" applyAlignment="1">
      <alignment horizontal="center" vertical="center"/>
    </xf>
    <xf numFmtId="15" fontId="0" fillId="41" borderId="1" xfId="0" applyNumberFormat="1" applyFill="1" applyBorder="1" applyAlignment="1">
      <alignment horizontal="center"/>
    </xf>
    <xf numFmtId="0" fontId="0" fillId="41" borderId="48" xfId="0" applyFill="1" applyBorder="1" applyAlignment="1">
      <alignment horizontal="center" vertical="center"/>
    </xf>
    <xf numFmtId="0" fontId="90" fillId="2" borderId="1" xfId="0" applyFont="1" applyFill="1" applyBorder="1" applyAlignment="1">
      <alignment horizontal="center" vertical="center"/>
    </xf>
    <xf numFmtId="0" fontId="0" fillId="0" borderId="52" xfId="0" applyBorder="1"/>
    <xf numFmtId="0" fontId="0" fillId="41" borderId="52" xfId="0" applyFill="1" applyBorder="1" applyAlignment="1">
      <alignment horizontal="center" vertical="center"/>
    </xf>
    <xf numFmtId="204" fontId="0" fillId="41" borderId="51" xfId="0" applyNumberFormat="1" applyFill="1" applyBorder="1" applyAlignment="1">
      <alignment horizontal="center"/>
    </xf>
    <xf numFmtId="0" fontId="0" fillId="41" borderId="51" xfId="0" applyFill="1" applyBorder="1" applyAlignment="1">
      <alignment horizontal="center" vertical="center"/>
    </xf>
    <xf numFmtId="168" fontId="0" fillId="0" borderId="51" xfId="0" applyNumberFormat="1" applyBorder="1" applyAlignment="1">
      <alignment horizontal="center" vertical="center"/>
    </xf>
    <xf numFmtId="1" fontId="1" fillId="0" borderId="15" xfId="1" applyNumberFormat="1" applyBorder="1" applyAlignment="1">
      <alignment horizontal="center" vertical="center"/>
    </xf>
    <xf numFmtId="0" fontId="0" fillId="0" borderId="15" xfId="1" applyFont="1" applyBorder="1" applyAlignment="1">
      <alignment horizontal="center" vertical="center"/>
    </xf>
    <xf numFmtId="203" fontId="1" fillId="0" borderId="15" xfId="1" applyNumberFormat="1" applyBorder="1" applyAlignment="1">
      <alignment horizontal="center" vertical="center"/>
    </xf>
    <xf numFmtId="0" fontId="1" fillId="0" borderId="15" xfId="1" applyBorder="1" applyAlignment="1">
      <alignment horizontal="center" vertical="center"/>
    </xf>
    <xf numFmtId="0" fontId="0" fillId="0" borderId="15" xfId="1" applyFont="1" applyBorder="1" applyAlignment="1">
      <alignment horizontal="center" vertical="center" wrapText="1"/>
    </xf>
    <xf numFmtId="168" fontId="0" fillId="41" borderId="1" xfId="724" applyFont="1" applyFill="1" applyBorder="1"/>
    <xf numFmtId="168" fontId="0" fillId="0" borderId="15" xfId="724" applyFont="1" applyBorder="1" applyAlignment="1">
      <alignment horizontal="center" vertical="center"/>
    </xf>
    <xf numFmtId="168" fontId="0" fillId="41" borderId="1" xfId="0" applyNumberFormat="1" applyFill="1" applyBorder="1"/>
    <xf numFmtId="0" fontId="87" fillId="43" borderId="51" xfId="1" applyFont="1" applyFill="1" applyBorder="1" applyAlignment="1">
      <alignment vertical="center" wrapText="1"/>
    </xf>
    <xf numFmtId="0" fontId="87" fillId="2" borderId="51" xfId="1" applyFont="1" applyFill="1" applyBorder="1" applyAlignment="1">
      <alignment vertical="center" wrapText="1"/>
    </xf>
    <xf numFmtId="0" fontId="87" fillId="42" borderId="1" xfId="1" applyFont="1" applyFill="1" applyBorder="1" applyAlignment="1">
      <alignment horizontal="center" vertical="center" wrapText="1"/>
    </xf>
    <xf numFmtId="0" fontId="88" fillId="41" borderId="1" xfId="0" applyFont="1" applyFill="1" applyBorder="1" applyAlignment="1">
      <alignment vertical="center" wrapText="1"/>
    </xf>
    <xf numFmtId="0" fontId="88" fillId="0" borderId="1" xfId="0" applyFont="1" applyBorder="1" applyAlignment="1">
      <alignment vertical="center" wrapText="1"/>
    </xf>
    <xf numFmtId="0" fontId="89" fillId="0" borderId="1" xfId="0" applyFont="1" applyBorder="1" applyAlignment="1">
      <alignment horizontal="center" vertical="center"/>
    </xf>
    <xf numFmtId="15" fontId="0" fillId="0" borderId="1" xfId="0" applyNumberFormat="1" applyBorder="1" applyAlignment="1">
      <alignment horizontal="center" vertical="center"/>
    </xf>
    <xf numFmtId="15" fontId="0" fillId="0" borderId="1" xfId="0" applyNumberFormat="1" applyBorder="1" applyAlignment="1">
      <alignment horizontal="center"/>
    </xf>
    <xf numFmtId="15" fontId="0" fillId="0" borderId="48" xfId="0" applyNumberFormat="1" applyBorder="1" applyAlignment="1">
      <alignment horizontal="center" vertical="center"/>
    </xf>
    <xf numFmtId="168" fontId="0" fillId="0" borderId="1" xfId="724" applyFont="1" applyFill="1" applyBorder="1" applyAlignment="1">
      <alignment horizontal="right" vertical="center"/>
    </xf>
    <xf numFmtId="168" fontId="0" fillId="0" borderId="15" xfId="724" applyFont="1" applyFill="1" applyBorder="1" applyAlignment="1">
      <alignment horizontal="right" vertical="center"/>
    </xf>
    <xf numFmtId="0" fontId="0" fillId="0" borderId="1" xfId="0" applyBorder="1" applyAlignment="1">
      <alignment horizontal="right" vertical="center"/>
    </xf>
    <xf numFmtId="0" fontId="0" fillId="0" borderId="48" xfId="0" applyBorder="1" applyAlignment="1">
      <alignment horizontal="center" vertical="center"/>
    </xf>
    <xf numFmtId="0" fontId="0" fillId="0" borderId="48" xfId="1" applyFont="1" applyBorder="1" applyAlignment="1">
      <alignment horizontal="center" vertical="center"/>
    </xf>
    <xf numFmtId="168" fontId="0" fillId="0" borderId="48" xfId="724" applyFont="1" applyFill="1" applyBorder="1" applyAlignment="1">
      <alignment horizontal="right" vertical="center"/>
    </xf>
    <xf numFmtId="168" fontId="0" fillId="0" borderId="51" xfId="724" applyFont="1" applyFill="1" applyBorder="1" applyAlignment="1">
      <alignment horizontal="right" vertical="center"/>
    </xf>
    <xf numFmtId="0" fontId="0" fillId="0" borderId="1" xfId="0" applyBorder="1" applyAlignment="1">
      <alignment horizontal="right"/>
    </xf>
    <xf numFmtId="2" fontId="0" fillId="0" borderId="1" xfId="0" applyNumberFormat="1" applyBorder="1" applyAlignment="1">
      <alignment horizontal="right" vertical="center"/>
    </xf>
    <xf numFmtId="206" fontId="0" fillId="0" borderId="1" xfId="0" applyNumberFormat="1" applyBorder="1"/>
    <xf numFmtId="0" fontId="89" fillId="41" borderId="1" xfId="0" applyFont="1" applyFill="1" applyBorder="1" applyAlignment="1">
      <alignment horizontal="right"/>
    </xf>
    <xf numFmtId="0" fontId="95" fillId="0" borderId="1" xfId="0" applyFont="1" applyBorder="1" applyAlignment="1">
      <alignment horizontal="center" vertical="center"/>
    </xf>
    <xf numFmtId="0" fontId="95" fillId="0" borderId="48" xfId="0" applyFont="1" applyBorder="1" applyAlignment="1">
      <alignment horizontal="center" vertical="center"/>
    </xf>
    <xf numFmtId="0" fontId="89" fillId="0" borderId="1" xfId="0" applyFont="1" applyBorder="1"/>
    <xf numFmtId="0" fontId="89" fillId="0" borderId="1" xfId="0" applyFont="1" applyBorder="1" applyAlignment="1">
      <alignment horizontal="center"/>
    </xf>
    <xf numFmtId="15" fontId="0" fillId="0" borderId="1" xfId="1" applyNumberFormat="1" applyFont="1" applyBorder="1" applyAlignment="1">
      <alignment horizontal="center" vertical="center"/>
    </xf>
    <xf numFmtId="15" fontId="0" fillId="0" borderId="1" xfId="0" applyNumberFormat="1" applyBorder="1"/>
    <xf numFmtId="168" fontId="0" fillId="0" borderId="15" xfId="724" applyFont="1" applyFill="1" applyBorder="1" applyAlignment="1">
      <alignment horizontal="center" vertical="center"/>
    </xf>
    <xf numFmtId="168" fontId="3" fillId="0" borderId="59" xfId="726" applyFont="1" applyFill="1" applyBorder="1" applyAlignment="1">
      <alignment horizontal="center" vertical="center" wrapText="1"/>
    </xf>
    <xf numFmtId="0" fontId="0" fillId="0" borderId="27" xfId="0" applyBorder="1" applyAlignment="1">
      <alignment horizontal="right"/>
    </xf>
    <xf numFmtId="0" fontId="0" fillId="0" borderId="62" xfId="0" applyBorder="1" applyAlignment="1">
      <alignment horizontal="center" vertical="center"/>
    </xf>
    <xf numFmtId="0" fontId="97" fillId="0" borderId="1" xfId="0" applyFont="1" applyBorder="1" applyAlignment="1">
      <alignment vertical="center"/>
    </xf>
    <xf numFmtId="0" fontId="96" fillId="0" borderId="1" xfId="0" applyFont="1" applyBorder="1" applyAlignment="1">
      <alignment horizontal="center" vertical="center"/>
    </xf>
    <xf numFmtId="0" fontId="96" fillId="0" borderId="62" xfId="0" applyFont="1" applyBorder="1" applyAlignment="1">
      <alignment horizontal="center" vertical="center"/>
    </xf>
    <xf numFmtId="206" fontId="0" fillId="0" borderId="1" xfId="0" applyNumberFormat="1" applyBorder="1" applyAlignment="1">
      <alignment horizontal="right" vertical="center"/>
    </xf>
    <xf numFmtId="0" fontId="0" fillId="0" borderId="62" xfId="0" applyBorder="1"/>
    <xf numFmtId="206" fontId="0" fillId="0" borderId="62" xfId="0" applyNumberFormat="1" applyBorder="1" applyAlignment="1">
      <alignment horizontal="right"/>
    </xf>
    <xf numFmtId="0" fontId="0" fillId="0" borderId="62" xfId="0" applyBorder="1" applyAlignment="1">
      <alignment horizontal="right"/>
    </xf>
    <xf numFmtId="0" fontId="95" fillId="0" borderId="62" xfId="0" applyFont="1" applyBorder="1" applyAlignment="1">
      <alignment horizontal="center" vertical="center"/>
    </xf>
    <xf numFmtId="0" fontId="0" fillId="42" borderId="1" xfId="0" applyFill="1" applyBorder="1" applyAlignment="1">
      <alignment horizontal="center" vertical="center"/>
    </xf>
    <xf numFmtId="0" fontId="96" fillId="42" borderId="1" xfId="0" applyFont="1" applyFill="1" applyBorder="1" applyAlignment="1">
      <alignment horizontal="center" vertical="center"/>
    </xf>
    <xf numFmtId="0" fontId="0" fillId="0" borderId="65" xfId="0" applyBorder="1" applyAlignment="1">
      <alignment horizontal="center"/>
    </xf>
    <xf numFmtId="0" fontId="0" fillId="0" borderId="66" xfId="0" applyBorder="1" applyAlignment="1">
      <alignment horizontal="center"/>
    </xf>
    <xf numFmtId="17" fontId="0" fillId="0" borderId="67" xfId="0" applyNumberFormat="1" applyBorder="1" applyAlignment="1">
      <alignment horizontal="center"/>
    </xf>
    <xf numFmtId="0" fontId="0" fillId="44" borderId="65" xfId="0" applyFill="1" applyBorder="1" applyAlignment="1">
      <alignment horizontal="center" vertical="center"/>
    </xf>
    <xf numFmtId="0" fontId="0" fillId="44" borderId="66" xfId="0" applyFill="1" applyBorder="1" applyAlignment="1">
      <alignment horizontal="center" vertical="center"/>
    </xf>
    <xf numFmtId="0" fontId="0" fillId="44" borderId="67" xfId="0" applyFill="1" applyBorder="1" applyAlignment="1">
      <alignment horizontal="center" vertical="center"/>
    </xf>
    <xf numFmtId="0" fontId="98" fillId="40" borderId="1" xfId="0" applyFont="1" applyFill="1" applyBorder="1" applyAlignment="1">
      <alignment horizontal="center" vertical="center"/>
    </xf>
    <xf numFmtId="0" fontId="98" fillId="0" borderId="1" xfId="0" applyFont="1" applyBorder="1" applyAlignment="1">
      <alignment vertical="center"/>
    </xf>
    <xf numFmtId="0" fontId="98" fillId="0" borderId="1" xfId="0" applyFont="1" applyBorder="1" applyAlignment="1">
      <alignment horizontal="center"/>
    </xf>
    <xf numFmtId="0" fontId="98" fillId="40" borderId="1" xfId="0" applyFont="1" applyFill="1" applyBorder="1" applyAlignment="1">
      <alignment horizontal="center" vertical="center" wrapText="1"/>
    </xf>
    <xf numFmtId="0" fontId="0" fillId="0" borderId="1" xfId="0" applyBorder="1" applyAlignment="1">
      <alignment vertical="center"/>
    </xf>
    <xf numFmtId="0" fontId="98" fillId="0" borderId="1" xfId="0" applyFont="1" applyBorder="1" applyAlignment="1">
      <alignment horizontal="center" vertical="center"/>
    </xf>
    <xf numFmtId="0" fontId="98" fillId="0" borderId="1" xfId="0" applyFont="1" applyBorder="1" applyAlignment="1">
      <alignment horizontal="center" vertical="center" wrapText="1"/>
    </xf>
    <xf numFmtId="0" fontId="0" fillId="0" borderId="15" xfId="0" applyBorder="1" applyAlignment="1">
      <alignment vertical="center"/>
    </xf>
    <xf numFmtId="0" fontId="101" fillId="46" borderId="74" xfId="0" applyFont="1" applyFill="1" applyBorder="1" applyAlignment="1">
      <alignment horizontal="center" vertical="center"/>
    </xf>
    <xf numFmtId="0" fontId="101" fillId="46" borderId="75" xfId="0" applyFont="1" applyFill="1" applyBorder="1" applyAlignment="1">
      <alignment horizontal="center" vertical="center"/>
    </xf>
    <xf numFmtId="0" fontId="99" fillId="0" borderId="0" xfId="0" applyFont="1"/>
    <xf numFmtId="0" fontId="102" fillId="47" borderId="76" xfId="0" applyFont="1" applyFill="1" applyBorder="1" applyAlignment="1">
      <alignment vertical="center"/>
    </xf>
    <xf numFmtId="0" fontId="102" fillId="47" borderId="77" xfId="0" applyFont="1" applyFill="1" applyBorder="1" applyAlignment="1">
      <alignment vertical="center" wrapText="1"/>
    </xf>
    <xf numFmtId="0" fontId="102" fillId="47" borderId="77" xfId="0" applyFont="1" applyFill="1" applyBorder="1" applyAlignment="1">
      <alignment horizontal="center" vertical="center" wrapText="1"/>
    </xf>
    <xf numFmtId="0" fontId="103" fillId="47" borderId="77" xfId="0" applyFont="1" applyFill="1" applyBorder="1" applyAlignment="1">
      <alignment horizontal="center" vertical="center" wrapText="1"/>
    </xf>
    <xf numFmtId="0" fontId="104" fillId="47" borderId="0" xfId="0" applyFont="1" applyFill="1" applyAlignment="1">
      <alignment vertical="center"/>
    </xf>
    <xf numFmtId="0" fontId="104" fillId="46" borderId="0" xfId="0" applyFont="1" applyFill="1" applyAlignment="1">
      <alignment vertical="center"/>
    </xf>
    <xf numFmtId="0" fontId="91" fillId="48" borderId="78" xfId="0" applyFont="1" applyFill="1" applyBorder="1" applyAlignment="1">
      <alignment horizontal="center" vertical="center"/>
    </xf>
    <xf numFmtId="0" fontId="97" fillId="48" borderId="79" xfId="0" applyFont="1" applyFill="1" applyBorder="1" applyAlignment="1">
      <alignment horizontal="center" vertical="center" wrapText="1"/>
    </xf>
    <xf numFmtId="0" fontId="105" fillId="48" borderId="80" xfId="0" applyFont="1" applyFill="1" applyBorder="1" applyAlignment="1">
      <alignment vertical="center"/>
    </xf>
    <xf numFmtId="0" fontId="106" fillId="48" borderId="80" xfId="0" applyFont="1" applyFill="1" applyBorder="1" applyAlignment="1">
      <alignment vertical="center"/>
    </xf>
    <xf numFmtId="0" fontId="106" fillId="48" borderId="81" xfId="0" applyFont="1" applyFill="1" applyBorder="1" applyAlignment="1">
      <alignment vertical="center"/>
    </xf>
    <xf numFmtId="0" fontId="107" fillId="48" borderId="13" xfId="0" applyFont="1" applyFill="1" applyBorder="1" applyAlignment="1">
      <alignment horizontal="center" vertical="center"/>
    </xf>
    <xf numFmtId="0" fontId="108" fillId="47" borderId="82" xfId="0" applyFont="1" applyFill="1" applyBorder="1" applyAlignment="1">
      <alignment horizontal="center" vertical="center" wrapText="1"/>
    </xf>
    <xf numFmtId="0" fontId="109" fillId="47" borderId="83" xfId="0" applyFont="1" applyFill="1" applyBorder="1" applyAlignment="1">
      <alignment vertical="center" wrapText="1"/>
    </xf>
    <xf numFmtId="0" fontId="110" fillId="47" borderId="79" xfId="0" applyFont="1" applyFill="1" applyBorder="1" applyAlignment="1">
      <alignment vertical="center" wrapText="1"/>
    </xf>
    <xf numFmtId="0" fontId="111" fillId="47" borderId="79" xfId="0" applyFont="1" applyFill="1" applyBorder="1" applyAlignment="1">
      <alignment vertical="center" wrapText="1"/>
    </xf>
    <xf numFmtId="0" fontId="111" fillId="49" borderId="83" xfId="0" applyFont="1" applyFill="1" applyBorder="1" applyAlignment="1">
      <alignment vertical="center" wrapText="1"/>
    </xf>
    <xf numFmtId="0" fontId="91" fillId="50" borderId="83" xfId="0" applyFont="1" applyFill="1" applyBorder="1" applyAlignment="1">
      <alignment horizontal="center" vertical="center" wrapText="1"/>
    </xf>
    <xf numFmtId="0" fontId="0" fillId="50" borderId="83" xfId="0" applyFill="1" applyBorder="1" applyAlignment="1">
      <alignment vertical="center" wrapText="1"/>
    </xf>
    <xf numFmtId="0" fontId="106" fillId="47" borderId="0" xfId="0" applyFont="1" applyFill="1" applyAlignment="1">
      <alignment vertical="center"/>
    </xf>
    <xf numFmtId="0" fontId="110" fillId="42" borderId="0" xfId="0" applyFont="1" applyFill="1" applyAlignment="1">
      <alignment vertical="center"/>
    </xf>
    <xf numFmtId="0" fontId="111" fillId="42" borderId="84" xfId="0" applyFont="1" applyFill="1" applyBorder="1" applyAlignment="1">
      <alignment vertical="center" wrapText="1"/>
    </xf>
    <xf numFmtId="0" fontId="111" fillId="49" borderId="84" xfId="0" applyFont="1" applyFill="1" applyBorder="1" applyAlignment="1">
      <alignment vertical="center" wrapText="1"/>
    </xf>
    <xf numFmtId="0" fontId="106" fillId="42" borderId="0" xfId="0" applyFont="1" applyFill="1" applyAlignment="1">
      <alignment vertical="center"/>
    </xf>
    <xf numFmtId="0" fontId="97" fillId="48" borderId="85" xfId="0" applyFont="1" applyFill="1" applyBorder="1" applyAlignment="1">
      <alignment horizontal="center" vertical="center" wrapText="1"/>
    </xf>
    <xf numFmtId="0" fontId="106" fillId="48" borderId="86" xfId="0" applyFont="1" applyFill="1" applyBorder="1" applyAlignment="1">
      <alignment vertical="center"/>
    </xf>
    <xf numFmtId="0" fontId="106" fillId="48" borderId="87" xfId="0" applyFont="1" applyFill="1" applyBorder="1" applyAlignment="1">
      <alignment vertical="center"/>
    </xf>
    <xf numFmtId="0" fontId="106" fillId="49" borderId="83" xfId="0" applyFont="1" applyFill="1" applyBorder="1" applyAlignment="1">
      <alignment vertical="center"/>
    </xf>
    <xf numFmtId="0" fontId="109" fillId="47" borderId="79" xfId="0" applyFont="1" applyFill="1" applyBorder="1" applyAlignment="1">
      <alignment vertical="center" wrapText="1"/>
    </xf>
    <xf numFmtId="0" fontId="106" fillId="48" borderId="88" xfId="0" applyFont="1" applyFill="1" applyBorder="1" applyAlignment="1">
      <alignment vertical="center"/>
    </xf>
    <xf numFmtId="0" fontId="108" fillId="47" borderId="79" xfId="0" applyFont="1" applyFill="1" applyBorder="1" applyAlignment="1">
      <alignment vertical="center" wrapText="1"/>
    </xf>
    <xf numFmtId="0" fontId="111" fillId="42" borderId="79" xfId="0" applyFont="1" applyFill="1" applyBorder="1" applyAlignment="1">
      <alignment vertical="center" wrapText="1"/>
    </xf>
    <xf numFmtId="0" fontId="91" fillId="49" borderId="83" xfId="0" applyFont="1" applyFill="1" applyBorder="1" applyAlignment="1">
      <alignment vertical="center"/>
    </xf>
    <xf numFmtId="0" fontId="108" fillId="0" borderId="79" xfId="0" applyFont="1" applyBorder="1" applyAlignment="1">
      <alignment vertical="center" wrapText="1"/>
    </xf>
    <xf numFmtId="0" fontId="109" fillId="42" borderId="83" xfId="0" applyFont="1" applyFill="1" applyBorder="1" applyAlignment="1">
      <alignment vertical="center" wrapText="1"/>
    </xf>
    <xf numFmtId="0" fontId="111" fillId="0" borderId="79" xfId="0" applyFont="1" applyBorder="1" applyAlignment="1">
      <alignment vertical="center" wrapText="1"/>
    </xf>
    <xf numFmtId="0" fontId="91" fillId="49" borderId="84" xfId="0" applyFont="1" applyFill="1" applyBorder="1" applyAlignment="1">
      <alignment vertical="center"/>
    </xf>
    <xf numFmtId="0" fontId="111" fillId="42" borderId="83" xfId="0" applyFont="1" applyFill="1" applyBorder="1" applyAlignment="1">
      <alignment vertical="center" wrapText="1"/>
    </xf>
    <xf numFmtId="14" fontId="91" fillId="50" borderId="83" xfId="0" applyNumberFormat="1" applyFont="1" applyFill="1" applyBorder="1" applyAlignment="1">
      <alignment horizontal="center" vertical="center" wrapText="1"/>
    </xf>
    <xf numFmtId="0" fontId="113" fillId="47" borderId="79" xfId="0" applyFont="1" applyFill="1" applyBorder="1" applyAlignment="1">
      <alignment vertical="center" wrapText="1"/>
    </xf>
    <xf numFmtId="0" fontId="91" fillId="47" borderId="83" xfId="0" applyFont="1" applyFill="1" applyBorder="1" applyAlignment="1">
      <alignment vertical="center"/>
    </xf>
    <xf numFmtId="0" fontId="114" fillId="47" borderId="79" xfId="0" applyFont="1" applyFill="1" applyBorder="1" applyAlignment="1">
      <alignment vertical="center" wrapText="1"/>
    </xf>
    <xf numFmtId="0" fontId="106" fillId="45" borderId="0" xfId="0" applyFont="1" applyFill="1" applyAlignment="1">
      <alignment vertical="center"/>
    </xf>
    <xf numFmtId="0" fontId="91" fillId="49" borderId="89" xfId="0" applyFont="1" applyFill="1" applyBorder="1" applyAlignment="1">
      <alignment vertical="center"/>
    </xf>
    <xf numFmtId="14" fontId="106" fillId="45" borderId="0" xfId="0" applyNumberFormat="1" applyFont="1" applyFill="1" applyAlignment="1">
      <alignment vertical="center"/>
    </xf>
    <xf numFmtId="0" fontId="111" fillId="42" borderId="90" xfId="0" applyFont="1" applyFill="1" applyBorder="1" applyAlignment="1">
      <alignment vertical="center" wrapText="1"/>
    </xf>
    <xf numFmtId="0" fontId="113" fillId="42" borderId="79" xfId="0" applyFont="1" applyFill="1" applyBorder="1" applyAlignment="1">
      <alignment vertical="center" wrapText="1"/>
    </xf>
    <xf numFmtId="0" fontId="109" fillId="47" borderId="84" xfId="0" applyFont="1" applyFill="1" applyBorder="1" applyAlignment="1">
      <alignment vertical="center" wrapText="1"/>
    </xf>
    <xf numFmtId="0" fontId="108" fillId="42" borderId="79" xfId="0" applyFont="1" applyFill="1" applyBorder="1" applyAlignment="1">
      <alignment vertical="center" wrapText="1"/>
    </xf>
    <xf numFmtId="0" fontId="108" fillId="49" borderId="80" xfId="0" applyFont="1" applyFill="1" applyBorder="1" applyAlignment="1">
      <alignment horizontal="center" vertical="center" wrapText="1"/>
    </xf>
    <xf numFmtId="0" fontId="96" fillId="49" borderId="0" xfId="0" applyFont="1" applyFill="1" applyAlignment="1">
      <alignment vertical="center" wrapText="1"/>
    </xf>
    <xf numFmtId="0" fontId="110" fillId="47" borderId="82" xfId="0" applyFont="1" applyFill="1" applyBorder="1" applyAlignment="1">
      <alignment vertical="center" wrapText="1"/>
    </xf>
    <xf numFmtId="0" fontId="113" fillId="47" borderId="83" xfId="0" applyFont="1" applyFill="1" applyBorder="1" applyAlignment="1">
      <alignment vertical="center" wrapText="1"/>
    </xf>
    <xf numFmtId="0" fontId="115" fillId="0" borderId="0" xfId="0" applyFont="1" applyAlignment="1">
      <alignment vertical="center"/>
    </xf>
    <xf numFmtId="0" fontId="98" fillId="52" borderId="1" xfId="0" applyFont="1" applyFill="1" applyBorder="1" applyAlignment="1">
      <alignment horizontal="center" vertical="center"/>
    </xf>
    <xf numFmtId="0" fontId="0" fillId="52" borderId="1" xfId="0" applyFill="1" applyBorder="1"/>
    <xf numFmtId="0" fontId="0" fillId="41" borderId="1" xfId="0" applyFill="1" applyBorder="1" applyAlignment="1">
      <alignment horizontal="center" vertical="center" wrapText="1"/>
    </xf>
    <xf numFmtId="0" fontId="98" fillId="53" borderId="15" xfId="0" applyFont="1" applyFill="1" applyBorder="1" applyAlignment="1">
      <alignment horizontal="center" vertical="center"/>
    </xf>
    <xf numFmtId="0" fontId="98" fillId="53" borderId="63" xfId="0" applyFont="1" applyFill="1" applyBorder="1" applyAlignment="1">
      <alignment horizontal="center" vertical="center"/>
    </xf>
    <xf numFmtId="0" fontId="98" fillId="53" borderId="64" xfId="0" applyFont="1" applyFill="1" applyBorder="1" applyAlignment="1">
      <alignment horizontal="center" vertical="center"/>
    </xf>
    <xf numFmtId="0" fontId="98" fillId="53" borderId="65" xfId="0" applyFont="1" applyFill="1" applyBorder="1" applyAlignment="1">
      <alignment horizontal="center" vertical="center"/>
    </xf>
    <xf numFmtId="0" fontId="98" fillId="53" borderId="66" xfId="0" applyFont="1" applyFill="1" applyBorder="1" applyAlignment="1">
      <alignment horizontal="center" vertical="center" wrapText="1"/>
    </xf>
    <xf numFmtId="0" fontId="98" fillId="53" borderId="66" xfId="0" applyFont="1" applyFill="1" applyBorder="1" applyAlignment="1">
      <alignment horizontal="center" vertical="center"/>
    </xf>
    <xf numFmtId="0" fontId="0" fillId="53" borderId="66" xfId="0" applyFill="1" applyBorder="1" applyAlignment="1">
      <alignment vertical="center"/>
    </xf>
    <xf numFmtId="0" fontId="98" fillId="53" borderId="67" xfId="0" applyFont="1" applyFill="1" applyBorder="1" applyAlignment="1">
      <alignment horizontal="center" vertical="center"/>
    </xf>
    <xf numFmtId="0" fontId="0" fillId="53" borderId="65" xfId="0" applyFill="1" applyBorder="1" applyAlignment="1">
      <alignment horizontal="center" vertical="center"/>
    </xf>
    <xf numFmtId="0" fontId="98" fillId="53" borderId="26" xfId="0" applyFont="1" applyFill="1" applyBorder="1" applyAlignment="1">
      <alignment horizontal="center" vertical="center"/>
    </xf>
    <xf numFmtId="0" fontId="98" fillId="53" borderId="26" xfId="0" applyFont="1" applyFill="1" applyBorder="1" applyAlignment="1">
      <alignment horizontal="center" vertical="center" wrapText="1"/>
    </xf>
    <xf numFmtId="0" fontId="98" fillId="40" borderId="107" xfId="0" applyFont="1" applyFill="1" applyBorder="1" applyAlignment="1">
      <alignment horizontal="center" vertical="center"/>
    </xf>
    <xf numFmtId="0" fontId="98" fillId="40" borderId="102" xfId="0" applyFont="1" applyFill="1" applyBorder="1" applyAlignment="1">
      <alignment horizontal="center" vertical="center"/>
    </xf>
    <xf numFmtId="0" fontId="98" fillId="40" borderId="102" xfId="0" applyFont="1" applyFill="1" applyBorder="1" applyAlignment="1">
      <alignment horizontal="center" vertical="center" wrapText="1"/>
    </xf>
    <xf numFmtId="0" fontId="98" fillId="40" borderId="103" xfId="0" applyFont="1" applyFill="1" applyBorder="1" applyAlignment="1">
      <alignment horizontal="center" vertical="center"/>
    </xf>
    <xf numFmtId="0" fontId="98" fillId="53" borderId="100" xfId="0" applyFont="1" applyFill="1" applyBorder="1" applyAlignment="1">
      <alignment horizontal="center" vertical="center"/>
    </xf>
    <xf numFmtId="0" fontId="98" fillId="53" borderId="110" xfId="0" applyFont="1" applyFill="1" applyBorder="1" applyAlignment="1">
      <alignment horizontal="center" vertical="center"/>
    </xf>
    <xf numFmtId="0" fontId="0" fillId="54" borderId="1" xfId="0" applyFill="1" applyBorder="1" applyAlignment="1">
      <alignment horizontal="center" vertical="center" wrapText="1"/>
    </xf>
    <xf numFmtId="0" fontId="98" fillId="53" borderId="1" xfId="0" applyFont="1" applyFill="1" applyBorder="1" applyAlignment="1">
      <alignment horizontal="center" vertical="center"/>
    </xf>
    <xf numFmtId="0" fontId="98" fillId="41" borderId="1" xfId="0" applyFont="1" applyFill="1" applyBorder="1" applyAlignment="1">
      <alignment horizontal="center" vertical="center"/>
    </xf>
    <xf numFmtId="0" fontId="98" fillId="41" borderId="1" xfId="0" applyFont="1" applyFill="1" applyBorder="1" applyAlignment="1">
      <alignment horizontal="center" vertical="center" wrapText="1"/>
    </xf>
    <xf numFmtId="0" fontId="0" fillId="52" borderId="1" xfId="0" applyFill="1" applyBorder="1" applyAlignment="1">
      <alignment horizontal="center" vertical="center"/>
    </xf>
    <xf numFmtId="0" fontId="98" fillId="53" borderId="24" xfId="0" applyFont="1" applyFill="1" applyBorder="1" applyAlignment="1">
      <alignment horizontal="center" vertical="center"/>
    </xf>
    <xf numFmtId="0" fontId="98" fillId="40" borderId="113" xfId="0" applyFont="1" applyFill="1" applyBorder="1" applyAlignment="1">
      <alignment horizontal="center" vertical="center" wrapText="1"/>
    </xf>
    <xf numFmtId="0" fontId="98" fillId="53" borderId="114" xfId="0" applyFont="1" applyFill="1" applyBorder="1" applyAlignment="1">
      <alignment horizontal="center" vertical="center"/>
    </xf>
    <xf numFmtId="0" fontId="98" fillId="53" borderId="77" xfId="0" applyFont="1" applyFill="1" applyBorder="1" applyAlignment="1">
      <alignment horizontal="center" vertical="center"/>
    </xf>
    <xf numFmtId="0" fontId="98" fillId="55" borderId="110" xfId="0" applyFont="1" applyFill="1" applyBorder="1" applyAlignment="1">
      <alignment horizontal="center" vertical="center"/>
    </xf>
    <xf numFmtId="0" fontId="98" fillId="55" borderId="26" xfId="0" applyFont="1" applyFill="1" applyBorder="1" applyAlignment="1">
      <alignment horizontal="center" vertical="center" wrapText="1"/>
    </xf>
    <xf numFmtId="0" fontId="98" fillId="55" borderId="26" xfId="0" applyFont="1" applyFill="1" applyBorder="1" applyAlignment="1">
      <alignment horizontal="center" vertical="center"/>
    </xf>
    <xf numFmtId="0" fontId="0" fillId="55" borderId="0" xfId="0" applyFill="1"/>
    <xf numFmtId="0" fontId="98" fillId="55" borderId="24" xfId="0" applyFont="1" applyFill="1" applyBorder="1" applyAlignment="1">
      <alignment horizontal="center" vertical="center"/>
    </xf>
    <xf numFmtId="0" fontId="98" fillId="55" borderId="69" xfId="0" applyFont="1" applyFill="1" applyBorder="1" applyAlignment="1">
      <alignment horizontal="center" vertical="center" wrapText="1"/>
    </xf>
    <xf numFmtId="0" fontId="98" fillId="55" borderId="63" xfId="0" applyFont="1" applyFill="1" applyBorder="1" applyAlignment="1">
      <alignment horizontal="center" vertical="center"/>
    </xf>
    <xf numFmtId="0" fontId="0" fillId="55" borderId="106" xfId="0" applyFill="1" applyBorder="1"/>
    <xf numFmtId="0" fontId="98" fillId="55" borderId="64" xfId="0" applyFont="1" applyFill="1" applyBorder="1" applyAlignment="1">
      <alignment horizontal="center" vertical="center"/>
    </xf>
    <xf numFmtId="0" fontId="0" fillId="55" borderId="13" xfId="0" applyFill="1" applyBorder="1"/>
    <xf numFmtId="0" fontId="98" fillId="55" borderId="111" xfId="0" applyFont="1" applyFill="1" applyBorder="1" applyAlignment="1">
      <alignment horizontal="center" vertical="center"/>
    </xf>
    <xf numFmtId="0" fontId="0" fillId="55" borderId="1" xfId="0" applyFill="1" applyBorder="1" applyAlignment="1">
      <alignment horizontal="center" vertical="center" wrapText="1"/>
    </xf>
    <xf numFmtId="0" fontId="98" fillId="55" borderId="1" xfId="0" applyFont="1" applyFill="1" applyBorder="1" applyAlignment="1">
      <alignment horizontal="center" vertical="center" wrapText="1"/>
    </xf>
    <xf numFmtId="0" fontId="88" fillId="55" borderId="1" xfId="0" applyFont="1" applyFill="1" applyBorder="1" applyAlignment="1">
      <alignment horizontal="center" vertical="center" wrapText="1"/>
    </xf>
    <xf numFmtId="0" fontId="0" fillId="55" borderId="26" xfId="0" applyFill="1" applyBorder="1" applyAlignment="1">
      <alignment horizontal="center" vertical="center" wrapText="1"/>
    </xf>
    <xf numFmtId="0" fontId="90" fillId="0" borderId="0" xfId="0" applyFont="1" applyAlignment="1">
      <alignment horizontal="center" vertical="center"/>
    </xf>
    <xf numFmtId="0" fontId="98" fillId="49" borderId="1" xfId="0" applyFont="1" applyFill="1" applyBorder="1" applyAlignment="1">
      <alignment horizontal="center" vertical="center"/>
    </xf>
    <xf numFmtId="0" fontId="0" fillId="0" borderId="15" xfId="0" applyBorder="1" applyAlignment="1">
      <alignment horizontal="center" vertical="center"/>
    </xf>
    <xf numFmtId="0" fontId="96" fillId="0" borderId="15" xfId="0" applyFont="1" applyBorder="1" applyAlignment="1">
      <alignment horizontal="center" vertical="center"/>
    </xf>
    <xf numFmtId="0" fontId="0" fillId="0" borderId="120" xfId="0" applyBorder="1" applyAlignment="1">
      <alignment horizontal="center" vertical="center"/>
    </xf>
    <xf numFmtId="0" fontId="0" fillId="0" borderId="63" xfId="0" applyBorder="1" applyAlignment="1">
      <alignment horizontal="center" vertical="center"/>
    </xf>
    <xf numFmtId="0" fontId="96" fillId="0" borderId="63" xfId="0" applyFont="1" applyBorder="1" applyAlignment="1">
      <alignment horizontal="center" vertical="center"/>
    </xf>
    <xf numFmtId="0" fontId="0" fillId="0" borderId="63" xfId="0" applyBorder="1"/>
    <xf numFmtId="0" fontId="0" fillId="0" borderId="121" xfId="0" applyBorder="1" applyAlignment="1">
      <alignment horizontal="center" vertical="center"/>
    </xf>
    <xf numFmtId="0" fontId="0" fillId="0" borderId="122" xfId="0" applyBorder="1" applyAlignment="1">
      <alignment horizontal="center" vertical="center"/>
    </xf>
    <xf numFmtId="0" fontId="0" fillId="0" borderId="64" xfId="0" applyBorder="1" applyAlignment="1">
      <alignment horizontal="center" vertical="center"/>
    </xf>
    <xf numFmtId="0" fontId="96" fillId="0" borderId="64" xfId="0" applyFont="1" applyBorder="1" applyAlignment="1">
      <alignment horizontal="center" vertical="center"/>
    </xf>
    <xf numFmtId="0" fontId="0" fillId="0" borderId="64" xfId="0" applyBorder="1"/>
    <xf numFmtId="0" fontId="0" fillId="0" borderId="123" xfId="0" applyBorder="1"/>
    <xf numFmtId="0" fontId="0" fillId="0" borderId="106" xfId="0" applyBorder="1"/>
    <xf numFmtId="0" fontId="0" fillId="0" borderId="13" xfId="0" applyBorder="1"/>
    <xf numFmtId="206" fontId="0" fillId="0" borderId="123" xfId="0" applyNumberFormat="1" applyBorder="1" applyAlignment="1">
      <alignment horizontal="right"/>
    </xf>
    <xf numFmtId="0" fontId="98" fillId="42" borderId="1" xfId="0" applyFont="1" applyFill="1" applyBorder="1" applyAlignment="1">
      <alignment horizontal="center" vertical="center"/>
    </xf>
    <xf numFmtId="0" fontId="0" fillId="42" borderId="1" xfId="0" applyFill="1" applyBorder="1" applyAlignment="1">
      <alignment horizontal="center" vertical="center" wrapText="1"/>
    </xf>
    <xf numFmtId="0" fontId="0" fillId="42" borderId="1" xfId="0" applyFill="1" applyBorder="1" applyAlignment="1">
      <alignment horizontal="center"/>
    </xf>
    <xf numFmtId="0" fontId="117" fillId="56" borderId="0" xfId="0" applyFont="1" applyFill="1"/>
    <xf numFmtId="49" fontId="0" fillId="0" borderId="0" xfId="0" applyNumberFormat="1"/>
    <xf numFmtId="0" fontId="93" fillId="52" borderId="1" xfId="0" applyFont="1" applyFill="1" applyBorder="1"/>
    <xf numFmtId="0" fontId="118" fillId="52" borderId="1" xfId="0" applyFont="1" applyFill="1" applyBorder="1"/>
    <xf numFmtId="49" fontId="0" fillId="0" borderId="1" xfId="0" applyNumberFormat="1" applyBorder="1"/>
    <xf numFmtId="2" fontId="118" fillId="52" borderId="1" xfId="0" applyNumberFormat="1" applyFont="1" applyFill="1" applyBorder="1"/>
    <xf numFmtId="0" fontId="0" fillId="0" borderId="124" xfId="0" applyBorder="1"/>
    <xf numFmtId="2" fontId="0" fillId="0" borderId="124" xfId="0" applyNumberFormat="1" applyBorder="1"/>
    <xf numFmtId="0" fontId="90" fillId="0" borderId="65" xfId="0" applyFont="1" applyBorder="1"/>
    <xf numFmtId="0" fontId="90" fillId="0" borderId="66" xfId="0" applyFont="1" applyBorder="1"/>
    <xf numFmtId="0" fontId="90" fillId="0" borderId="67" xfId="0" applyFont="1" applyBorder="1"/>
    <xf numFmtId="49" fontId="0" fillId="0" borderId="124" xfId="0" applyNumberFormat="1" applyBorder="1"/>
    <xf numFmtId="49" fontId="90" fillId="0" borderId="74" xfId="0" applyNumberFormat="1" applyFont="1" applyBorder="1"/>
    <xf numFmtId="0" fontId="0" fillId="0" borderId="1" xfId="0" applyBorder="1" applyAlignment="1">
      <alignment horizontal="center" vertical="center" wrapText="1"/>
    </xf>
    <xf numFmtId="0" fontId="98" fillId="57" borderId="1" xfId="0" applyFont="1" applyFill="1" applyBorder="1" applyAlignment="1">
      <alignment horizontal="center"/>
    </xf>
    <xf numFmtId="0" fontId="98" fillId="57" borderId="1" xfId="0" applyFont="1" applyFill="1" applyBorder="1" applyAlignment="1">
      <alignment horizontal="center" vertical="center" wrapText="1"/>
    </xf>
    <xf numFmtId="0" fontId="98" fillId="0" borderId="26" xfId="0" applyFont="1" applyBorder="1" applyAlignment="1">
      <alignment horizontal="center" vertical="center" wrapText="1"/>
    </xf>
    <xf numFmtId="0" fontId="87" fillId="2" borderId="126" xfId="1" applyFont="1" applyFill="1" applyBorder="1" applyAlignment="1">
      <alignment vertical="center" wrapText="1"/>
    </xf>
    <xf numFmtId="0" fontId="87" fillId="43" borderId="126" xfId="1" applyFont="1" applyFill="1" applyBorder="1" applyAlignment="1">
      <alignment vertical="center" wrapText="1"/>
    </xf>
    <xf numFmtId="0" fontId="96" fillId="0" borderId="126" xfId="0" applyFont="1" applyBorder="1" applyAlignment="1">
      <alignment horizontal="center" vertical="center"/>
    </xf>
    <xf numFmtId="0" fontId="0" fillId="0" borderId="126" xfId="0" applyBorder="1" applyAlignment="1">
      <alignment horizontal="center" vertical="center"/>
    </xf>
    <xf numFmtId="0" fontId="95" fillId="0" borderId="126" xfId="0" applyFont="1" applyBorder="1" applyAlignment="1">
      <alignment horizontal="center" vertical="center"/>
    </xf>
    <xf numFmtId="0" fontId="0" fillId="0" borderId="126" xfId="0" applyBorder="1"/>
    <xf numFmtId="206" fontId="0" fillId="0" borderId="126" xfId="0" applyNumberFormat="1" applyBorder="1" applyAlignment="1">
      <alignment horizontal="right"/>
    </xf>
    <xf numFmtId="0" fontId="0" fillId="0" borderId="126" xfId="0" applyBorder="1" applyAlignment="1">
      <alignment horizontal="right"/>
    </xf>
    <xf numFmtId="0" fontId="0" fillId="0" borderId="127" xfId="0" applyBorder="1"/>
    <xf numFmtId="0" fontId="0" fillId="0" borderId="130" xfId="0" applyBorder="1"/>
    <xf numFmtId="0" fontId="98" fillId="0" borderId="130" xfId="0" applyFont="1" applyBorder="1" applyAlignment="1">
      <alignment horizontal="center" vertical="center" wrapText="1"/>
    </xf>
    <xf numFmtId="0" fontId="98" fillId="0" borderId="130" xfId="0" applyFont="1" applyBorder="1" applyAlignment="1">
      <alignment horizontal="center" vertical="center"/>
    </xf>
    <xf numFmtId="0" fontId="0" fillId="0" borderId="130" xfId="0" applyBorder="1" applyAlignment="1">
      <alignment horizontal="center" vertical="center"/>
    </xf>
    <xf numFmtId="168" fontId="0" fillId="0" borderId="130" xfId="0" applyNumberFormat="1" applyBorder="1"/>
    <xf numFmtId="2" fontId="0" fillId="0" borderId="130" xfId="0" applyNumberFormat="1" applyBorder="1"/>
    <xf numFmtId="0" fontId="0" fillId="0" borderId="63" xfId="0" applyBorder="1" applyAlignment="1">
      <alignment vertical="center"/>
    </xf>
    <xf numFmtId="0" fontId="0" fillId="0" borderId="131" xfId="0" applyBorder="1"/>
    <xf numFmtId="0" fontId="0" fillId="0" borderId="132" xfId="0" applyBorder="1"/>
    <xf numFmtId="0" fontId="0" fillId="0" borderId="64" xfId="0" applyBorder="1" applyAlignment="1">
      <alignment vertical="center"/>
    </xf>
    <xf numFmtId="0" fontId="0" fillId="0" borderId="133" xfId="0" applyBorder="1"/>
    <xf numFmtId="0" fontId="0" fillId="0" borderId="26" xfId="0" applyBorder="1"/>
    <xf numFmtId="0" fontId="0" fillId="0" borderId="66" xfId="0" applyBorder="1"/>
    <xf numFmtId="2" fontId="0" fillId="0" borderId="66" xfId="0" applyNumberFormat="1" applyBorder="1"/>
    <xf numFmtId="0" fontId="0" fillId="0" borderId="67" xfId="0" applyBorder="1"/>
    <xf numFmtId="0" fontId="0" fillId="0" borderId="135" xfId="0" applyBorder="1" applyAlignment="1">
      <alignment vertical="center"/>
    </xf>
    <xf numFmtId="0" fontId="0" fillId="0" borderId="135" xfId="0" applyBorder="1"/>
    <xf numFmtId="0" fontId="98" fillId="0" borderId="63" xfId="0" applyFont="1" applyBorder="1" applyAlignment="1">
      <alignment horizontal="center" vertical="center" wrapText="1"/>
    </xf>
    <xf numFmtId="0" fontId="98" fillId="0" borderId="63" xfId="0" applyFont="1" applyBorder="1" applyAlignment="1">
      <alignment horizontal="center" vertical="center"/>
    </xf>
    <xf numFmtId="0" fontId="0" fillId="0" borderId="131" xfId="0" applyBorder="1" applyAlignment="1">
      <alignment vertical="center"/>
    </xf>
    <xf numFmtId="0" fontId="98" fillId="0" borderId="64" xfId="0" applyFont="1" applyBorder="1" applyAlignment="1">
      <alignment horizontal="center" vertical="center" wrapText="1"/>
    </xf>
    <xf numFmtId="0" fontId="98" fillId="0" borderId="64" xfId="0" applyFont="1" applyBorder="1" applyAlignment="1">
      <alignment horizontal="center" vertical="center"/>
    </xf>
    <xf numFmtId="0" fontId="0" fillId="0" borderId="133" xfId="0" applyBorder="1" applyAlignment="1">
      <alignment vertical="center"/>
    </xf>
    <xf numFmtId="2" fontId="0" fillId="0" borderId="63" xfId="0" applyNumberFormat="1" applyBorder="1"/>
    <xf numFmtId="2" fontId="0" fillId="0" borderId="64" xfId="0" applyNumberFormat="1" applyBorder="1"/>
    <xf numFmtId="2" fontId="0" fillId="0" borderId="26" xfId="0" applyNumberFormat="1" applyBorder="1"/>
    <xf numFmtId="0" fontId="87" fillId="2" borderId="134" xfId="1" applyFont="1" applyFill="1" applyBorder="1" applyAlignment="1">
      <alignment vertical="center" wrapText="1"/>
    </xf>
    <xf numFmtId="0" fontId="0" fillId="0" borderId="134" xfId="0" applyBorder="1"/>
    <xf numFmtId="0" fontId="98" fillId="58" borderId="63" xfId="0" applyFont="1" applyFill="1" applyBorder="1" applyAlignment="1">
      <alignment horizontal="center" vertical="center" wrapText="1"/>
    </xf>
    <xf numFmtId="0" fontId="98" fillId="58" borderId="63" xfId="0" applyFont="1" applyFill="1" applyBorder="1" applyAlignment="1">
      <alignment horizontal="center" vertical="center"/>
    </xf>
    <xf numFmtId="0" fontId="0" fillId="58" borderId="63" xfId="0" applyFill="1" applyBorder="1" applyAlignment="1">
      <alignment horizontal="center" vertical="center"/>
    </xf>
    <xf numFmtId="168" fontId="0" fillId="58" borderId="136" xfId="724" applyFont="1" applyFill="1" applyBorder="1" applyAlignment="1">
      <alignment vertical="center"/>
    </xf>
    <xf numFmtId="0" fontId="98" fillId="58" borderId="64" xfId="0" applyFont="1" applyFill="1" applyBorder="1" applyAlignment="1">
      <alignment horizontal="center" vertical="center" wrapText="1"/>
    </xf>
    <xf numFmtId="0" fontId="98" fillId="58" borderId="64" xfId="0" applyFont="1" applyFill="1" applyBorder="1" applyAlignment="1">
      <alignment horizontal="center" vertical="center"/>
    </xf>
    <xf numFmtId="0" fontId="0" fillId="58" borderId="64" xfId="0" applyFill="1" applyBorder="1" applyAlignment="1">
      <alignment horizontal="center" vertical="center"/>
    </xf>
    <xf numFmtId="168" fontId="0" fillId="58" borderId="137" xfId="724" applyFont="1" applyFill="1" applyBorder="1" applyAlignment="1">
      <alignment vertical="center"/>
    </xf>
    <xf numFmtId="0" fontId="0" fillId="58" borderId="65" xfId="0" applyFill="1" applyBorder="1"/>
    <xf numFmtId="0" fontId="0" fillId="58" borderId="66" xfId="0" applyFill="1" applyBorder="1"/>
    <xf numFmtId="0" fontId="98" fillId="58" borderId="66" xfId="0" applyFont="1" applyFill="1" applyBorder="1" applyAlignment="1">
      <alignment horizontal="center" vertical="center" wrapText="1"/>
    </xf>
    <xf numFmtId="0" fontId="98" fillId="58" borderId="66" xfId="0" applyFont="1" applyFill="1" applyBorder="1" applyAlignment="1">
      <alignment horizontal="center" vertical="center"/>
    </xf>
    <xf numFmtId="0" fontId="0" fillId="58" borderId="66" xfId="0" applyFill="1" applyBorder="1" applyAlignment="1">
      <alignment horizontal="center" vertical="center"/>
    </xf>
    <xf numFmtId="0" fontId="0" fillId="58" borderId="67" xfId="0" applyFill="1" applyBorder="1"/>
    <xf numFmtId="168" fontId="0" fillId="58" borderId="138" xfId="724" applyFont="1" applyFill="1" applyBorder="1" applyAlignment="1">
      <alignment vertical="center"/>
    </xf>
    <xf numFmtId="0" fontId="0" fillId="58" borderId="63" xfId="0" applyFill="1" applyBorder="1"/>
    <xf numFmtId="168" fontId="0" fillId="58" borderId="63" xfId="724" applyFont="1" applyFill="1" applyBorder="1"/>
    <xf numFmtId="0" fontId="0" fillId="58" borderId="131" xfId="0" applyFill="1" applyBorder="1"/>
    <xf numFmtId="0" fontId="0" fillId="58" borderId="1" xfId="0" applyFill="1" applyBorder="1" applyAlignment="1">
      <alignment horizontal="center" vertical="center"/>
    </xf>
    <xf numFmtId="0" fontId="98" fillId="58" borderId="1" xfId="0" applyFont="1" applyFill="1" applyBorder="1" applyAlignment="1">
      <alignment horizontal="center" vertical="center" wrapText="1"/>
    </xf>
    <xf numFmtId="0" fontId="98" fillId="58" borderId="1" xfId="0" applyFont="1" applyFill="1" applyBorder="1" applyAlignment="1">
      <alignment horizontal="center" vertical="center"/>
    </xf>
    <xf numFmtId="0" fontId="0" fillId="58" borderId="1" xfId="0" applyFill="1" applyBorder="1"/>
    <xf numFmtId="168" fontId="0" fillId="58" borderId="1" xfId="724" applyFont="1" applyFill="1" applyBorder="1"/>
    <xf numFmtId="0" fontId="0" fillId="58" borderId="132" xfId="0" applyFill="1" applyBorder="1"/>
    <xf numFmtId="168" fontId="0" fillId="58" borderId="135" xfId="724" applyFont="1" applyFill="1" applyBorder="1" applyAlignment="1">
      <alignment vertical="center"/>
    </xf>
    <xf numFmtId="0" fontId="0" fillId="58" borderId="64" xfId="0" applyFill="1" applyBorder="1"/>
    <xf numFmtId="168" fontId="0" fillId="58" borderId="64" xfId="724" applyFont="1" applyFill="1" applyBorder="1"/>
    <xf numFmtId="0" fontId="0" fillId="58" borderId="133" xfId="0" applyFill="1" applyBorder="1"/>
    <xf numFmtId="2" fontId="0" fillId="58" borderId="63" xfId="0" applyNumberFormat="1" applyFill="1" applyBorder="1"/>
    <xf numFmtId="2" fontId="0" fillId="58" borderId="131" xfId="0" applyNumberFormat="1" applyFill="1" applyBorder="1"/>
    <xf numFmtId="2" fontId="0" fillId="58" borderId="1" xfId="0" applyNumberFormat="1" applyFill="1" applyBorder="1"/>
    <xf numFmtId="2" fontId="0" fillId="58" borderId="132" xfId="0" applyNumberFormat="1" applyFill="1" applyBorder="1"/>
    <xf numFmtId="2" fontId="0" fillId="58" borderId="64" xfId="0" applyNumberFormat="1" applyFill="1" applyBorder="1"/>
    <xf numFmtId="2" fontId="0" fillId="58" borderId="133" xfId="0" applyNumberFormat="1" applyFill="1" applyBorder="1"/>
    <xf numFmtId="0" fontId="0" fillId="58" borderId="110" xfId="0" applyFill="1" applyBorder="1" applyAlignment="1">
      <alignment horizontal="center" vertical="center"/>
    </xf>
    <xf numFmtId="0" fontId="0" fillId="58" borderId="26" xfId="0" applyFill="1" applyBorder="1" applyAlignment="1">
      <alignment horizontal="center" vertical="center"/>
    </xf>
    <xf numFmtId="0" fontId="0" fillId="58" borderId="26" xfId="0" applyFill="1" applyBorder="1"/>
    <xf numFmtId="2" fontId="0" fillId="58" borderId="26" xfId="0" applyNumberFormat="1" applyFill="1" applyBorder="1"/>
    <xf numFmtId="2" fontId="0" fillId="58" borderId="69" xfId="0" applyNumberFormat="1" applyFill="1" applyBorder="1"/>
    <xf numFmtId="168" fontId="0" fillId="58" borderId="35" xfId="724" applyFont="1" applyFill="1" applyBorder="1" applyAlignment="1">
      <alignment vertical="center"/>
    </xf>
    <xf numFmtId="0" fontId="0" fillId="58" borderId="65" xfId="0" applyFill="1" applyBorder="1" applyAlignment="1">
      <alignment horizontal="center" vertical="center"/>
    </xf>
    <xf numFmtId="2" fontId="0" fillId="58" borderId="66" xfId="0" applyNumberFormat="1" applyFill="1" applyBorder="1"/>
    <xf numFmtId="2" fontId="0" fillId="58" borderId="67" xfId="0" applyNumberFormat="1" applyFill="1" applyBorder="1"/>
    <xf numFmtId="168" fontId="0" fillId="0" borderId="136" xfId="724" applyFont="1" applyFill="1" applyBorder="1" applyAlignment="1">
      <alignment vertical="center"/>
    </xf>
    <xf numFmtId="168" fontId="0" fillId="0" borderId="137" xfId="724" applyFont="1" applyFill="1" applyBorder="1" applyAlignment="1">
      <alignment vertical="center"/>
    </xf>
    <xf numFmtId="0" fontId="0" fillId="0" borderId="63" xfId="0" applyBorder="1" applyAlignment="1">
      <alignment horizontal="center"/>
    </xf>
    <xf numFmtId="0" fontId="0" fillId="42" borderId="65" xfId="0" applyFill="1" applyBorder="1" applyAlignment="1">
      <alignment horizontal="center" vertical="center"/>
    </xf>
    <xf numFmtId="0" fontId="0" fillId="42" borderId="66" xfId="0" applyFill="1" applyBorder="1" applyAlignment="1">
      <alignment horizontal="center" vertical="center"/>
    </xf>
    <xf numFmtId="0" fontId="0" fillId="42" borderId="5" xfId="0" applyFill="1" applyBorder="1"/>
    <xf numFmtId="0" fontId="0" fillId="42" borderId="110" xfId="0" applyFill="1" applyBorder="1" applyAlignment="1">
      <alignment horizontal="center" vertical="center"/>
    </xf>
    <xf numFmtId="0" fontId="0" fillId="42" borderId="0" xfId="0" applyFill="1"/>
    <xf numFmtId="0" fontId="0" fillId="42" borderId="26" xfId="0" applyFill="1" applyBorder="1" applyAlignment="1">
      <alignment horizontal="center" vertical="center"/>
    </xf>
    <xf numFmtId="0" fontId="0" fillId="42" borderId="106" xfId="0" applyFill="1" applyBorder="1"/>
    <xf numFmtId="0" fontId="0" fillId="42" borderId="63" xfId="0" applyFill="1" applyBorder="1" applyAlignment="1">
      <alignment horizontal="center" vertical="center"/>
    </xf>
    <xf numFmtId="0" fontId="0" fillId="42" borderId="13" xfId="0" applyFill="1" applyBorder="1"/>
    <xf numFmtId="0" fontId="0" fillId="42" borderId="64" xfId="0" applyFill="1" applyBorder="1" applyAlignment="1">
      <alignment horizontal="center" vertical="center"/>
    </xf>
    <xf numFmtId="0" fontId="0" fillId="59" borderId="65" xfId="0" applyFill="1" applyBorder="1" applyAlignment="1">
      <alignment horizontal="center" vertical="center"/>
    </xf>
    <xf numFmtId="0" fontId="0" fillId="0" borderId="26" xfId="0" applyBorder="1" applyAlignment="1">
      <alignment horizontal="center"/>
    </xf>
    <xf numFmtId="0" fontId="0" fillId="0" borderId="64" xfId="0" applyBorder="1" applyAlignment="1">
      <alignment horizontal="center"/>
    </xf>
    <xf numFmtId="0" fontId="88" fillId="0" borderId="0" xfId="0" applyFont="1" applyAlignment="1">
      <alignment horizontal="center"/>
    </xf>
    <xf numFmtId="168" fontId="0" fillId="0" borderId="63" xfId="724" applyFont="1" applyFill="1" applyBorder="1" applyAlignment="1">
      <alignment horizontal="center"/>
    </xf>
    <xf numFmtId="168" fontId="0" fillId="0" borderId="1" xfId="724" applyFont="1" applyFill="1" applyBorder="1" applyAlignment="1">
      <alignment horizontal="center"/>
    </xf>
    <xf numFmtId="168" fontId="0" fillId="0" borderId="64" xfId="724" applyFont="1" applyFill="1" applyBorder="1" applyAlignment="1">
      <alignment horizontal="center"/>
    </xf>
    <xf numFmtId="0" fontId="0" fillId="0" borderId="106" xfId="0" applyBorder="1" applyAlignment="1">
      <alignment horizontal="center"/>
    </xf>
    <xf numFmtId="0" fontId="0" fillId="0" borderId="74" xfId="0" applyBorder="1" applyAlignment="1">
      <alignment horizontal="center"/>
    </xf>
    <xf numFmtId="0" fontId="0" fillId="0" borderId="5" xfId="0" applyBorder="1" applyAlignment="1">
      <alignment horizontal="center"/>
    </xf>
    <xf numFmtId="168" fontId="95" fillId="0" borderId="63" xfId="0" applyNumberFormat="1" applyFont="1" applyBorder="1" applyAlignment="1">
      <alignment horizontal="center"/>
    </xf>
    <xf numFmtId="0" fontId="0" fillId="0" borderId="131" xfId="0" applyBorder="1" applyAlignment="1">
      <alignment horizontal="center"/>
    </xf>
    <xf numFmtId="168" fontId="95" fillId="0" borderId="1" xfId="0" applyNumberFormat="1" applyFont="1" applyBorder="1" applyAlignment="1">
      <alignment horizontal="center"/>
    </xf>
    <xf numFmtId="0" fontId="0" fillId="0" borderId="132" xfId="0" applyBorder="1" applyAlignment="1">
      <alignment horizontal="center"/>
    </xf>
    <xf numFmtId="0" fontId="0" fillId="0" borderId="13" xfId="0" applyBorder="1" applyAlignment="1">
      <alignment horizontal="center"/>
    </xf>
    <xf numFmtId="168" fontId="95" fillId="0" borderId="64" xfId="0" applyNumberFormat="1" applyFont="1" applyBorder="1" applyAlignment="1">
      <alignment horizontal="center"/>
    </xf>
    <xf numFmtId="0" fontId="0" fillId="0" borderId="133" xfId="0" applyBorder="1" applyAlignment="1">
      <alignment horizontal="center"/>
    </xf>
    <xf numFmtId="168" fontId="95" fillId="0" borderId="15" xfId="0" applyNumberFormat="1" applyFont="1" applyBorder="1" applyAlignment="1">
      <alignment horizontal="center"/>
    </xf>
    <xf numFmtId="0" fontId="0" fillId="0" borderId="112" xfId="0" applyBorder="1" applyAlignment="1">
      <alignment horizontal="center"/>
    </xf>
    <xf numFmtId="168" fontId="0" fillId="0" borderId="15" xfId="724" applyFont="1" applyFill="1" applyBorder="1" applyAlignment="1">
      <alignment horizontal="center"/>
    </xf>
    <xf numFmtId="168" fontId="90" fillId="60" borderId="74" xfId="0" applyNumberFormat="1" applyFont="1" applyFill="1" applyBorder="1" applyAlignment="1">
      <alignment horizontal="center"/>
    </xf>
    <xf numFmtId="0" fontId="90" fillId="60" borderId="5" xfId="0" applyFont="1" applyFill="1" applyBorder="1" applyAlignment="1">
      <alignment horizontal="center"/>
    </xf>
    <xf numFmtId="0" fontId="87" fillId="0" borderId="63" xfId="1" applyFont="1" applyBorder="1" applyAlignment="1">
      <alignment horizontal="center" wrapText="1"/>
    </xf>
    <xf numFmtId="0" fontId="87" fillId="0" borderId="102" xfId="1" applyFont="1" applyBorder="1" applyAlignment="1">
      <alignment horizontal="center" wrapText="1"/>
    </xf>
    <xf numFmtId="0" fontId="87" fillId="0" borderId="143" xfId="1" applyFont="1" applyBorder="1" applyAlignment="1">
      <alignment horizontal="center" wrapText="1"/>
    </xf>
    <xf numFmtId="0" fontId="90" fillId="0" borderId="143" xfId="0" applyFont="1" applyBorder="1" applyAlignment="1">
      <alignment horizontal="center" wrapText="1"/>
    </xf>
    <xf numFmtId="0" fontId="0" fillId="0" borderId="107" xfId="0" applyBorder="1" applyAlignment="1">
      <alignment horizontal="center"/>
    </xf>
    <xf numFmtId="0" fontId="0" fillId="0" borderId="102" xfId="0" applyBorder="1" applyAlignment="1">
      <alignment horizontal="center"/>
    </xf>
    <xf numFmtId="0" fontId="0" fillId="0" borderId="110" xfId="0" applyBorder="1" applyAlignment="1">
      <alignment horizontal="center"/>
    </xf>
    <xf numFmtId="0" fontId="0" fillId="0" borderId="143" xfId="0" applyBorder="1" applyAlignment="1">
      <alignment horizontal="center"/>
    </xf>
    <xf numFmtId="0" fontId="0" fillId="0" borderId="104" xfId="0" applyBorder="1" applyAlignment="1">
      <alignment horizontal="center"/>
    </xf>
    <xf numFmtId="0" fontId="0" fillId="0" borderId="67" xfId="0" applyBorder="1" applyAlignment="1">
      <alignment horizontal="center"/>
    </xf>
    <xf numFmtId="0" fontId="90" fillId="60" borderId="74" xfId="0" applyFont="1" applyFill="1" applyBorder="1" applyAlignment="1">
      <alignment horizontal="center"/>
    </xf>
    <xf numFmtId="168" fontId="0" fillId="58" borderId="102" xfId="724" applyFont="1" applyFill="1" applyBorder="1" applyAlignment="1">
      <alignment vertical="center"/>
    </xf>
    <xf numFmtId="168" fontId="0" fillId="58" borderId="26" xfId="724" applyFont="1" applyFill="1" applyBorder="1" applyAlignment="1">
      <alignment vertical="center"/>
    </xf>
    <xf numFmtId="168" fontId="0" fillId="58" borderId="104" xfId="724" applyFont="1" applyFill="1" applyBorder="1" applyAlignment="1">
      <alignment vertical="center"/>
    </xf>
    <xf numFmtId="0" fontId="0" fillId="0" borderId="144" xfId="0" applyBorder="1" applyAlignment="1">
      <alignment horizontal="right"/>
    </xf>
    <xf numFmtId="0" fontId="0" fillId="0" borderId="144" xfId="0" applyBorder="1"/>
    <xf numFmtId="0" fontId="95" fillId="0" borderId="15" xfId="0" applyFont="1" applyBorder="1" applyAlignment="1">
      <alignment horizontal="center" vertical="center"/>
    </xf>
    <xf numFmtId="0" fontId="95" fillId="0" borderId="145" xfId="0" applyFont="1" applyBorder="1" applyAlignment="1">
      <alignment horizontal="center" vertical="center"/>
    </xf>
    <xf numFmtId="0" fontId="0" fillId="0" borderId="145" xfId="0" applyBorder="1" applyAlignment="1">
      <alignment horizontal="center" vertical="center"/>
    </xf>
    <xf numFmtId="0" fontId="96" fillId="0" borderId="145" xfId="0" applyFont="1" applyBorder="1" applyAlignment="1">
      <alignment horizontal="center" vertical="center"/>
    </xf>
    <xf numFmtId="0" fontId="0" fillId="45" borderId="102" xfId="0" applyFill="1" applyBorder="1" applyAlignment="1">
      <alignment horizontal="center"/>
    </xf>
    <xf numFmtId="0" fontId="0" fillId="45" borderId="66" xfId="0" applyFill="1" applyBorder="1" applyAlignment="1">
      <alignment horizontal="center"/>
    </xf>
    <xf numFmtId="0" fontId="0" fillId="45" borderId="26" xfId="0" applyFill="1" applyBorder="1" applyAlignment="1">
      <alignment horizontal="center"/>
    </xf>
    <xf numFmtId="0" fontId="0" fillId="45" borderId="169" xfId="0" applyFill="1" applyBorder="1" applyAlignment="1">
      <alignment horizontal="center" vertical="center" wrapText="1"/>
    </xf>
    <xf numFmtId="0" fontId="0" fillId="41" borderId="0" xfId="0" applyFill="1" applyAlignment="1">
      <alignment horizontal="center" vertical="center" wrapText="1"/>
    </xf>
    <xf numFmtId="2" fontId="0" fillId="41" borderId="169" xfId="0" applyNumberFormat="1" applyFill="1" applyBorder="1" applyAlignment="1">
      <alignment horizontal="center" vertical="center" wrapText="1"/>
    </xf>
    <xf numFmtId="168" fontId="0" fillId="0" borderId="169" xfId="0" applyNumberFormat="1" applyBorder="1" applyAlignment="1">
      <alignment horizontal="center" vertical="center" wrapText="1"/>
    </xf>
    <xf numFmtId="2" fontId="0" fillId="45" borderId="169" xfId="0" applyNumberFormat="1" applyFill="1" applyBorder="1" applyAlignment="1">
      <alignment horizontal="center" vertical="center" wrapText="1"/>
    </xf>
    <xf numFmtId="2" fontId="0" fillId="0" borderId="169" xfId="0" applyNumberFormat="1" applyBorder="1" applyAlignment="1">
      <alignment horizontal="center" vertical="center" wrapText="1"/>
    </xf>
    <xf numFmtId="0" fontId="0" fillId="41" borderId="169" xfId="0" applyFill="1" applyBorder="1" applyAlignment="1">
      <alignment horizontal="center" vertical="center" wrapText="1"/>
    </xf>
    <xf numFmtId="0" fontId="0" fillId="0" borderId="169" xfId="0" applyBorder="1" applyAlignment="1">
      <alignment horizontal="center" vertical="center" wrapText="1"/>
    </xf>
    <xf numFmtId="0" fontId="89" fillId="0" borderId="169" xfId="0" applyFont="1" applyBorder="1" applyAlignment="1">
      <alignment horizontal="center" vertical="center" wrapText="1"/>
    </xf>
    <xf numFmtId="0" fontId="0" fillId="0" borderId="0" xfId="0" applyAlignment="1">
      <alignment horizontal="center" vertical="center" wrapText="1"/>
    </xf>
    <xf numFmtId="0" fontId="0" fillId="42" borderId="74" xfId="0" applyFill="1" applyBorder="1" applyAlignment="1">
      <alignment horizontal="center" vertical="center" wrapText="1"/>
    </xf>
    <xf numFmtId="0" fontId="0" fillId="41" borderId="75" xfId="0" applyFill="1" applyBorder="1" applyAlignment="1">
      <alignment horizontal="center" vertical="center" wrapText="1"/>
    </xf>
    <xf numFmtId="0" fontId="0" fillId="45" borderId="74" xfId="0" applyFill="1" applyBorder="1" applyAlignment="1">
      <alignment horizontal="center" vertical="center" wrapText="1"/>
    </xf>
    <xf numFmtId="0" fontId="88" fillId="41" borderId="0" xfId="0" applyFont="1" applyFill="1" applyAlignment="1">
      <alignment horizontal="center" vertical="center" wrapText="1"/>
    </xf>
    <xf numFmtId="168" fontId="0" fillId="41" borderId="15" xfId="724" applyFont="1" applyFill="1" applyBorder="1" applyAlignment="1">
      <alignment horizontal="center" vertical="center" wrapText="1"/>
    </xf>
    <xf numFmtId="168" fontId="0" fillId="0" borderId="15" xfId="724" applyFont="1" applyFill="1" applyBorder="1" applyAlignment="1">
      <alignment horizontal="center" vertical="center" wrapText="1"/>
    </xf>
    <xf numFmtId="2" fontId="0" fillId="41" borderId="15" xfId="0" applyNumberFormat="1" applyFill="1" applyBorder="1" applyAlignment="1">
      <alignment horizontal="center" vertical="center" wrapText="1"/>
    </xf>
    <xf numFmtId="9" fontId="0" fillId="0" borderId="15" xfId="0" applyNumberFormat="1" applyBorder="1" applyAlignment="1">
      <alignment horizontal="center" vertical="center" wrapText="1"/>
    </xf>
    <xf numFmtId="168" fontId="0" fillId="0" borderId="15" xfId="0" applyNumberFormat="1" applyBorder="1" applyAlignment="1">
      <alignment horizontal="center" vertical="center" wrapText="1"/>
    </xf>
    <xf numFmtId="0" fontId="90" fillId="2" borderId="64" xfId="0" applyFont="1" applyFill="1" applyBorder="1" applyAlignment="1">
      <alignment horizontal="center" vertical="center" wrapText="1"/>
    </xf>
    <xf numFmtId="10" fontId="0" fillId="0" borderId="169" xfId="0" applyNumberFormat="1" applyBorder="1" applyAlignment="1">
      <alignment horizontal="center" vertical="center" wrapText="1"/>
    </xf>
    <xf numFmtId="10" fontId="0" fillId="45" borderId="169" xfId="0" applyNumberFormat="1" applyFill="1" applyBorder="1" applyAlignment="1">
      <alignment horizontal="center" vertical="center" wrapText="1"/>
    </xf>
    <xf numFmtId="0" fontId="87" fillId="2" borderId="63" xfId="1" applyFont="1" applyFill="1" applyBorder="1" applyAlignment="1">
      <alignment horizontal="center" vertical="center" wrapText="1"/>
    </xf>
    <xf numFmtId="0" fontId="87" fillId="2" borderId="64" xfId="1" applyFont="1" applyFill="1" applyBorder="1" applyAlignment="1">
      <alignment horizontal="center" vertical="center" wrapText="1"/>
    </xf>
    <xf numFmtId="0" fontId="0" fillId="0" borderId="15" xfId="0" applyBorder="1" applyAlignment="1">
      <alignment horizontal="center" vertical="center" wrapText="1"/>
    </xf>
    <xf numFmtId="17" fontId="0" fillId="45" borderId="169" xfId="0" applyNumberFormat="1" applyFill="1" applyBorder="1" applyAlignment="1">
      <alignment horizontal="center" vertical="center" wrapText="1"/>
    </xf>
    <xf numFmtId="17" fontId="0" fillId="0" borderId="169" xfId="0" applyNumberFormat="1" applyBorder="1" applyAlignment="1">
      <alignment horizontal="center" vertical="center" wrapText="1"/>
    </xf>
    <xf numFmtId="168" fontId="0" fillId="41" borderId="169" xfId="724" applyFont="1" applyFill="1" applyBorder="1" applyAlignment="1">
      <alignment horizontal="center" vertical="center" wrapText="1"/>
    </xf>
    <xf numFmtId="168" fontId="0" fillId="0" borderId="169" xfId="724" applyFont="1" applyFill="1" applyBorder="1" applyAlignment="1">
      <alignment horizontal="center" vertical="center" wrapText="1"/>
    </xf>
    <xf numFmtId="9" fontId="0" fillId="0" borderId="169" xfId="0" applyNumberFormat="1" applyBorder="1" applyAlignment="1">
      <alignment horizontal="center" vertical="center" wrapText="1"/>
    </xf>
    <xf numFmtId="2" fontId="95" fillId="45" borderId="169" xfId="0" applyNumberFormat="1" applyFont="1" applyFill="1" applyBorder="1" applyAlignment="1">
      <alignment horizontal="center" vertical="center" wrapText="1"/>
    </xf>
    <xf numFmtId="168" fontId="95" fillId="45" borderId="169" xfId="0" applyNumberFormat="1" applyFont="1" applyFill="1" applyBorder="1" applyAlignment="1">
      <alignment horizontal="center" vertical="center" wrapText="1"/>
    </xf>
    <xf numFmtId="9" fontId="95" fillId="45" borderId="169" xfId="0" applyNumberFormat="1" applyFont="1" applyFill="1" applyBorder="1" applyAlignment="1">
      <alignment horizontal="center" vertical="center" wrapText="1"/>
    </xf>
    <xf numFmtId="0" fontId="95" fillId="0" borderId="169" xfId="0" applyFont="1" applyBorder="1" applyAlignment="1">
      <alignment horizontal="center" vertical="center" wrapText="1"/>
    </xf>
    <xf numFmtId="10" fontId="0" fillId="0" borderId="169" xfId="725" applyNumberFormat="1" applyFont="1" applyFill="1" applyBorder="1" applyAlignment="1">
      <alignment horizontal="center" vertical="center" wrapText="1"/>
    </xf>
    <xf numFmtId="10" fontId="0" fillId="45" borderId="169" xfId="725" applyNumberFormat="1" applyFont="1" applyFill="1" applyBorder="1" applyAlignment="1">
      <alignment horizontal="center" vertical="center" wrapText="1"/>
    </xf>
    <xf numFmtId="168" fontId="0" fillId="45" borderId="169" xfId="724" applyFont="1" applyFill="1" applyBorder="1" applyAlignment="1">
      <alignment horizontal="center" vertical="center" wrapText="1"/>
    </xf>
    <xf numFmtId="0" fontId="96" fillId="45" borderId="169" xfId="0" applyFont="1" applyFill="1" applyBorder="1" applyAlignment="1">
      <alignment horizontal="center" vertical="center" wrapText="1"/>
    </xf>
    <xf numFmtId="0" fontId="96" fillId="0" borderId="169" xfId="0" applyFont="1" applyBorder="1" applyAlignment="1">
      <alignment horizontal="center" vertical="center" wrapText="1"/>
    </xf>
    <xf numFmtId="10" fontId="0" fillId="0" borderId="169" xfId="725" applyNumberFormat="1" applyFont="1" applyBorder="1" applyAlignment="1">
      <alignment horizontal="center" vertical="center" wrapText="1"/>
    </xf>
    <xf numFmtId="2" fontId="95" fillId="0" borderId="169" xfId="0" applyNumberFormat="1" applyFont="1" applyBorder="1" applyAlignment="1">
      <alignment horizontal="center" vertical="center" wrapText="1"/>
    </xf>
    <xf numFmtId="14" fontId="0" fillId="0" borderId="0" xfId="0" applyNumberFormat="1" applyAlignment="1">
      <alignment horizontal="center" vertical="center" wrapText="1"/>
    </xf>
    <xf numFmtId="0" fontId="157" fillId="0" borderId="63" xfId="2305" applyFont="1" applyBorder="1" applyAlignment="1">
      <alignment horizontal="left" vertical="center"/>
    </xf>
    <xf numFmtId="0" fontId="0" fillId="0" borderId="0" xfId="0" applyAlignment="1">
      <alignment horizontal="left" vertical="center" wrapText="1"/>
    </xf>
    <xf numFmtId="0" fontId="157" fillId="0" borderId="169" xfId="2305" applyFont="1" applyBorder="1" applyAlignment="1">
      <alignment horizontal="left" vertical="center"/>
    </xf>
    <xf numFmtId="0" fontId="157" fillId="0" borderId="357" xfId="2305" applyFont="1" applyBorder="1" applyAlignment="1">
      <alignment horizontal="left" vertical="center"/>
    </xf>
    <xf numFmtId="0" fontId="159" fillId="41" borderId="63" xfId="0" applyFont="1" applyFill="1" applyBorder="1" applyAlignment="1">
      <alignment horizontal="left" vertical="center" wrapText="1"/>
    </xf>
    <xf numFmtId="0" fontId="159" fillId="41" borderId="169" xfId="0" applyFont="1" applyFill="1" applyBorder="1" applyAlignment="1">
      <alignment horizontal="left" vertical="center" wrapText="1"/>
    </xf>
    <xf numFmtId="0" fontId="159" fillId="0" borderId="169" xfId="0" applyFont="1" applyBorder="1" applyAlignment="1">
      <alignment horizontal="left" vertical="center" wrapText="1"/>
    </xf>
    <xf numFmtId="0" fontId="159" fillId="45" borderId="169" xfId="0" applyFont="1" applyFill="1" applyBorder="1" applyAlignment="1">
      <alignment horizontal="left" vertical="center" wrapText="1"/>
    </xf>
    <xf numFmtId="0" fontId="157" fillId="0" borderId="169" xfId="0" applyFont="1" applyBorder="1" applyAlignment="1">
      <alignment horizontal="left" vertical="center" wrapText="1"/>
    </xf>
    <xf numFmtId="0" fontId="157" fillId="41" borderId="169" xfId="0" applyFont="1" applyFill="1" applyBorder="1" applyAlignment="1">
      <alignment horizontal="left" vertical="center" wrapText="1"/>
    </xf>
    <xf numFmtId="0" fontId="157" fillId="41" borderId="426" xfId="0" applyFont="1" applyFill="1" applyBorder="1" applyAlignment="1">
      <alignment horizontal="left" vertical="center" wrapText="1"/>
    </xf>
    <xf numFmtId="0" fontId="157" fillId="0" borderId="66" xfId="0" applyFont="1" applyBorder="1" applyAlignment="1">
      <alignment horizontal="left" vertical="center" wrapText="1"/>
    </xf>
    <xf numFmtId="0" fontId="157" fillId="0" borderId="63" xfId="0" applyFont="1" applyBorder="1" applyAlignment="1">
      <alignment horizontal="left" vertical="center" wrapText="1"/>
    </xf>
    <xf numFmtId="0" fontId="157" fillId="0" borderId="357" xfId="0" applyFont="1" applyBorder="1" applyAlignment="1">
      <alignment horizontal="left" vertical="center" wrapText="1"/>
    </xf>
    <xf numFmtId="0" fontId="157" fillId="0" borderId="15" xfId="0" applyFont="1" applyBorder="1" applyAlignment="1">
      <alignment horizontal="left" vertical="center" wrapText="1"/>
    </xf>
    <xf numFmtId="0" fontId="157" fillId="0" borderId="102" xfId="0" applyFont="1" applyBorder="1" applyAlignment="1">
      <alignment horizontal="left" vertical="center" wrapText="1"/>
    </xf>
    <xf numFmtId="0" fontId="157" fillId="0" borderId="104" xfId="0" applyFont="1" applyBorder="1" applyAlignment="1">
      <alignment horizontal="left" vertical="center" wrapText="1"/>
    </xf>
    <xf numFmtId="0" fontId="157" fillId="41" borderId="120" xfId="0" applyFont="1" applyFill="1" applyBorder="1" applyAlignment="1">
      <alignment horizontal="left" vertical="center" wrapText="1"/>
    </xf>
    <xf numFmtId="0" fontId="159" fillId="0" borderId="63" xfId="0" applyFont="1" applyBorder="1" applyAlignment="1">
      <alignment horizontal="left" vertical="center" wrapText="1"/>
    </xf>
    <xf numFmtId="0" fontId="157" fillId="41" borderId="63" xfId="0" applyFont="1" applyFill="1" applyBorder="1" applyAlignment="1">
      <alignment horizontal="left" vertical="center" wrapText="1"/>
    </xf>
    <xf numFmtId="14" fontId="157" fillId="41" borderId="63" xfId="0" applyNumberFormat="1" applyFont="1" applyFill="1" applyBorder="1" applyAlignment="1">
      <alignment horizontal="left" vertical="center" wrapText="1"/>
    </xf>
    <xf numFmtId="2" fontId="157" fillId="41" borderId="63" xfId="0" applyNumberFormat="1" applyFont="1" applyFill="1" applyBorder="1" applyAlignment="1">
      <alignment horizontal="left" vertical="center" wrapText="1"/>
    </xf>
    <xf numFmtId="0" fontId="157" fillId="41" borderId="131" xfId="0" applyFont="1" applyFill="1" applyBorder="1" applyAlignment="1">
      <alignment horizontal="left" vertical="center" wrapText="1"/>
    </xf>
    <xf numFmtId="0" fontId="157" fillId="41" borderId="319" xfId="0" applyFont="1" applyFill="1" applyBorder="1" applyAlignment="1">
      <alignment horizontal="left" vertical="center" wrapText="1"/>
    </xf>
    <xf numFmtId="14" fontId="157" fillId="41" borderId="169" xfId="0" applyNumberFormat="1" applyFont="1" applyFill="1" applyBorder="1" applyAlignment="1">
      <alignment horizontal="left" vertical="center" wrapText="1"/>
    </xf>
    <xf numFmtId="2" fontId="157" fillId="41" borderId="169" xfId="0" applyNumberFormat="1" applyFont="1" applyFill="1" applyBorder="1" applyAlignment="1">
      <alignment horizontal="left" vertical="center" wrapText="1"/>
    </xf>
    <xf numFmtId="0" fontId="157" fillId="41" borderId="320" xfId="0" applyFont="1" applyFill="1" applyBorder="1" applyAlignment="1">
      <alignment horizontal="left" vertical="center" wrapText="1"/>
    </xf>
    <xf numFmtId="0" fontId="157" fillId="0" borderId="319" xfId="0" applyFont="1" applyBorder="1" applyAlignment="1">
      <alignment horizontal="left" vertical="center" wrapText="1"/>
    </xf>
    <xf numFmtId="14" fontId="157" fillId="0" borderId="169" xfId="0" applyNumberFormat="1" applyFont="1" applyBorder="1" applyAlignment="1">
      <alignment horizontal="left" vertical="center" wrapText="1"/>
    </xf>
    <xf numFmtId="10" fontId="160" fillId="0" borderId="169" xfId="1095" applyNumberFormat="1" applyFont="1" applyFill="1" applyBorder="1" applyAlignment="1">
      <alignment horizontal="left" vertical="center" wrapText="1"/>
    </xf>
    <xf numFmtId="10" fontId="157" fillId="0" borderId="169" xfId="0" applyNumberFormat="1" applyFont="1" applyBorder="1" applyAlignment="1">
      <alignment horizontal="left" vertical="center" wrapText="1"/>
    </xf>
    <xf numFmtId="17" fontId="157" fillId="0" borderId="320" xfId="0" applyNumberFormat="1" applyFont="1" applyBorder="1" applyAlignment="1">
      <alignment horizontal="left" vertical="center" wrapText="1"/>
    </xf>
    <xf numFmtId="0" fontId="157" fillId="45" borderId="319" xfId="0" applyFont="1" applyFill="1" applyBorder="1" applyAlignment="1">
      <alignment horizontal="left" vertical="center" wrapText="1"/>
    </xf>
    <xf numFmtId="0" fontId="157" fillId="45" borderId="169" xfId="0" applyFont="1" applyFill="1" applyBorder="1" applyAlignment="1">
      <alignment horizontal="left" vertical="center" wrapText="1"/>
    </xf>
    <xf numFmtId="14" fontId="157" fillId="45" borderId="169" xfId="0" applyNumberFormat="1" applyFont="1" applyFill="1" applyBorder="1" applyAlignment="1">
      <alignment horizontal="left" vertical="center" wrapText="1"/>
    </xf>
    <xf numFmtId="2" fontId="157" fillId="45" borderId="169" xfId="0" applyNumberFormat="1" applyFont="1" applyFill="1" applyBorder="1" applyAlignment="1">
      <alignment horizontal="left" vertical="center" wrapText="1"/>
    </xf>
    <xf numFmtId="10" fontId="157" fillId="45" borderId="169" xfId="0" applyNumberFormat="1" applyFont="1" applyFill="1" applyBorder="1" applyAlignment="1">
      <alignment horizontal="left" vertical="center" wrapText="1"/>
    </xf>
    <xf numFmtId="17" fontId="157" fillId="45" borderId="320" xfId="0" applyNumberFormat="1" applyFont="1" applyFill="1" applyBorder="1" applyAlignment="1">
      <alignment horizontal="left" vertical="center" wrapText="1"/>
    </xf>
    <xf numFmtId="0" fontId="157" fillId="0" borderId="320" xfId="0" applyFont="1" applyBorder="1" applyAlignment="1">
      <alignment horizontal="left" vertical="center" wrapText="1"/>
    </xf>
    <xf numFmtId="0" fontId="157" fillId="0" borderId="427" xfId="0" applyFont="1" applyBorder="1" applyAlignment="1">
      <alignment horizontal="left" vertical="center" wrapText="1"/>
    </xf>
    <xf numFmtId="14" fontId="157" fillId="41" borderId="426" xfId="0" applyNumberFormat="1" applyFont="1" applyFill="1" applyBorder="1" applyAlignment="1">
      <alignment horizontal="left" vertical="center" wrapText="1"/>
    </xf>
    <xf numFmtId="0" fontId="157" fillId="0" borderId="426" xfId="0" applyFont="1" applyBorder="1" applyAlignment="1">
      <alignment horizontal="left" vertical="center" wrapText="1"/>
    </xf>
    <xf numFmtId="2" fontId="157" fillId="41" borderId="426" xfId="0" applyNumberFormat="1" applyFont="1" applyFill="1" applyBorder="1" applyAlignment="1">
      <alignment horizontal="left" vertical="center" wrapText="1"/>
    </xf>
    <xf numFmtId="10" fontId="157" fillId="0" borderId="426" xfId="0" applyNumberFormat="1" applyFont="1" applyBorder="1" applyAlignment="1">
      <alignment horizontal="left" vertical="center" wrapText="1"/>
    </xf>
    <xf numFmtId="17" fontId="157" fillId="0" borderId="429" xfId="0" applyNumberFormat="1" applyFont="1" applyBorder="1" applyAlignment="1">
      <alignment horizontal="left" vertical="center" wrapText="1"/>
    </xf>
    <xf numFmtId="0" fontId="157" fillId="0" borderId="65" xfId="0" applyFont="1" applyBorder="1" applyAlignment="1">
      <alignment horizontal="left" vertical="center" wrapText="1"/>
    </xf>
    <xf numFmtId="14" fontId="157" fillId="0" borderId="66" xfId="0" applyNumberFormat="1" applyFont="1" applyBorder="1" applyAlignment="1">
      <alignment horizontal="left" vertical="center" wrapText="1"/>
    </xf>
    <xf numFmtId="2" fontId="157" fillId="0" borderId="66" xfId="0" applyNumberFormat="1" applyFont="1" applyBorder="1" applyAlignment="1">
      <alignment horizontal="left" vertical="center" wrapText="1"/>
    </xf>
    <xf numFmtId="10" fontId="160" fillId="0" borderId="66" xfId="1095" applyNumberFormat="1" applyFont="1" applyFill="1" applyBorder="1" applyAlignment="1">
      <alignment horizontal="left" vertical="center" wrapText="1"/>
    </xf>
    <xf numFmtId="17" fontId="157" fillId="0" borderId="67" xfId="0" applyNumberFormat="1" applyFont="1" applyBorder="1" applyAlignment="1">
      <alignment horizontal="left" vertical="center" wrapText="1"/>
    </xf>
    <xf numFmtId="14" fontId="157" fillId="0" borderId="63" xfId="0" applyNumberFormat="1" applyFont="1" applyBorder="1" applyAlignment="1">
      <alignment horizontal="left" vertical="center" wrapText="1"/>
    </xf>
    <xf numFmtId="14" fontId="157" fillId="0" borderId="357" xfId="0" applyNumberFormat="1" applyFont="1" applyBorder="1" applyAlignment="1">
      <alignment horizontal="left" vertical="center" wrapText="1"/>
    </xf>
    <xf numFmtId="0" fontId="157" fillId="0" borderId="321" xfId="0" applyFont="1" applyBorder="1" applyAlignment="1">
      <alignment horizontal="left" vertical="center" wrapText="1"/>
    </xf>
    <xf numFmtId="2" fontId="157" fillId="0" borderId="63" xfId="0" applyNumberFormat="1" applyFont="1" applyBorder="1" applyAlignment="1">
      <alignment horizontal="left" vertical="center" wrapText="1"/>
    </xf>
    <xf numFmtId="10" fontId="160" fillId="0" borderId="63" xfId="1095" applyNumberFormat="1" applyFont="1" applyFill="1" applyBorder="1" applyAlignment="1">
      <alignment horizontal="left" vertical="center" wrapText="1"/>
    </xf>
    <xf numFmtId="2" fontId="157" fillId="0" borderId="357" xfId="0" applyNumberFormat="1" applyFont="1" applyBorder="1" applyAlignment="1">
      <alignment horizontal="left" vertical="center" wrapText="1"/>
    </xf>
    <xf numFmtId="10" fontId="160" fillId="0" borderId="357" xfId="1095" applyNumberFormat="1" applyFont="1" applyFill="1" applyBorder="1" applyAlignment="1">
      <alignment horizontal="left" vertical="center" wrapText="1"/>
    </xf>
    <xf numFmtId="2" fontId="157" fillId="0" borderId="15" xfId="0" applyNumberFormat="1" applyFont="1" applyBorder="1" applyAlignment="1">
      <alignment horizontal="left" vertical="center" wrapText="1"/>
    </xf>
    <xf numFmtId="10" fontId="160" fillId="0" borderId="15" xfId="1095" applyNumberFormat="1" applyFont="1" applyFill="1" applyBorder="1" applyAlignment="1">
      <alignment horizontal="left" vertical="center" wrapText="1"/>
    </xf>
    <xf numFmtId="2" fontId="157" fillId="0" borderId="169" xfId="0" applyNumberFormat="1" applyFont="1" applyBorder="1" applyAlignment="1">
      <alignment horizontal="left" vertical="center" wrapText="1"/>
    </xf>
    <xf numFmtId="2" fontId="157" fillId="0" borderId="426" xfId="0" applyNumberFormat="1" applyFont="1" applyBorder="1" applyAlignment="1">
      <alignment horizontal="left" vertical="center" wrapText="1"/>
    </xf>
    <xf numFmtId="10" fontId="160" fillId="0" borderId="426" xfId="1095" applyNumberFormat="1" applyFont="1" applyFill="1" applyBorder="1" applyAlignment="1">
      <alignment horizontal="left" vertical="center" wrapText="1"/>
    </xf>
    <xf numFmtId="246" fontId="157" fillId="0" borderId="67" xfId="0" applyNumberFormat="1" applyFont="1" applyBorder="1" applyAlignment="1">
      <alignment horizontal="left" vertical="center"/>
    </xf>
    <xf numFmtId="0" fontId="157" fillId="0" borderId="41" xfId="0" applyFont="1" applyBorder="1" applyAlignment="1">
      <alignment horizontal="left" vertical="center" wrapText="1"/>
    </xf>
    <xf numFmtId="0" fontId="157" fillId="0" borderId="428" xfId="0" applyFont="1" applyBorder="1" applyAlignment="1">
      <alignment horizontal="left" vertical="center" wrapText="1"/>
    </xf>
    <xf numFmtId="0" fontId="157" fillId="0" borderId="137" xfId="0" applyFont="1" applyBorder="1" applyAlignment="1">
      <alignment horizontal="left" vertical="center" wrapText="1"/>
    </xf>
    <xf numFmtId="0" fontId="157" fillId="0" borderId="107" xfId="0" applyFont="1" applyBorder="1" applyAlignment="1">
      <alignment horizontal="left" vertical="center" wrapText="1"/>
    </xf>
    <xf numFmtId="14" fontId="157" fillId="0" borderId="102" xfId="0" applyNumberFormat="1" applyFont="1" applyBorder="1" applyAlignment="1">
      <alignment horizontal="left" vertical="center" wrapText="1"/>
    </xf>
    <xf numFmtId="2" fontId="157" fillId="0" borderId="102" xfId="0" applyNumberFormat="1" applyFont="1" applyBorder="1" applyAlignment="1">
      <alignment horizontal="left" vertical="center" wrapText="1"/>
    </xf>
    <xf numFmtId="10" fontId="160" fillId="0" borderId="102" xfId="1095" applyNumberFormat="1" applyFont="1" applyFill="1" applyBorder="1" applyAlignment="1">
      <alignment horizontal="left" vertical="center" wrapText="1"/>
    </xf>
    <xf numFmtId="246" fontId="157" fillId="0" borderId="103" xfId="0" applyNumberFormat="1" applyFont="1" applyBorder="1" applyAlignment="1">
      <alignment horizontal="left" vertical="center"/>
    </xf>
    <xf numFmtId="0" fontId="157" fillId="0" borderId="108" xfId="0" applyFont="1" applyBorder="1" applyAlignment="1">
      <alignment horizontal="left" vertical="center" wrapText="1"/>
    </xf>
    <xf numFmtId="14" fontId="157" fillId="0" borderId="104" xfId="0" applyNumberFormat="1" applyFont="1" applyBorder="1" applyAlignment="1">
      <alignment horizontal="left" vertical="center" wrapText="1"/>
    </xf>
    <xf numFmtId="2" fontId="157" fillId="0" borderId="104" xfId="0" applyNumberFormat="1" applyFont="1" applyBorder="1" applyAlignment="1">
      <alignment horizontal="left" vertical="center" wrapText="1"/>
    </xf>
    <xf numFmtId="10" fontId="160" fillId="0" borderId="104" xfId="1095" applyNumberFormat="1" applyFont="1" applyFill="1" applyBorder="1" applyAlignment="1">
      <alignment horizontal="left" vertical="center" wrapText="1"/>
    </xf>
    <xf numFmtId="246" fontId="157" fillId="0" borderId="105" xfId="0" applyNumberFormat="1" applyFont="1" applyBorder="1" applyAlignment="1">
      <alignment horizontal="left" vertical="center"/>
    </xf>
    <xf numFmtId="0" fontId="161" fillId="0" borderId="131" xfId="0" applyFont="1" applyBorder="1" applyAlignment="1">
      <alignment horizontal="left" vertical="center" wrapText="1"/>
    </xf>
    <xf numFmtId="0" fontId="157" fillId="0" borderId="169" xfId="0" applyFont="1" applyBorder="1" applyAlignment="1">
      <alignment horizontal="center" vertical="center" wrapText="1"/>
    </xf>
    <xf numFmtId="2" fontId="157" fillId="0" borderId="67" xfId="0" applyNumberFormat="1" applyFont="1" applyBorder="1" applyAlignment="1">
      <alignment horizontal="left" vertical="center"/>
    </xf>
    <xf numFmtId="1" fontId="157" fillId="0" borderId="65" xfId="0" applyNumberFormat="1" applyFont="1" applyBorder="1" applyAlignment="1">
      <alignment horizontal="left" vertical="center" wrapText="1"/>
    </xf>
    <xf numFmtId="1" fontId="157" fillId="0" borderId="66" xfId="0" applyNumberFormat="1" applyFont="1" applyBorder="1" applyAlignment="1">
      <alignment horizontal="left" vertical="center" wrapText="1"/>
    </xf>
    <xf numFmtId="1" fontId="157" fillId="0" borderId="107" xfId="0" applyNumberFormat="1" applyFont="1" applyBorder="1" applyAlignment="1">
      <alignment horizontal="left" vertical="center" wrapText="1"/>
    </xf>
    <xf numFmtId="1" fontId="157" fillId="0" borderId="102" xfId="0" applyNumberFormat="1" applyFont="1" applyBorder="1" applyAlignment="1">
      <alignment horizontal="left" vertical="center" wrapText="1"/>
    </xf>
    <xf numFmtId="2" fontId="157" fillId="0" borderId="26" xfId="0" applyNumberFormat="1" applyFont="1" applyBorder="1" applyAlignment="1">
      <alignment horizontal="left" vertical="center" wrapText="1"/>
    </xf>
    <xf numFmtId="2" fontId="157" fillId="0" borderId="69" xfId="0" applyNumberFormat="1" applyFont="1" applyBorder="1" applyAlignment="1">
      <alignment horizontal="left" vertical="center"/>
    </xf>
    <xf numFmtId="10" fontId="157" fillId="0" borderId="102" xfId="0" applyNumberFormat="1" applyFont="1" applyBorder="1" applyAlignment="1">
      <alignment horizontal="left" vertical="center" wrapText="1"/>
    </xf>
    <xf numFmtId="2" fontId="157" fillId="0" borderId="103" xfId="0" applyNumberFormat="1" applyFont="1" applyBorder="1" applyAlignment="1">
      <alignment horizontal="left" vertical="center"/>
    </xf>
    <xf numFmtId="0" fontId="157" fillId="0" borderId="102" xfId="0" applyFont="1" applyBorder="1" applyAlignment="1">
      <alignment horizontal="center" vertical="center" wrapText="1"/>
    </xf>
    <xf numFmtId="1" fontId="157" fillId="0" borderId="63" xfId="0" applyNumberFormat="1" applyFont="1" applyBorder="1" applyAlignment="1">
      <alignment horizontal="left" vertical="center" wrapText="1"/>
    </xf>
    <xf numFmtId="2" fontId="157" fillId="0" borderId="102" xfId="0" applyNumberFormat="1" applyFont="1" applyBorder="1" applyAlignment="1">
      <alignment horizontal="center" vertical="center" wrapText="1"/>
    </xf>
    <xf numFmtId="1" fontId="157" fillId="0" borderId="169" xfId="0" applyNumberFormat="1" applyFont="1" applyBorder="1" applyAlignment="1">
      <alignment horizontal="left" vertical="center" wrapText="1"/>
    </xf>
    <xf numFmtId="1" fontId="157" fillId="0" borderId="357" xfId="0" applyNumberFormat="1" applyFont="1" applyBorder="1" applyAlignment="1">
      <alignment horizontal="left" vertical="center" wrapText="1"/>
    </xf>
    <xf numFmtId="205" fontId="157" fillId="0" borderId="169" xfId="725" applyNumberFormat="1" applyFont="1" applyFill="1" applyBorder="1" applyAlignment="1">
      <alignment horizontal="left" vertical="center" wrapText="1"/>
    </xf>
    <xf numFmtId="205" fontId="157" fillId="0" borderId="357" xfId="725" applyNumberFormat="1" applyFont="1" applyFill="1" applyBorder="1" applyAlignment="1">
      <alignment horizontal="left" vertical="center" wrapText="1"/>
    </xf>
    <xf numFmtId="2" fontId="157" fillId="0" borderId="63" xfId="0" applyNumberFormat="1" applyFont="1" applyBorder="1" applyAlignment="1">
      <alignment horizontal="center" vertical="center" wrapText="1"/>
    </xf>
    <xf numFmtId="0" fontId="157" fillId="0" borderId="63" xfId="0" applyFont="1" applyBorder="1" applyAlignment="1">
      <alignment horizontal="center" vertical="center" wrapText="1"/>
    </xf>
    <xf numFmtId="0" fontId="157" fillId="45" borderId="169" xfId="0" applyFont="1" applyFill="1" applyBorder="1" applyAlignment="1">
      <alignment horizontal="center" vertical="center" wrapText="1"/>
    </xf>
    <xf numFmtId="0" fontId="157" fillId="0" borderId="426" xfId="0" applyFont="1" applyBorder="1" applyAlignment="1">
      <alignment horizontal="center" vertical="center" wrapText="1"/>
    </xf>
    <xf numFmtId="0" fontId="157" fillId="0" borderId="66" xfId="0" applyFont="1" applyBorder="1" applyAlignment="1">
      <alignment horizontal="center" vertical="center" wrapText="1"/>
    </xf>
    <xf numFmtId="0" fontId="157" fillId="0" borderId="357" xfId="0" applyFont="1" applyBorder="1" applyAlignment="1">
      <alignment horizontal="center" vertical="center" wrapText="1"/>
    </xf>
    <xf numFmtId="0" fontId="157" fillId="0" borderId="15" xfId="0" applyFont="1" applyBorder="1" applyAlignment="1">
      <alignment horizontal="center" vertical="center" wrapText="1"/>
    </xf>
    <xf numFmtId="2" fontId="157" fillId="0" borderId="66" xfId="0" applyNumberFormat="1" applyFont="1" applyBorder="1" applyAlignment="1">
      <alignment horizontal="center" vertical="center" wrapText="1"/>
    </xf>
    <xf numFmtId="10" fontId="157" fillId="0" borderId="63" xfId="725" applyNumberFormat="1" applyFont="1" applyFill="1" applyBorder="1" applyAlignment="1">
      <alignment horizontal="center" vertical="center" wrapText="1"/>
    </xf>
    <xf numFmtId="10" fontId="157" fillId="0" borderId="63" xfId="0" applyNumberFormat="1" applyFont="1" applyBorder="1" applyAlignment="1">
      <alignment horizontal="center" vertical="center" wrapText="1"/>
    </xf>
    <xf numFmtId="2" fontId="157" fillId="0" borderId="169" xfId="0" applyNumberFormat="1" applyFont="1" applyBorder="1" applyAlignment="1">
      <alignment horizontal="center" vertical="center" wrapText="1"/>
    </xf>
    <xf numFmtId="10" fontId="157" fillId="0" borderId="169" xfId="725" applyNumberFormat="1" applyFont="1" applyFill="1" applyBorder="1" applyAlignment="1">
      <alignment horizontal="center" vertical="center" wrapText="1"/>
    </xf>
    <xf numFmtId="10" fontId="157" fillId="0" borderId="169" xfId="0" applyNumberFormat="1" applyFont="1" applyBorder="1" applyAlignment="1">
      <alignment horizontal="center" vertical="center" wrapText="1"/>
    </xf>
    <xf numFmtId="1" fontId="157" fillId="0" borderId="426" xfId="0" applyNumberFormat="1" applyFont="1" applyBorder="1" applyAlignment="1">
      <alignment horizontal="left" vertical="center" wrapText="1"/>
    </xf>
    <xf numFmtId="2" fontId="157" fillId="0" borderId="426" xfId="0" applyNumberFormat="1" applyFont="1" applyBorder="1" applyAlignment="1">
      <alignment horizontal="center" vertical="center" wrapText="1"/>
    </xf>
    <xf numFmtId="10" fontId="157" fillId="0" borderId="426" xfId="0" applyNumberFormat="1" applyFont="1" applyBorder="1" applyAlignment="1">
      <alignment horizontal="center" vertical="center" wrapText="1"/>
    </xf>
    <xf numFmtId="2" fontId="157" fillId="0" borderId="357" xfId="0" applyNumberFormat="1" applyFont="1" applyBorder="1" applyAlignment="1">
      <alignment horizontal="center" vertical="center" wrapText="1"/>
    </xf>
    <xf numFmtId="10" fontId="157" fillId="0" borderId="357" xfId="0" applyNumberFormat="1" applyFont="1" applyBorder="1" applyAlignment="1">
      <alignment horizontal="center" vertical="center" wrapText="1"/>
    </xf>
    <xf numFmtId="14" fontId="0" fillId="0" borderId="169" xfId="0" applyNumberFormat="1" applyBorder="1" applyAlignment="1">
      <alignment horizontal="center" vertical="center" wrapText="1"/>
    </xf>
    <xf numFmtId="14" fontId="0" fillId="45" borderId="169" xfId="0" applyNumberFormat="1" applyFill="1" applyBorder="1" applyAlignment="1">
      <alignment horizontal="center" vertical="center" wrapText="1"/>
    </xf>
    <xf numFmtId="0" fontId="0" fillId="0" borderId="15" xfId="0" applyBorder="1" applyAlignment="1">
      <alignment horizontal="left" vertical="center" wrapText="1"/>
    </xf>
    <xf numFmtId="0" fontId="0" fillId="0" borderId="169" xfId="0" applyBorder="1" applyAlignment="1">
      <alignment horizontal="left" vertical="center" wrapText="1"/>
    </xf>
    <xf numFmtId="0" fontId="0" fillId="45" borderId="169" xfId="0" applyFill="1" applyBorder="1" applyAlignment="1">
      <alignment horizontal="left" vertical="center" wrapText="1"/>
    </xf>
    <xf numFmtId="0" fontId="96" fillId="45" borderId="169" xfId="0" applyFont="1" applyFill="1" applyBorder="1" applyAlignment="1">
      <alignment horizontal="left" vertical="center" wrapText="1"/>
    </xf>
    <xf numFmtId="0" fontId="89" fillId="0" borderId="169" xfId="0" applyFont="1" applyBorder="1" applyAlignment="1">
      <alignment horizontal="left" vertical="center" wrapText="1"/>
    </xf>
    <xf numFmtId="0" fontId="96" fillId="0" borderId="169" xfId="0" applyFont="1" applyBorder="1" applyAlignment="1">
      <alignment horizontal="left" vertical="center" wrapText="1"/>
    </xf>
    <xf numFmtId="0" fontId="0" fillId="0" borderId="169" xfId="0" quotePrefix="1" applyBorder="1" applyAlignment="1">
      <alignment horizontal="left" vertical="center" wrapText="1"/>
    </xf>
    <xf numFmtId="9" fontId="0" fillId="45" borderId="169" xfId="0" applyNumberFormat="1" applyFill="1" applyBorder="1" applyAlignment="1">
      <alignment horizontal="center" vertical="center" wrapText="1"/>
    </xf>
    <xf numFmtId="2" fontId="162" fillId="0" borderId="66" xfId="0" applyNumberFormat="1" applyFont="1" applyBorder="1" applyAlignment="1">
      <alignment horizontal="left" vertical="center" wrapText="1"/>
    </xf>
    <xf numFmtId="1" fontId="157" fillId="45" borderId="107" xfId="0" applyNumberFormat="1" applyFont="1" applyFill="1" applyBorder="1" applyAlignment="1">
      <alignment horizontal="center" vertical="center" wrapText="1"/>
    </xf>
    <xf numFmtId="2" fontId="157" fillId="45" borderId="102" xfId="0" applyNumberFormat="1" applyFont="1" applyFill="1" applyBorder="1" applyAlignment="1">
      <alignment horizontal="center" vertical="center" wrapText="1"/>
    </xf>
    <xf numFmtId="2" fontId="157" fillId="45" borderId="102" xfId="0" applyNumberFormat="1" applyFont="1" applyFill="1" applyBorder="1" applyAlignment="1">
      <alignment horizontal="left" vertical="center" wrapText="1"/>
    </xf>
    <xf numFmtId="1" fontId="157" fillId="45" borderId="102" xfId="0" applyNumberFormat="1" applyFont="1" applyFill="1" applyBorder="1" applyAlignment="1">
      <alignment horizontal="left" vertical="center" wrapText="1"/>
    </xf>
    <xf numFmtId="14" fontId="157" fillId="45" borderId="102" xfId="0" applyNumberFormat="1" applyFont="1" applyFill="1" applyBorder="1" applyAlignment="1">
      <alignment horizontal="center" vertical="center" wrapText="1"/>
    </xf>
    <xf numFmtId="2" fontId="157" fillId="45" borderId="63" xfId="0" applyNumberFormat="1" applyFont="1" applyFill="1" applyBorder="1" applyAlignment="1">
      <alignment horizontal="center" vertical="center" wrapText="1"/>
    </xf>
    <xf numFmtId="10" fontId="157" fillId="45" borderId="102" xfId="0" applyNumberFormat="1" applyFont="1" applyFill="1" applyBorder="1" applyAlignment="1">
      <alignment horizontal="center" vertical="center" wrapText="1"/>
    </xf>
    <xf numFmtId="2" fontId="157" fillId="45" borderId="103" xfId="0" applyNumberFormat="1" applyFont="1" applyFill="1" applyBorder="1" applyAlignment="1">
      <alignment horizontal="center" vertical="center"/>
    </xf>
    <xf numFmtId="2" fontId="157" fillId="0" borderId="15" xfId="0" applyNumberFormat="1" applyFont="1" applyBorder="1" applyAlignment="1">
      <alignment horizontal="center" vertical="center" wrapText="1"/>
    </xf>
    <xf numFmtId="2" fontId="157" fillId="0" borderId="104" xfId="0" applyNumberFormat="1" applyFont="1" applyBorder="1" applyAlignment="1">
      <alignment horizontal="center" vertical="center" wrapText="1"/>
    </xf>
    <xf numFmtId="205" fontId="157" fillId="0" borderId="63" xfId="725" applyNumberFormat="1" applyFont="1" applyFill="1" applyBorder="1" applyAlignment="1">
      <alignment horizontal="left" vertical="center" wrapText="1"/>
    </xf>
    <xf numFmtId="14" fontId="157" fillId="0" borderId="66" xfId="0" applyNumberFormat="1" applyFont="1" applyBorder="1" applyAlignment="1">
      <alignment horizontal="center" vertical="center" wrapText="1"/>
    </xf>
    <xf numFmtId="2" fontId="157" fillId="0" borderId="26" xfId="0" applyNumberFormat="1" applyFont="1" applyBorder="1" applyAlignment="1">
      <alignment horizontal="center" vertical="center" wrapText="1"/>
    </xf>
    <xf numFmtId="2" fontId="157" fillId="45" borderId="357" xfId="0" applyNumberFormat="1" applyFont="1" applyFill="1" applyBorder="1" applyAlignment="1">
      <alignment horizontal="center" vertical="center" wrapText="1"/>
    </xf>
    <xf numFmtId="2" fontId="157" fillId="45" borderId="104" xfId="0" applyNumberFormat="1" applyFont="1" applyFill="1" applyBorder="1" applyAlignment="1">
      <alignment horizontal="center" vertical="center" wrapText="1"/>
    </xf>
    <xf numFmtId="246" fontId="0" fillId="0" borderId="0" xfId="0" applyNumberFormat="1" applyAlignment="1">
      <alignment horizontal="center" vertical="center"/>
    </xf>
    <xf numFmtId="0" fontId="0" fillId="41" borderId="74" xfId="0" applyFill="1" applyBorder="1" applyAlignment="1">
      <alignment horizontal="center" vertical="center" wrapText="1"/>
    </xf>
    <xf numFmtId="0" fontId="163" fillId="2" borderId="63" xfId="1" applyFont="1" applyFill="1" applyBorder="1" applyAlignment="1">
      <alignment horizontal="center" vertical="center" wrapText="1"/>
    </xf>
    <xf numFmtId="0" fontId="163" fillId="0" borderId="0" xfId="0" applyFont="1" applyAlignment="1">
      <alignment horizontal="center" vertical="center" wrapText="1"/>
    </xf>
    <xf numFmtId="0" fontId="163" fillId="2" borderId="357" xfId="1" applyFont="1" applyFill="1" applyBorder="1" applyAlignment="1">
      <alignment horizontal="center" vertical="center" wrapText="1"/>
    </xf>
    <xf numFmtId="0" fontId="163" fillId="2" borderId="357" xfId="0" applyFont="1" applyFill="1" applyBorder="1" applyAlignment="1">
      <alignment horizontal="center" vertical="center" wrapText="1"/>
    </xf>
    <xf numFmtId="0" fontId="157" fillId="0" borderId="0" xfId="0" applyFont="1" applyAlignment="1">
      <alignment horizontal="left" vertical="center" wrapText="1"/>
    </xf>
    <xf numFmtId="0" fontId="157" fillId="0" borderId="0" xfId="0" applyFont="1" applyAlignment="1">
      <alignment horizontal="center" vertical="center" wrapText="1"/>
    </xf>
    <xf numFmtId="0" fontId="157" fillId="0" borderId="65" xfId="0" applyFont="1" applyBorder="1" applyAlignment="1">
      <alignment horizontal="center" vertical="center" wrapText="1"/>
    </xf>
    <xf numFmtId="0" fontId="157" fillId="0" borderId="66" xfId="0" applyFont="1" applyBorder="1" applyAlignment="1">
      <alignment horizontal="center" vertical="center"/>
    </xf>
    <xf numFmtId="0" fontId="159" fillId="0" borderId="66" xfId="0" applyFont="1" applyBorder="1" applyAlignment="1">
      <alignment horizontal="left" vertical="center"/>
    </xf>
    <xf numFmtId="246" fontId="157" fillId="0" borderId="67" xfId="0" applyNumberFormat="1" applyFont="1" applyBorder="1" applyAlignment="1">
      <alignment horizontal="center" vertical="center"/>
    </xf>
    <xf numFmtId="0" fontId="157" fillId="0" borderId="66" xfId="0" applyFont="1" applyBorder="1" applyAlignment="1">
      <alignment horizontal="left" vertical="center"/>
    </xf>
    <xf numFmtId="10" fontId="157" fillId="0" borderId="66" xfId="0" applyNumberFormat="1" applyFont="1" applyBorder="1" applyAlignment="1">
      <alignment horizontal="center" vertical="center" wrapText="1"/>
    </xf>
    <xf numFmtId="0" fontId="157" fillId="0" borderId="102" xfId="0" applyFont="1" applyBorder="1" applyAlignment="1">
      <alignment horizontal="center" vertical="center"/>
    </xf>
    <xf numFmtId="205" fontId="157" fillId="0" borderId="63" xfId="725" applyNumberFormat="1" applyFont="1" applyFill="1" applyBorder="1" applyAlignment="1">
      <alignment horizontal="center" vertical="center" wrapText="1"/>
    </xf>
    <xf numFmtId="0" fontId="157" fillId="0" borderId="26" xfId="0" applyFont="1" applyBorder="1" applyAlignment="1">
      <alignment horizontal="center" vertical="center"/>
    </xf>
    <xf numFmtId="205" fontId="157" fillId="0" borderId="357" xfId="725" applyNumberFormat="1" applyFont="1" applyFill="1" applyBorder="1" applyAlignment="1">
      <alignment horizontal="center" vertical="center" wrapText="1"/>
    </xf>
    <xf numFmtId="0" fontId="157" fillId="45" borderId="63" xfId="0" applyFont="1" applyFill="1" applyBorder="1" applyAlignment="1">
      <alignment horizontal="center" vertical="center" wrapText="1"/>
    </xf>
    <xf numFmtId="205" fontId="157" fillId="45" borderId="63" xfId="725" applyNumberFormat="1" applyFont="1" applyFill="1" applyBorder="1" applyAlignment="1">
      <alignment horizontal="center" vertical="center" wrapText="1"/>
    </xf>
    <xf numFmtId="0" fontId="157" fillId="45" borderId="357" xfId="0" applyFont="1" applyFill="1" applyBorder="1" applyAlignment="1">
      <alignment horizontal="center" vertical="center" wrapText="1"/>
    </xf>
    <xf numFmtId="205" fontId="157" fillId="45" borderId="357" xfId="725" applyNumberFormat="1" applyFont="1" applyFill="1" applyBorder="1" applyAlignment="1">
      <alignment horizontal="center" vertical="center" wrapText="1"/>
    </xf>
    <xf numFmtId="0" fontId="157" fillId="45" borderId="26" xfId="0" applyFont="1" applyFill="1" applyBorder="1" applyAlignment="1">
      <alignment horizontal="center" vertical="center"/>
    </xf>
    <xf numFmtId="0" fontId="157" fillId="45" borderId="26" xfId="0" applyFont="1" applyFill="1" applyBorder="1" applyAlignment="1">
      <alignment horizontal="center" vertical="center" wrapText="1"/>
    </xf>
    <xf numFmtId="0" fontId="157" fillId="0" borderId="107" xfId="0" applyFont="1" applyBorder="1" applyAlignment="1">
      <alignment horizontal="center" vertical="center"/>
    </xf>
    <xf numFmtId="14" fontId="157" fillId="0" borderId="102" xfId="0" applyNumberFormat="1" applyFont="1" applyBorder="1" applyAlignment="1">
      <alignment horizontal="center" vertical="center"/>
    </xf>
    <xf numFmtId="2" fontId="157" fillId="0" borderId="26" xfId="0" applyNumberFormat="1" applyFont="1" applyBorder="1" applyAlignment="1">
      <alignment horizontal="center" vertical="center"/>
    </xf>
    <xf numFmtId="0" fontId="157" fillId="0" borderId="103" xfId="0" applyFont="1" applyBorder="1" applyAlignment="1">
      <alignment horizontal="center" vertical="center"/>
    </xf>
    <xf numFmtId="0" fontId="157" fillId="0" borderId="63" xfId="0" applyFont="1" applyBorder="1" applyAlignment="1">
      <alignment horizontal="center" vertical="center"/>
    </xf>
    <xf numFmtId="2" fontId="157" fillId="0" borderId="63" xfId="0" applyNumberFormat="1" applyFont="1" applyBorder="1" applyAlignment="1">
      <alignment horizontal="center" vertical="center"/>
    </xf>
    <xf numFmtId="9" fontId="157" fillId="0" borderId="63" xfId="725" applyFont="1" applyFill="1" applyBorder="1" applyAlignment="1">
      <alignment horizontal="center" vertical="center"/>
    </xf>
    <xf numFmtId="0" fontId="157" fillId="0" borderId="169" xfId="0" applyFont="1" applyBorder="1" applyAlignment="1">
      <alignment horizontal="center" vertical="center"/>
    </xf>
    <xf numFmtId="2" fontId="157" fillId="0" borderId="169" xfId="0" applyNumberFormat="1" applyFont="1" applyBorder="1" applyAlignment="1">
      <alignment horizontal="center" vertical="center"/>
    </xf>
    <xf numFmtId="9" fontId="157" fillId="0" borderId="169" xfId="725" applyFont="1" applyFill="1" applyBorder="1" applyAlignment="1">
      <alignment horizontal="center" vertical="center"/>
    </xf>
    <xf numFmtId="0" fontId="157" fillId="0" borderId="426" xfId="0" applyFont="1" applyBorder="1" applyAlignment="1">
      <alignment horizontal="center" vertical="center"/>
    </xf>
    <xf numFmtId="2" fontId="157" fillId="0" borderId="426" xfId="0" applyNumberFormat="1" applyFont="1" applyBorder="1" applyAlignment="1">
      <alignment horizontal="center" vertical="center"/>
    </xf>
    <xf numFmtId="9" fontId="157" fillId="0" borderId="426" xfId="725" applyFont="1" applyFill="1" applyBorder="1" applyAlignment="1">
      <alignment horizontal="center" vertical="center"/>
    </xf>
    <xf numFmtId="9" fontId="157" fillId="0" borderId="102" xfId="0" applyNumberFormat="1" applyFont="1" applyBorder="1" applyAlignment="1">
      <alignment horizontal="center" vertical="center"/>
    </xf>
    <xf numFmtId="9" fontId="157" fillId="0" borderId="63" xfId="0" applyNumberFormat="1" applyFont="1" applyBorder="1" applyAlignment="1">
      <alignment horizontal="center" vertical="center"/>
    </xf>
    <xf numFmtId="0" fontId="157" fillId="0" borderId="357" xfId="0" applyFont="1" applyBorder="1" applyAlignment="1">
      <alignment horizontal="center" vertical="center"/>
    </xf>
    <xf numFmtId="0" fontId="157" fillId="0" borderId="104" xfId="0" applyFont="1" applyBorder="1" applyAlignment="1">
      <alignment horizontal="center" vertical="center"/>
    </xf>
    <xf numFmtId="14" fontId="157" fillId="0" borderId="104" xfId="0" applyNumberFormat="1" applyFont="1" applyBorder="1" applyAlignment="1">
      <alignment horizontal="center" vertical="center"/>
    </xf>
    <xf numFmtId="2" fontId="157" fillId="0" borderId="357" xfId="0" applyNumberFormat="1" applyFont="1" applyBorder="1" applyAlignment="1">
      <alignment horizontal="center" vertical="center"/>
    </xf>
    <xf numFmtId="9" fontId="157" fillId="0" borderId="357" xfId="0" applyNumberFormat="1" applyFont="1" applyBorder="1" applyAlignment="1">
      <alignment horizontal="center" vertical="center"/>
    </xf>
    <xf numFmtId="0" fontId="157" fillId="0" borderId="108" xfId="0" applyFont="1" applyBorder="1" applyAlignment="1">
      <alignment horizontal="center" vertical="center"/>
    </xf>
    <xf numFmtId="9" fontId="157" fillId="0" borderId="104" xfId="0" applyNumberFormat="1" applyFont="1" applyBorder="1" applyAlignment="1">
      <alignment horizontal="center" vertical="center"/>
    </xf>
    <xf numFmtId="0" fontId="157" fillId="0" borderId="105" xfId="0" applyFont="1" applyBorder="1" applyAlignment="1">
      <alignment horizontal="center" vertical="center"/>
    </xf>
    <xf numFmtId="0" fontId="157" fillId="45" borderId="110" xfId="0" applyFont="1" applyFill="1" applyBorder="1" applyAlignment="1">
      <alignment horizontal="center" vertical="center"/>
    </xf>
    <xf numFmtId="14" fontId="157" fillId="45" borderId="26" xfId="0" applyNumberFormat="1" applyFont="1" applyFill="1" applyBorder="1" applyAlignment="1">
      <alignment horizontal="center" vertical="center"/>
    </xf>
    <xf numFmtId="9" fontId="157" fillId="45" borderId="26" xfId="725" applyFont="1" applyFill="1" applyBorder="1" applyAlignment="1">
      <alignment horizontal="center" vertical="center"/>
    </xf>
    <xf numFmtId="17" fontId="157" fillId="45" borderId="69" xfId="0" applyNumberFormat="1" applyFont="1" applyFill="1" applyBorder="1" applyAlignment="1">
      <alignment horizontal="center" vertical="center"/>
    </xf>
    <xf numFmtId="9" fontId="157" fillId="0" borderId="357" xfId="725" applyFont="1" applyFill="1" applyBorder="1" applyAlignment="1">
      <alignment horizontal="center" vertical="center"/>
    </xf>
    <xf numFmtId="0" fontId="157" fillId="0" borderId="0" xfId="0" applyFont="1" applyAlignment="1">
      <alignment horizontal="center" vertical="center"/>
    </xf>
    <xf numFmtId="2" fontId="157" fillId="45" borderId="26" xfId="0" applyNumberFormat="1" applyFont="1" applyFill="1" applyBorder="1" applyAlignment="1">
      <alignment horizontal="center" vertical="center"/>
    </xf>
    <xf numFmtId="14" fontId="157" fillId="0" borderId="26" xfId="0" applyNumberFormat="1" applyFont="1" applyBorder="1" applyAlignment="1">
      <alignment horizontal="center" vertical="center"/>
    </xf>
    <xf numFmtId="0" fontId="157" fillId="0" borderId="26" xfId="0" applyFont="1" applyBorder="1" applyAlignment="1">
      <alignment horizontal="center" vertical="center" wrapText="1"/>
    </xf>
    <xf numFmtId="0" fontId="157" fillId="0" borderId="69" xfId="0" applyFont="1" applyBorder="1" applyAlignment="1">
      <alignment horizontal="center" vertical="center"/>
    </xf>
    <xf numFmtId="1" fontId="157" fillId="45" borderId="65" xfId="0" applyNumberFormat="1" applyFont="1" applyFill="1" applyBorder="1" applyAlignment="1">
      <alignment horizontal="center" vertical="center" wrapText="1"/>
    </xf>
    <xf numFmtId="2" fontId="157" fillId="45" borderId="66" xfId="0" applyNumberFormat="1" applyFont="1" applyFill="1" applyBorder="1" applyAlignment="1">
      <alignment horizontal="center" vertical="center" wrapText="1"/>
    </xf>
    <xf numFmtId="14" fontId="157" fillId="45" borderId="66" xfId="0" applyNumberFormat="1" applyFont="1" applyFill="1" applyBorder="1" applyAlignment="1">
      <alignment horizontal="center" vertical="center" wrapText="1"/>
    </xf>
    <xf numFmtId="10" fontId="160" fillId="45" borderId="66" xfId="1095" applyNumberFormat="1" applyFont="1" applyFill="1" applyBorder="1" applyAlignment="1">
      <alignment horizontal="center" vertical="center" wrapText="1"/>
    </xf>
    <xf numFmtId="2" fontId="157" fillId="45" borderId="67" xfId="0" applyNumberFormat="1" applyFont="1" applyFill="1" applyBorder="1" applyAlignment="1">
      <alignment horizontal="center" vertical="center"/>
    </xf>
    <xf numFmtId="0" fontId="157" fillId="0" borderId="110" xfId="0" applyFont="1" applyBorder="1" applyAlignment="1">
      <alignment horizontal="center" vertical="center"/>
    </xf>
    <xf numFmtId="10" fontId="157" fillId="0" borderId="26" xfId="725" applyNumberFormat="1" applyFont="1" applyFill="1" applyBorder="1" applyAlignment="1">
      <alignment horizontal="center" vertical="center"/>
    </xf>
    <xf numFmtId="17" fontId="157" fillId="0" borderId="69" xfId="0" applyNumberFormat="1" applyFont="1" applyBorder="1" applyAlignment="1">
      <alignment horizontal="center" vertical="center"/>
    </xf>
    <xf numFmtId="0" fontId="157" fillId="45" borderId="66" xfId="0" applyFont="1" applyFill="1" applyBorder="1" applyAlignment="1">
      <alignment horizontal="center" vertical="center"/>
    </xf>
    <xf numFmtId="10" fontId="157" fillId="0" borderId="63" xfId="725" applyNumberFormat="1" applyFont="1" applyFill="1" applyBorder="1" applyAlignment="1">
      <alignment horizontal="center" vertical="center"/>
    </xf>
    <xf numFmtId="10" fontId="157" fillId="0" borderId="169" xfId="725" applyNumberFormat="1" applyFont="1" applyFill="1" applyBorder="1" applyAlignment="1">
      <alignment horizontal="center" vertical="center"/>
    </xf>
    <xf numFmtId="10" fontId="157" fillId="0" borderId="426" xfId="725" applyNumberFormat="1" applyFont="1" applyFill="1" applyBorder="1" applyAlignment="1">
      <alignment horizontal="center" vertical="center"/>
    </xf>
    <xf numFmtId="0" fontId="157" fillId="0" borderId="65" xfId="0" applyFont="1" applyBorder="1" applyAlignment="1">
      <alignment horizontal="center" vertical="center"/>
    </xf>
    <xf numFmtId="14" fontId="157" fillId="0" borderId="66" xfId="0" applyNumberFormat="1" applyFont="1" applyBorder="1" applyAlignment="1">
      <alignment horizontal="center" vertical="center"/>
    </xf>
    <xf numFmtId="0" fontId="157" fillId="0" borderId="67" xfId="0" applyFont="1" applyBorder="1" applyAlignment="1">
      <alignment horizontal="center" vertical="center"/>
    </xf>
    <xf numFmtId="4" fontId="157" fillId="0" borderId="66" xfId="0" applyNumberFormat="1" applyFont="1" applyBorder="1" applyAlignment="1">
      <alignment horizontal="center" vertical="center"/>
    </xf>
    <xf numFmtId="2" fontId="157" fillId="0" borderId="66" xfId="0" applyNumberFormat="1" applyFont="1" applyBorder="1" applyAlignment="1">
      <alignment horizontal="center" vertical="center"/>
    </xf>
    <xf numFmtId="10" fontId="157" fillId="0" borderId="66" xfId="725" applyNumberFormat="1" applyFont="1" applyFill="1" applyBorder="1" applyAlignment="1">
      <alignment horizontal="center" vertical="center"/>
    </xf>
    <xf numFmtId="0" fontId="163" fillId="2" borderId="431" xfId="0" applyFont="1" applyFill="1" applyBorder="1" applyAlignment="1">
      <alignment horizontal="center" vertical="center" wrapText="1"/>
    </xf>
    <xf numFmtId="0" fontId="157" fillId="0" borderId="114" xfId="0" applyFont="1" applyBorder="1" applyAlignment="1">
      <alignment horizontal="center" vertical="center" wrapText="1"/>
    </xf>
    <xf numFmtId="9" fontId="157" fillId="0" borderId="26" xfId="725" applyFont="1" applyBorder="1" applyAlignment="1">
      <alignment horizontal="center" vertical="center"/>
    </xf>
    <xf numFmtId="10" fontId="157" fillId="0" borderId="114" xfId="725" applyNumberFormat="1" applyFont="1" applyBorder="1" applyAlignment="1">
      <alignment horizontal="center" vertical="center" wrapText="1"/>
    </xf>
    <xf numFmtId="10" fontId="157" fillId="0" borderId="113" xfId="725" applyNumberFormat="1" applyFont="1" applyBorder="1" applyAlignment="1">
      <alignment horizontal="center" vertical="center" wrapText="1"/>
    </xf>
    <xf numFmtId="10" fontId="157" fillId="0" borderId="24" xfId="725" applyNumberFormat="1" applyFont="1" applyBorder="1" applyAlignment="1">
      <alignment horizontal="center" vertical="center" wrapText="1"/>
    </xf>
    <xf numFmtId="10" fontId="157" fillId="45" borderId="430" xfId="725" applyNumberFormat="1" applyFont="1" applyFill="1" applyBorder="1" applyAlignment="1">
      <alignment horizontal="center" vertical="center" wrapText="1"/>
    </xf>
    <xf numFmtId="10" fontId="157" fillId="45" borderId="431" xfId="725" applyNumberFormat="1" applyFont="1" applyFill="1" applyBorder="1" applyAlignment="1">
      <alignment horizontal="center" vertical="center" wrapText="1"/>
    </xf>
    <xf numFmtId="10" fontId="157" fillId="0" borderId="24" xfId="725" applyNumberFormat="1" applyFont="1" applyBorder="1" applyAlignment="1">
      <alignment horizontal="center" vertical="center"/>
    </xf>
    <xf numFmtId="10" fontId="157" fillId="0" borderId="113" xfId="725" applyNumberFormat="1" applyFont="1" applyBorder="1" applyAlignment="1">
      <alignment horizontal="center" vertical="center"/>
    </xf>
    <xf numFmtId="10" fontId="157" fillId="0" borderId="430" xfId="725" applyNumberFormat="1" applyFont="1" applyBorder="1" applyAlignment="1">
      <alignment horizontal="center" vertical="center"/>
    </xf>
    <xf numFmtId="10" fontId="157" fillId="0" borderId="431" xfId="725" applyNumberFormat="1" applyFont="1" applyBorder="1" applyAlignment="1">
      <alignment horizontal="center" vertical="center"/>
    </xf>
    <xf numFmtId="10" fontId="157" fillId="0" borderId="142" xfId="725" applyNumberFormat="1" applyFont="1" applyBorder="1" applyAlignment="1">
      <alignment horizontal="center" vertical="center"/>
    </xf>
    <xf numFmtId="10" fontId="157" fillId="45" borderId="24" xfId="725" applyNumberFormat="1" applyFont="1" applyFill="1" applyBorder="1" applyAlignment="1">
      <alignment horizontal="center" vertical="center" wrapText="1"/>
    </xf>
    <xf numFmtId="10" fontId="157" fillId="45" borderId="114" xfId="725" applyNumberFormat="1" applyFont="1" applyFill="1" applyBorder="1" applyAlignment="1">
      <alignment horizontal="center" vertical="center" wrapText="1"/>
    </xf>
    <xf numFmtId="10" fontId="157" fillId="0" borderId="430" xfId="725" applyNumberFormat="1" applyFont="1" applyFill="1" applyBorder="1" applyAlignment="1">
      <alignment horizontal="center" vertical="center"/>
    </xf>
    <xf numFmtId="10" fontId="157" fillId="0" borderId="433" xfId="725" applyNumberFormat="1" applyFont="1" applyFill="1" applyBorder="1" applyAlignment="1">
      <alignment horizontal="center" vertical="center"/>
    </xf>
    <xf numFmtId="10" fontId="157" fillId="0" borderId="432" xfId="725" applyNumberFormat="1" applyFont="1" applyFill="1" applyBorder="1" applyAlignment="1">
      <alignment horizontal="center" vertical="center"/>
    </xf>
    <xf numFmtId="10" fontId="157" fillId="0" borderId="114" xfId="725" applyNumberFormat="1" applyFont="1" applyFill="1" applyBorder="1" applyAlignment="1">
      <alignment horizontal="center" vertical="center"/>
    </xf>
    <xf numFmtId="0" fontId="157" fillId="41" borderId="430" xfId="0" applyFont="1" applyFill="1" applyBorder="1" applyAlignment="1">
      <alignment horizontal="left" vertical="center" wrapText="1"/>
    </xf>
    <xf numFmtId="0" fontId="157" fillId="41" borderId="433" xfId="0" applyFont="1" applyFill="1" applyBorder="1" applyAlignment="1">
      <alignment horizontal="left" vertical="center" wrapText="1"/>
    </xf>
    <xf numFmtId="0" fontId="157" fillId="0" borderId="433" xfId="0" applyFont="1" applyBorder="1" applyAlignment="1">
      <alignment horizontal="left" vertical="center" wrapText="1"/>
    </xf>
    <xf numFmtId="0" fontId="157" fillId="45" borderId="433" xfId="0" applyFont="1" applyFill="1" applyBorder="1" applyAlignment="1">
      <alignment horizontal="left" vertical="center" wrapText="1"/>
    </xf>
    <xf numFmtId="0" fontId="157" fillId="41" borderId="432" xfId="0" applyFont="1" applyFill="1" applyBorder="1" applyAlignment="1">
      <alignment horizontal="left" vertical="center" wrapText="1"/>
    </xf>
    <xf numFmtId="0" fontId="157" fillId="0" borderId="114" xfId="0" applyFont="1" applyBorder="1" applyAlignment="1">
      <alignment horizontal="left" vertical="center" wrapText="1"/>
    </xf>
    <xf numFmtId="0" fontId="157" fillId="0" borderId="430" xfId="0" applyFont="1" applyBorder="1" applyAlignment="1">
      <alignment horizontal="left" vertical="center" wrapText="1"/>
    </xf>
    <xf numFmtId="0" fontId="157" fillId="0" borderId="431" xfId="0" applyFont="1" applyBorder="1" applyAlignment="1">
      <alignment horizontal="left" vertical="center" wrapText="1"/>
    </xf>
    <xf numFmtId="0" fontId="157" fillId="0" borderId="113" xfId="0" applyFont="1" applyBorder="1" applyAlignment="1">
      <alignment horizontal="left" vertical="center" wrapText="1"/>
    </xf>
    <xf numFmtId="0" fontId="157" fillId="0" borderId="142" xfId="0" applyFont="1" applyBorder="1" applyAlignment="1">
      <alignment horizontal="left" vertical="center" wrapText="1"/>
    </xf>
    <xf numFmtId="0" fontId="157" fillId="0" borderId="24" xfId="0" applyFont="1" applyBorder="1" applyAlignment="1">
      <alignment horizontal="left" vertical="center" wrapText="1"/>
    </xf>
    <xf numFmtId="0" fontId="157" fillId="0" borderId="34" xfId="0" applyFont="1" applyBorder="1" applyAlignment="1">
      <alignment horizontal="left" vertical="center" wrapText="1"/>
    </xf>
    <xf numFmtId="2" fontId="157" fillId="0" borderId="24" xfId="0" applyNumberFormat="1" applyFont="1" applyBorder="1" applyAlignment="1">
      <alignment horizontal="left" vertical="center" wrapText="1"/>
    </xf>
    <xf numFmtId="2" fontId="157" fillId="0" borderId="113" xfId="0" applyNumberFormat="1" applyFont="1" applyBorder="1" applyAlignment="1">
      <alignment horizontal="left" vertical="center" wrapText="1"/>
    </xf>
    <xf numFmtId="2" fontId="157" fillId="0" borderId="142" xfId="0" applyNumberFormat="1" applyFont="1" applyBorder="1" applyAlignment="1">
      <alignment horizontal="left" vertical="center" wrapText="1"/>
    </xf>
    <xf numFmtId="2" fontId="157" fillId="0" borderId="114" xfId="0" applyNumberFormat="1" applyFont="1" applyBorder="1" applyAlignment="1">
      <alignment horizontal="left" vertical="center" wrapText="1"/>
    </xf>
    <xf numFmtId="2" fontId="157" fillId="0" borderId="113" xfId="0" applyNumberFormat="1" applyFont="1" applyBorder="1" applyAlignment="1">
      <alignment horizontal="center" vertical="center" wrapText="1"/>
    </xf>
    <xf numFmtId="2" fontId="157" fillId="0" borderId="24" xfId="0" applyNumberFormat="1" applyFont="1" applyBorder="1" applyAlignment="1">
      <alignment horizontal="center" vertical="center" wrapText="1"/>
    </xf>
    <xf numFmtId="2" fontId="157" fillId="0" borderId="142" xfId="0" applyNumberFormat="1" applyFont="1" applyBorder="1" applyAlignment="1">
      <alignment horizontal="center" vertical="center" wrapText="1"/>
    </xf>
    <xf numFmtId="10" fontId="157" fillId="45" borderId="113" xfId="725" applyNumberFormat="1" applyFont="1" applyFill="1" applyBorder="1" applyAlignment="1">
      <alignment horizontal="center" vertical="center" wrapText="1"/>
    </xf>
    <xf numFmtId="10" fontId="157" fillId="45" borderId="432" xfId="725" applyNumberFormat="1" applyFont="1" applyFill="1" applyBorder="1" applyAlignment="1">
      <alignment horizontal="center" vertical="center" wrapText="1"/>
    </xf>
    <xf numFmtId="0" fontId="157" fillId="45" borderId="436" xfId="0" applyFont="1" applyFill="1" applyBorder="1" applyAlignment="1">
      <alignment horizontal="center" vertical="center" wrapText="1"/>
    </xf>
    <xf numFmtId="2" fontId="157" fillId="45" borderId="436" xfId="0" applyNumberFormat="1" applyFont="1" applyFill="1" applyBorder="1" applyAlignment="1">
      <alignment horizontal="center" vertical="center" wrapText="1"/>
    </xf>
    <xf numFmtId="205" fontId="157" fillId="45" borderId="436" xfId="725" applyNumberFormat="1" applyFont="1" applyFill="1" applyBorder="1" applyAlignment="1">
      <alignment horizontal="center" vertical="center" wrapText="1"/>
    </xf>
    <xf numFmtId="10" fontId="157" fillId="45" borderId="63" xfId="725" applyNumberFormat="1" applyFont="1" applyFill="1" applyBorder="1" applyAlignment="1">
      <alignment horizontal="center" vertical="center" wrapText="1"/>
    </xf>
    <xf numFmtId="10" fontId="157" fillId="45" borderId="357" xfId="725" applyNumberFormat="1" applyFont="1" applyFill="1" applyBorder="1" applyAlignment="1">
      <alignment horizontal="center" vertical="center" wrapText="1"/>
    </xf>
    <xf numFmtId="9" fontId="157" fillId="0" borderId="0" xfId="725" applyFont="1" applyAlignment="1">
      <alignment horizontal="center" vertical="center"/>
    </xf>
    <xf numFmtId="9" fontId="157" fillId="0" borderId="66" xfId="725" applyFont="1" applyFill="1" applyBorder="1" applyAlignment="1">
      <alignment horizontal="center" vertical="center"/>
    </xf>
    <xf numFmtId="17" fontId="157" fillId="0" borderId="103" xfId="0" applyNumberFormat="1" applyFont="1" applyBorder="1" applyAlignment="1">
      <alignment horizontal="center" vertical="center"/>
    </xf>
    <xf numFmtId="245" fontId="157" fillId="0" borderId="66" xfId="724" applyNumberFormat="1" applyFont="1" applyFill="1" applyBorder="1" applyAlignment="1">
      <alignment horizontal="center" vertical="center"/>
    </xf>
    <xf numFmtId="245" fontId="157" fillId="0" borderId="66" xfId="724" applyNumberFormat="1" applyFont="1" applyBorder="1" applyAlignment="1">
      <alignment horizontal="center" vertical="center" wrapText="1"/>
    </xf>
    <xf numFmtId="245" fontId="157" fillId="0" borderId="63" xfId="724" applyNumberFormat="1" applyFont="1" applyBorder="1" applyAlignment="1">
      <alignment horizontal="center" vertical="center" wrapText="1"/>
    </xf>
    <xf numFmtId="245" fontId="157" fillId="0" borderId="426" xfId="724" applyNumberFormat="1" applyFont="1" applyBorder="1" applyAlignment="1">
      <alignment horizontal="center" vertical="center" wrapText="1"/>
    </xf>
    <xf numFmtId="245" fontId="157" fillId="45" borderId="63" xfId="724" applyNumberFormat="1" applyFont="1" applyFill="1" applyBorder="1" applyAlignment="1">
      <alignment horizontal="center" vertical="center" wrapText="1"/>
    </xf>
    <xf numFmtId="245" fontId="157" fillId="45" borderId="436" xfId="724" applyNumberFormat="1" applyFont="1" applyFill="1" applyBorder="1" applyAlignment="1">
      <alignment horizontal="center" vertical="center" wrapText="1"/>
    </xf>
    <xf numFmtId="245" fontId="157" fillId="45" borderId="357" xfId="724" applyNumberFormat="1" applyFont="1" applyFill="1" applyBorder="1" applyAlignment="1">
      <alignment horizontal="center" vertical="center" wrapText="1"/>
    </xf>
    <xf numFmtId="245" fontId="157" fillId="0" borderId="26" xfId="724" applyNumberFormat="1" applyFont="1" applyBorder="1" applyAlignment="1">
      <alignment horizontal="center" vertical="center"/>
    </xf>
    <xf numFmtId="245" fontId="157" fillId="0" borderId="63" xfId="724" applyNumberFormat="1" applyFont="1" applyBorder="1" applyAlignment="1">
      <alignment horizontal="center" vertical="center"/>
    </xf>
    <xf numFmtId="245" fontId="157" fillId="0" borderId="169" xfId="724" applyNumberFormat="1" applyFont="1" applyBorder="1" applyAlignment="1">
      <alignment horizontal="center" vertical="center"/>
    </xf>
    <xf numFmtId="245" fontId="157" fillId="0" borderId="426" xfId="724" applyNumberFormat="1" applyFont="1" applyBorder="1" applyAlignment="1">
      <alignment horizontal="center" vertical="center"/>
    </xf>
    <xf numFmtId="245" fontId="157" fillId="0" borderId="102" xfId="724" applyNumberFormat="1" applyFont="1" applyBorder="1" applyAlignment="1">
      <alignment horizontal="center" vertical="center"/>
    </xf>
    <xf numFmtId="245" fontId="157" fillId="0" borderId="357" xfId="724" applyNumberFormat="1" applyFont="1" applyBorder="1" applyAlignment="1">
      <alignment horizontal="center" vertical="center"/>
    </xf>
    <xf numFmtId="245" fontId="157" fillId="0" borderId="104" xfId="724" applyNumberFormat="1" applyFont="1" applyBorder="1" applyAlignment="1">
      <alignment horizontal="center" vertical="center"/>
    </xf>
    <xf numFmtId="245" fontId="157" fillId="45" borderId="26" xfId="724" applyNumberFormat="1" applyFont="1" applyFill="1" applyBorder="1" applyAlignment="1">
      <alignment horizontal="center" vertical="center"/>
    </xf>
    <xf numFmtId="245" fontId="157" fillId="45" borderId="66" xfId="724" applyNumberFormat="1" applyFont="1" applyFill="1" applyBorder="1" applyAlignment="1">
      <alignment horizontal="center" vertical="center" wrapText="1"/>
    </xf>
    <xf numFmtId="245" fontId="157" fillId="0" borderId="66" xfId="724" applyNumberFormat="1" applyFont="1" applyBorder="1" applyAlignment="1">
      <alignment horizontal="center" vertical="center"/>
    </xf>
    <xf numFmtId="245" fontId="157" fillId="0" borderId="15" xfId="724" applyNumberFormat="1" applyFont="1" applyFill="1" applyBorder="1" applyAlignment="1">
      <alignment horizontal="center" vertical="center"/>
    </xf>
    <xf numFmtId="0" fontId="157" fillId="0" borderId="15" xfId="0" applyFont="1" applyBorder="1" applyAlignment="1">
      <alignment horizontal="center" vertical="center"/>
    </xf>
    <xf numFmtId="245" fontId="157" fillId="0" borderId="357" xfId="724" applyNumberFormat="1" applyFont="1" applyFill="1" applyBorder="1" applyAlignment="1">
      <alignment horizontal="center" vertical="center"/>
    </xf>
    <xf numFmtId="245" fontId="157" fillId="0" borderId="63" xfId="724" applyNumberFormat="1" applyFont="1" applyFill="1" applyBorder="1" applyAlignment="1">
      <alignment horizontal="center" vertical="center"/>
    </xf>
    <xf numFmtId="0" fontId="157" fillId="0" borderId="436" xfId="0" applyFont="1" applyBorder="1" applyAlignment="1">
      <alignment horizontal="center" vertical="center"/>
    </xf>
    <xf numFmtId="168" fontId="157" fillId="0" borderId="63" xfId="724" applyFont="1" applyFill="1" applyBorder="1" applyAlignment="1">
      <alignment horizontal="center" vertical="center"/>
    </xf>
    <xf numFmtId="168" fontId="157" fillId="0" borderId="169" xfId="724" applyFont="1" applyFill="1" applyBorder="1" applyAlignment="1">
      <alignment horizontal="center" vertical="center"/>
    </xf>
    <xf numFmtId="168" fontId="157" fillId="0" borderId="357" xfId="724" applyFont="1" applyFill="1" applyBorder="1" applyAlignment="1">
      <alignment horizontal="center" vertical="center"/>
    </xf>
    <xf numFmtId="168" fontId="157" fillId="0" borderId="66" xfId="724" applyFont="1" applyFill="1" applyBorder="1" applyAlignment="1">
      <alignment horizontal="center" vertical="center"/>
    </xf>
    <xf numFmtId="168" fontId="157" fillId="0" borderId="15" xfId="724" applyFont="1" applyFill="1" applyBorder="1" applyAlignment="1">
      <alignment horizontal="center" vertical="center"/>
    </xf>
    <xf numFmtId="9" fontId="157" fillId="0" borderId="15" xfId="725" applyFont="1" applyFill="1" applyBorder="1" applyAlignment="1">
      <alignment horizontal="center" vertical="center"/>
    </xf>
    <xf numFmtId="245" fontId="157" fillId="0" borderId="102" xfId="724" applyNumberFormat="1" applyFont="1" applyFill="1" applyBorder="1" applyAlignment="1">
      <alignment horizontal="center" vertical="center"/>
    </xf>
    <xf numFmtId="168" fontId="157" fillId="0" borderId="102" xfId="724" applyFont="1" applyBorder="1" applyAlignment="1">
      <alignment horizontal="center" vertical="center"/>
    </xf>
    <xf numFmtId="168" fontId="157" fillId="0" borderId="169" xfId="724" applyFont="1" applyBorder="1" applyAlignment="1">
      <alignment horizontal="center" vertical="center"/>
    </xf>
    <xf numFmtId="168" fontId="157" fillId="0" borderId="63" xfId="724" applyFont="1" applyBorder="1" applyAlignment="1">
      <alignment horizontal="center" vertical="center"/>
    </xf>
    <xf numFmtId="168" fontId="157" fillId="0" borderId="357" xfId="724" applyFont="1" applyBorder="1" applyAlignment="1">
      <alignment horizontal="center" vertical="center"/>
    </xf>
    <xf numFmtId="168" fontId="157" fillId="0" borderId="436" xfId="724" applyFont="1" applyBorder="1" applyAlignment="1">
      <alignment horizontal="center" vertical="center"/>
    </xf>
    <xf numFmtId="0" fontId="157" fillId="0" borderId="114" xfId="0" applyFont="1" applyBorder="1" applyAlignment="1">
      <alignment horizontal="center" vertical="center"/>
    </xf>
    <xf numFmtId="0" fontId="157" fillId="0" borderId="138" xfId="0" applyFont="1" applyBorder="1" applyAlignment="1">
      <alignment horizontal="center" vertical="center"/>
    </xf>
    <xf numFmtId="17" fontId="157" fillId="0" borderId="131" xfId="0" applyNumberFormat="1" applyFont="1" applyBorder="1" applyAlignment="1">
      <alignment horizontal="center" vertical="center"/>
    </xf>
    <xf numFmtId="0" fontId="157" fillId="45" borderId="169" xfId="0" applyFont="1" applyFill="1" applyBorder="1" applyAlignment="1">
      <alignment horizontal="center" vertical="center"/>
    </xf>
    <xf numFmtId="168" fontId="157" fillId="45" borderId="169" xfId="724" applyFont="1" applyFill="1" applyBorder="1" applyAlignment="1">
      <alignment horizontal="center" vertical="center"/>
    </xf>
    <xf numFmtId="0" fontId="157" fillId="45" borderId="63" xfId="0" applyFont="1" applyFill="1" applyBorder="1" applyAlignment="1">
      <alignment horizontal="center" vertical="center"/>
    </xf>
    <xf numFmtId="168" fontId="157" fillId="45" borderId="63" xfId="724" applyFont="1" applyFill="1" applyBorder="1" applyAlignment="1">
      <alignment horizontal="center" vertical="center"/>
    </xf>
    <xf numFmtId="0" fontId="157" fillId="45" borderId="357" xfId="0" applyFont="1" applyFill="1" applyBorder="1" applyAlignment="1">
      <alignment horizontal="center" vertical="center"/>
    </xf>
    <xf numFmtId="168" fontId="157" fillId="45" borderId="357" xfId="724" applyFont="1" applyFill="1" applyBorder="1" applyAlignment="1">
      <alignment horizontal="center" vertical="center"/>
    </xf>
    <xf numFmtId="168" fontId="157" fillId="45" borderId="169" xfId="0" applyNumberFormat="1" applyFont="1" applyFill="1" applyBorder="1" applyAlignment="1">
      <alignment horizontal="center" vertical="center"/>
    </xf>
    <xf numFmtId="0" fontId="157" fillId="42" borderId="26" xfId="0" applyFont="1" applyFill="1" applyBorder="1" applyAlignment="1">
      <alignment horizontal="center" vertical="center"/>
    </xf>
    <xf numFmtId="0" fontId="157" fillId="42" borderId="65" xfId="0" applyFont="1" applyFill="1" applyBorder="1" applyAlignment="1">
      <alignment horizontal="center" vertical="center"/>
    </xf>
    <xf numFmtId="0" fontId="157" fillId="42" borderId="66" xfId="0" applyFont="1" applyFill="1" applyBorder="1" applyAlignment="1">
      <alignment horizontal="center" vertical="center"/>
    </xf>
    <xf numFmtId="0" fontId="157" fillId="42" borderId="67" xfId="0" applyFont="1" applyFill="1" applyBorder="1" applyAlignment="1">
      <alignment horizontal="center" vertical="center"/>
    </xf>
    <xf numFmtId="168" fontId="157" fillId="42" borderId="26" xfId="724" applyFont="1" applyFill="1" applyBorder="1" applyAlignment="1">
      <alignment horizontal="center" vertical="center"/>
    </xf>
    <xf numFmtId="0" fontId="157" fillId="42" borderId="63" xfId="0" applyFont="1" applyFill="1" applyBorder="1" applyAlignment="1">
      <alignment horizontal="center" vertical="center"/>
    </xf>
    <xf numFmtId="168" fontId="157" fillId="42" borderId="63" xfId="724" applyFont="1" applyFill="1" applyBorder="1" applyAlignment="1">
      <alignment horizontal="center" vertical="center"/>
    </xf>
    <xf numFmtId="0" fontId="157" fillId="42" borderId="131" xfId="0" applyFont="1" applyFill="1" applyBorder="1" applyAlignment="1">
      <alignment horizontal="center" vertical="center"/>
    </xf>
    <xf numFmtId="0" fontId="157" fillId="42" borderId="357" xfId="0" applyFont="1" applyFill="1" applyBorder="1" applyAlignment="1">
      <alignment horizontal="center" vertical="center"/>
    </xf>
    <xf numFmtId="0" fontId="157" fillId="42" borderId="321" xfId="0" applyFont="1" applyFill="1" applyBorder="1" applyAlignment="1">
      <alignment horizontal="center" vertical="center"/>
    </xf>
    <xf numFmtId="168" fontId="157" fillId="45" borderId="63" xfId="0" applyNumberFormat="1" applyFont="1" applyFill="1" applyBorder="1" applyAlignment="1">
      <alignment horizontal="center" vertical="center"/>
    </xf>
    <xf numFmtId="17" fontId="157" fillId="45" borderId="131" xfId="0" applyNumberFormat="1" applyFont="1" applyFill="1" applyBorder="1" applyAlignment="1">
      <alignment horizontal="center" vertical="center"/>
    </xf>
    <xf numFmtId="17" fontId="157" fillId="45" borderId="320" xfId="0" applyNumberFormat="1" applyFont="1" applyFill="1" applyBorder="1" applyAlignment="1">
      <alignment horizontal="center" vertical="center"/>
    </xf>
    <xf numFmtId="168" fontId="157" fillId="45" borderId="357" xfId="0" applyNumberFormat="1" applyFont="1" applyFill="1" applyBorder="1" applyAlignment="1">
      <alignment horizontal="center" vertical="center"/>
    </xf>
    <xf numFmtId="17" fontId="157" fillId="45" borderId="321" xfId="0" applyNumberFormat="1" applyFont="1" applyFill="1" applyBorder="1" applyAlignment="1">
      <alignment horizontal="center" vertical="center"/>
    </xf>
    <xf numFmtId="0" fontId="157" fillId="45" borderId="65" xfId="0" applyFont="1" applyFill="1" applyBorder="1" applyAlignment="1">
      <alignment horizontal="center" vertical="center"/>
    </xf>
    <xf numFmtId="14" fontId="157" fillId="45" borderId="66" xfId="0" applyNumberFormat="1" applyFont="1" applyFill="1" applyBorder="1" applyAlignment="1">
      <alignment horizontal="center" vertical="center"/>
    </xf>
    <xf numFmtId="168" fontId="157" fillId="45" borderId="66" xfId="724" applyFont="1" applyFill="1" applyBorder="1" applyAlignment="1">
      <alignment horizontal="center" vertical="center"/>
    </xf>
    <xf numFmtId="168" fontId="157" fillId="45" borderId="66" xfId="0" applyNumberFormat="1" applyFont="1" applyFill="1" applyBorder="1" applyAlignment="1">
      <alignment horizontal="center" vertical="center"/>
    </xf>
    <xf numFmtId="17" fontId="157" fillId="45" borderId="67" xfId="0" applyNumberFormat="1" applyFont="1" applyFill="1" applyBorder="1" applyAlignment="1">
      <alignment horizontal="center" vertical="center"/>
    </xf>
    <xf numFmtId="17" fontId="157" fillId="0" borderId="321" xfId="0" applyNumberFormat="1" applyFont="1" applyBorder="1" applyAlignment="1">
      <alignment horizontal="center" vertical="center"/>
    </xf>
    <xf numFmtId="168" fontId="157" fillId="42" borderId="66" xfId="724" applyFont="1" applyFill="1" applyBorder="1" applyAlignment="1">
      <alignment horizontal="center" vertical="center"/>
    </xf>
    <xf numFmtId="15" fontId="157" fillId="0" borderId="66" xfId="0" applyNumberFormat="1" applyFont="1" applyBorder="1" applyAlignment="1">
      <alignment horizontal="center" vertical="center"/>
    </xf>
    <xf numFmtId="17" fontId="157" fillId="0" borderId="67" xfId="0" applyNumberFormat="1" applyFont="1" applyBorder="1" applyAlignment="1">
      <alignment horizontal="center" vertical="center"/>
    </xf>
    <xf numFmtId="15" fontId="157" fillId="0" borderId="102" xfId="0" applyNumberFormat="1" applyFont="1" applyBorder="1" applyAlignment="1">
      <alignment horizontal="center" vertical="center"/>
    </xf>
    <xf numFmtId="0" fontId="165" fillId="0" borderId="63" xfId="0" applyFont="1" applyBorder="1" applyAlignment="1">
      <alignment horizontal="left" vertical="center"/>
    </xf>
    <xf numFmtId="0" fontId="165" fillId="0" borderId="169" xfId="0" applyFont="1" applyBorder="1" applyAlignment="1">
      <alignment horizontal="left" vertical="center"/>
    </xf>
    <xf numFmtId="0" fontId="165" fillId="0" borderId="63" xfId="0" applyFont="1" applyBorder="1" applyAlignment="1">
      <alignment horizontal="left" vertical="center" wrapText="1"/>
    </xf>
    <xf numFmtId="0" fontId="165" fillId="0" borderId="169" xfId="0" applyFont="1" applyBorder="1" applyAlignment="1">
      <alignment horizontal="left" vertical="center" wrapText="1"/>
    </xf>
    <xf numFmtId="0" fontId="165" fillId="0" borderId="357" xfId="0" applyFont="1" applyBorder="1" applyAlignment="1">
      <alignment horizontal="left" vertical="center" wrapText="1"/>
    </xf>
    <xf numFmtId="0" fontId="165" fillId="0" borderId="357" xfId="0" applyFont="1" applyBorder="1" applyAlignment="1">
      <alignment horizontal="left" vertical="center"/>
    </xf>
    <xf numFmtId="0" fontId="165" fillId="0" borderId="66" xfId="0" applyFont="1" applyBorder="1" applyAlignment="1">
      <alignment horizontal="left" vertical="center" wrapText="1"/>
    </xf>
    <xf numFmtId="0" fontId="165" fillId="0" borderId="66" xfId="0" applyFont="1" applyBorder="1" applyAlignment="1">
      <alignment horizontal="left" vertical="center"/>
    </xf>
    <xf numFmtId="0" fontId="164" fillId="0" borderId="319" xfId="0" applyFont="1" applyBorder="1" applyAlignment="1">
      <alignment horizontal="center" vertical="center"/>
    </xf>
    <xf numFmtId="0" fontId="164" fillId="0" borderId="169" xfId="0" applyFont="1" applyBorder="1" applyAlignment="1">
      <alignment vertical="center"/>
    </xf>
    <xf numFmtId="0" fontId="164" fillId="0" borderId="320" xfId="0" applyFont="1" applyBorder="1" applyAlignment="1">
      <alignment horizontal="right" vertical="center"/>
    </xf>
    <xf numFmtId="0" fontId="164" fillId="0" borderId="322" xfId="0" applyFont="1" applyBorder="1" applyAlignment="1">
      <alignment horizontal="center" vertical="center"/>
    </xf>
    <xf numFmtId="0" fontId="164" fillId="0" borderId="357" xfId="0" applyFont="1" applyBorder="1" applyAlignment="1">
      <alignment vertical="center"/>
    </xf>
    <xf numFmtId="0" fontId="164" fillId="0" borderId="321" xfId="0" applyFont="1" applyBorder="1" applyAlignment="1">
      <alignment horizontal="right" vertical="center"/>
    </xf>
    <xf numFmtId="0" fontId="164" fillId="0" borderId="65" xfId="0" applyFont="1" applyBorder="1" applyAlignment="1">
      <alignment horizontal="center" vertical="center"/>
    </xf>
    <xf numFmtId="0" fontId="164" fillId="0" borderId="66" xfId="0" applyFont="1" applyBorder="1" applyAlignment="1">
      <alignment horizontal="center" vertical="center"/>
    </xf>
    <xf numFmtId="0" fontId="165" fillId="0" borderId="65" xfId="0" applyFont="1" applyBorder="1" applyAlignment="1">
      <alignment horizontal="center" vertical="center" wrapText="1"/>
    </xf>
    <xf numFmtId="168" fontId="0" fillId="0" borderId="0" xfId="724" applyFont="1" applyAlignment="1">
      <alignment horizontal="center" vertical="center"/>
    </xf>
    <xf numFmtId="168" fontId="165" fillId="0" borderId="131" xfId="724" applyFont="1" applyFill="1" applyBorder="1" applyAlignment="1">
      <alignment horizontal="center" vertical="center"/>
    </xf>
    <xf numFmtId="168" fontId="165" fillId="0" borderId="320" xfId="724" applyFont="1" applyFill="1" applyBorder="1" applyAlignment="1">
      <alignment horizontal="center" vertical="center"/>
    </xf>
    <xf numFmtId="168" fontId="165" fillId="0" borderId="321" xfId="724" applyFont="1" applyFill="1" applyBorder="1" applyAlignment="1">
      <alignment horizontal="center" vertical="center"/>
    </xf>
    <xf numFmtId="168" fontId="165" fillId="0" borderId="67" xfId="724" applyFont="1" applyFill="1" applyBorder="1" applyAlignment="1">
      <alignment horizontal="center" vertical="center"/>
    </xf>
    <xf numFmtId="168" fontId="164" fillId="0" borderId="67" xfId="724" applyFont="1" applyBorder="1" applyAlignment="1">
      <alignment horizontal="center" vertical="center"/>
    </xf>
    <xf numFmtId="0" fontId="164" fillId="0" borderId="109" xfId="0" applyFont="1" applyBorder="1" applyAlignment="1">
      <alignment horizontal="center" vertical="center"/>
    </xf>
    <xf numFmtId="0" fontId="164" fillId="0" borderId="15" xfId="0" applyFont="1" applyBorder="1" applyAlignment="1">
      <alignment vertical="center"/>
    </xf>
    <xf numFmtId="0" fontId="164" fillId="0" borderId="112" xfId="0" applyFont="1" applyBorder="1" applyAlignment="1">
      <alignment horizontal="right" vertical="center"/>
    </xf>
    <xf numFmtId="0" fontId="164" fillId="0" borderId="66" xfId="0" applyFont="1" applyBorder="1" applyAlignment="1">
      <alignment vertical="center"/>
    </xf>
    <xf numFmtId="0" fontId="164" fillId="0" borderId="67" xfId="0" applyFont="1" applyBorder="1" applyAlignment="1">
      <alignment vertical="center"/>
    </xf>
    <xf numFmtId="0" fontId="160" fillId="0" borderId="63" xfId="0" applyFont="1" applyBorder="1" applyAlignment="1">
      <alignment horizontal="center" vertical="center" wrapText="1"/>
    </xf>
    <xf numFmtId="0" fontId="160" fillId="0" borderId="63" xfId="0" applyFont="1" applyBorder="1" applyAlignment="1">
      <alignment horizontal="center" vertical="center"/>
    </xf>
    <xf numFmtId="0" fontId="160" fillId="0" borderId="169" xfId="0" applyFont="1" applyBorder="1" applyAlignment="1">
      <alignment horizontal="center" vertical="center" wrapText="1"/>
    </xf>
    <xf numFmtId="0" fontId="160" fillId="0" borderId="169" xfId="0" applyFont="1" applyBorder="1" applyAlignment="1">
      <alignment horizontal="center" vertical="center"/>
    </xf>
    <xf numFmtId="0" fontId="160" fillId="0" borderId="357" xfId="0" applyFont="1" applyBorder="1" applyAlignment="1">
      <alignment horizontal="center" vertical="center" wrapText="1"/>
    </xf>
    <xf numFmtId="0" fontId="160" fillId="0" borderId="357" xfId="0" applyFont="1" applyBorder="1" applyAlignment="1">
      <alignment horizontal="center" vertical="center"/>
    </xf>
    <xf numFmtId="0" fontId="157" fillId="45" borderId="63" xfId="0" applyFont="1" applyFill="1" applyBorder="1" applyAlignment="1">
      <alignment horizontal="left" vertical="center" wrapText="1"/>
    </xf>
    <xf numFmtId="0" fontId="157" fillId="45" borderId="436" xfId="0" applyFont="1" applyFill="1" applyBorder="1" applyAlignment="1">
      <alignment horizontal="left" vertical="center" wrapText="1"/>
    </xf>
    <xf numFmtId="0" fontId="157" fillId="45" borderId="357" xfId="0" applyFont="1" applyFill="1" applyBorder="1" applyAlignment="1">
      <alignment horizontal="left" vertical="center" wrapText="1"/>
    </xf>
    <xf numFmtId="0" fontId="157" fillId="0" borderId="26" xfId="0" applyFont="1" applyBorder="1" applyAlignment="1">
      <alignment horizontal="left" vertical="center"/>
    </xf>
    <xf numFmtId="0" fontId="157" fillId="0" borderId="63" xfId="0" applyFont="1" applyBorder="1" applyAlignment="1">
      <alignment horizontal="left" vertical="center"/>
    </xf>
    <xf numFmtId="0" fontId="157" fillId="0" borderId="169" xfId="0" applyFont="1" applyBorder="1" applyAlignment="1">
      <alignment horizontal="left" vertical="center"/>
    </xf>
    <xf numFmtId="0" fontId="157" fillId="0" borderId="426" xfId="0" applyFont="1" applyBorder="1" applyAlignment="1">
      <alignment horizontal="left" vertical="center"/>
    </xf>
    <xf numFmtId="0" fontId="157" fillId="0" borderId="102" xfId="0" applyFont="1" applyBorder="1" applyAlignment="1">
      <alignment horizontal="left" vertical="center"/>
    </xf>
    <xf numFmtId="0" fontId="157" fillId="0" borderId="357" xfId="0" applyFont="1" applyBorder="1" applyAlignment="1">
      <alignment horizontal="left" vertical="center"/>
    </xf>
    <xf numFmtId="0" fontId="157" fillId="0" borderId="104" xfId="0" applyFont="1" applyBorder="1" applyAlignment="1">
      <alignment horizontal="left" vertical="center"/>
    </xf>
    <xf numFmtId="0" fontId="157" fillId="45" borderId="26" xfId="0" applyFont="1" applyFill="1" applyBorder="1" applyAlignment="1">
      <alignment horizontal="left" vertical="center"/>
    </xf>
    <xf numFmtId="2" fontId="157" fillId="45" borderId="66" xfId="0" applyNumberFormat="1" applyFont="1" applyFill="1" applyBorder="1" applyAlignment="1">
      <alignment horizontal="left" vertical="center" wrapText="1"/>
    </xf>
    <xf numFmtId="0" fontId="157" fillId="0" borderId="436" xfId="0" applyFont="1" applyBorder="1" applyAlignment="1">
      <alignment horizontal="left" vertical="center"/>
    </xf>
    <xf numFmtId="0" fontId="157" fillId="0" borderId="15" xfId="0" applyFont="1" applyBorder="1" applyAlignment="1">
      <alignment horizontal="left" vertical="center"/>
    </xf>
    <xf numFmtId="0" fontId="157" fillId="42" borderId="66" xfId="0" applyFont="1" applyFill="1" applyBorder="1" applyAlignment="1">
      <alignment horizontal="left" vertical="center"/>
    </xf>
    <xf numFmtId="0" fontId="157" fillId="45" borderId="66" xfId="0" applyFont="1" applyFill="1" applyBorder="1" applyAlignment="1">
      <alignment horizontal="left" vertical="center"/>
    </xf>
    <xf numFmtId="0" fontId="157" fillId="45" borderId="63" xfId="0" applyFont="1" applyFill="1" applyBorder="1" applyAlignment="1">
      <alignment horizontal="left" vertical="center"/>
    </xf>
    <xf numFmtId="0" fontId="157" fillId="45" borderId="169" xfId="0" applyFont="1" applyFill="1" applyBorder="1" applyAlignment="1">
      <alignment horizontal="left" vertical="center"/>
    </xf>
    <xf numFmtId="0" fontId="157" fillId="45" borderId="357" xfId="0" applyFont="1" applyFill="1" applyBorder="1" applyAlignment="1">
      <alignment horizontal="left" vertical="center"/>
    </xf>
    <xf numFmtId="0" fontId="157" fillId="42" borderId="26" xfId="0" applyFont="1" applyFill="1" applyBorder="1" applyAlignment="1">
      <alignment horizontal="left" vertical="center"/>
    </xf>
    <xf numFmtId="0" fontId="157" fillId="42" borderId="63" xfId="0" applyFont="1" applyFill="1" applyBorder="1" applyAlignment="1">
      <alignment horizontal="left" vertical="center"/>
    </xf>
    <xf numFmtId="0" fontId="157" fillId="42" borderId="357" xfId="0" applyFont="1" applyFill="1" applyBorder="1" applyAlignment="1">
      <alignment horizontal="left" vertical="center"/>
    </xf>
    <xf numFmtId="0" fontId="157" fillId="0" borderId="0" xfId="0" applyFont="1" applyAlignment="1">
      <alignment horizontal="left" vertical="center"/>
    </xf>
    <xf numFmtId="168" fontId="160" fillId="0" borderId="63" xfId="724" applyFont="1" applyFill="1" applyBorder="1" applyAlignment="1">
      <alignment horizontal="center" vertical="center"/>
    </xf>
    <xf numFmtId="168" fontId="160" fillId="0" borderId="169" xfId="724" applyFont="1" applyFill="1" applyBorder="1" applyAlignment="1">
      <alignment horizontal="center" vertical="center"/>
    </xf>
    <xf numFmtId="168" fontId="160" fillId="0" borderId="357" xfId="724" applyFont="1" applyFill="1" applyBorder="1" applyAlignment="1">
      <alignment horizontal="center" vertical="center"/>
    </xf>
    <xf numFmtId="10" fontId="160" fillId="0" borderId="63" xfId="725" applyNumberFormat="1" applyFont="1" applyFill="1" applyBorder="1" applyAlignment="1">
      <alignment horizontal="center" vertical="center"/>
    </xf>
    <xf numFmtId="10" fontId="160" fillId="0" borderId="169" xfId="725" applyNumberFormat="1" applyFont="1" applyFill="1" applyBorder="1" applyAlignment="1">
      <alignment horizontal="center" vertical="center"/>
    </xf>
    <xf numFmtId="10" fontId="160" fillId="0" borderId="357" xfId="725" applyNumberFormat="1" applyFont="1" applyFill="1" applyBorder="1" applyAlignment="1">
      <alignment horizontal="center" vertical="center"/>
    </xf>
    <xf numFmtId="205" fontId="160" fillId="0" borderId="63" xfId="0" applyNumberFormat="1" applyFont="1" applyBorder="1" applyAlignment="1">
      <alignment horizontal="center" vertical="center"/>
    </xf>
    <xf numFmtId="205" fontId="160" fillId="0" borderId="447" xfId="725" applyNumberFormat="1" applyFont="1" applyBorder="1" applyAlignment="1">
      <alignment horizontal="center" vertical="center"/>
    </xf>
    <xf numFmtId="205" fontId="160" fillId="0" borderId="447" xfId="0" applyNumberFormat="1" applyFont="1" applyBorder="1" applyAlignment="1">
      <alignment horizontal="center" vertical="center"/>
    </xf>
    <xf numFmtId="1" fontId="157" fillId="0" borderId="15" xfId="0" applyNumberFormat="1" applyFont="1" applyBorder="1" applyAlignment="1">
      <alignment horizontal="center" vertical="center"/>
    </xf>
    <xf numFmtId="1" fontId="157" fillId="0" borderId="357" xfId="0" applyNumberFormat="1" applyFont="1" applyBorder="1" applyAlignment="1">
      <alignment horizontal="center" vertical="center"/>
    </xf>
    <xf numFmtId="0" fontId="160" fillId="45" borderId="63" xfId="0" applyFont="1" applyFill="1" applyBorder="1" applyAlignment="1">
      <alignment horizontal="center" vertical="center" wrapText="1"/>
    </xf>
    <xf numFmtId="0" fontId="160" fillId="45" borderId="63" xfId="0" applyFont="1" applyFill="1" applyBorder="1" applyAlignment="1">
      <alignment horizontal="center" vertical="center"/>
    </xf>
    <xf numFmtId="168" fontId="160" fillId="45" borderId="63" xfId="724" applyFont="1" applyFill="1" applyBorder="1" applyAlignment="1">
      <alignment horizontal="center" vertical="center"/>
    </xf>
    <xf numFmtId="10" fontId="160" fillId="45" borderId="63" xfId="725" applyNumberFormat="1" applyFont="1" applyFill="1" applyBorder="1" applyAlignment="1">
      <alignment horizontal="center" vertical="center"/>
    </xf>
    <xf numFmtId="1" fontId="160" fillId="45" borderId="63" xfId="0" applyNumberFormat="1" applyFont="1" applyFill="1" applyBorder="1" applyAlignment="1">
      <alignment horizontal="center" vertical="center"/>
    </xf>
    <xf numFmtId="0" fontId="160" fillId="45" borderId="169" xfId="0" applyFont="1" applyFill="1" applyBorder="1" applyAlignment="1">
      <alignment horizontal="center" vertical="center" wrapText="1"/>
    </xf>
    <xf numFmtId="0" fontId="160" fillId="45" borderId="169" xfId="0" applyFont="1" applyFill="1" applyBorder="1" applyAlignment="1">
      <alignment horizontal="center" vertical="center"/>
    </xf>
    <xf numFmtId="168" fontId="160" fillId="45" borderId="169" xfId="724" applyFont="1" applyFill="1" applyBorder="1" applyAlignment="1">
      <alignment horizontal="center" vertical="center"/>
    </xf>
    <xf numFmtId="10" fontId="160" fillId="45" borderId="169" xfId="725" applyNumberFormat="1" applyFont="1" applyFill="1" applyBorder="1" applyAlignment="1">
      <alignment horizontal="center" vertical="center"/>
    </xf>
    <xf numFmtId="1" fontId="160" fillId="45" borderId="169" xfId="0" applyNumberFormat="1" applyFont="1" applyFill="1" applyBorder="1" applyAlignment="1">
      <alignment horizontal="center" vertical="center"/>
    </xf>
    <xf numFmtId="1" fontId="157" fillId="45" borderId="0" xfId="0" applyNumberFormat="1" applyFont="1" applyFill="1" applyAlignment="1">
      <alignment horizontal="center" vertical="center"/>
    </xf>
    <xf numFmtId="0" fontId="160" fillId="45" borderId="357" xfId="0" applyFont="1" applyFill="1" applyBorder="1" applyAlignment="1">
      <alignment horizontal="center" vertical="center" wrapText="1"/>
    </xf>
    <xf numFmtId="0" fontId="160" fillId="45" borderId="357" xfId="0" applyFont="1" applyFill="1" applyBorder="1" applyAlignment="1">
      <alignment horizontal="center" vertical="center"/>
    </xf>
    <xf numFmtId="168" fontId="160" fillId="45" borderId="357" xfId="724" applyFont="1" applyFill="1" applyBorder="1" applyAlignment="1">
      <alignment horizontal="center" vertical="center"/>
    </xf>
    <xf numFmtId="10" fontId="160" fillId="45" borderId="357" xfId="725" applyNumberFormat="1" applyFont="1" applyFill="1" applyBorder="1" applyAlignment="1">
      <alignment horizontal="center" vertical="center"/>
    </xf>
    <xf numFmtId="1" fontId="160" fillId="45" borderId="357" xfId="0" applyNumberFormat="1" applyFont="1" applyFill="1" applyBorder="1" applyAlignment="1">
      <alignment horizontal="center" vertical="center"/>
    </xf>
    <xf numFmtId="0" fontId="160" fillId="45" borderId="15" xfId="0" applyFont="1" applyFill="1" applyBorder="1" applyAlignment="1">
      <alignment horizontal="center" vertical="center" wrapText="1"/>
    </xf>
    <xf numFmtId="0" fontId="160" fillId="45" borderId="15" xfId="0" applyFont="1" applyFill="1" applyBorder="1" applyAlignment="1">
      <alignment horizontal="center" vertical="center"/>
    </xf>
    <xf numFmtId="168" fontId="160" fillId="45" borderId="15" xfId="724" applyFont="1" applyFill="1" applyBorder="1" applyAlignment="1">
      <alignment horizontal="center" vertical="center"/>
    </xf>
    <xf numFmtId="168" fontId="157" fillId="45" borderId="15" xfId="724" applyFont="1" applyFill="1" applyBorder="1" applyAlignment="1">
      <alignment horizontal="center" vertical="center"/>
    </xf>
    <xf numFmtId="10" fontId="160" fillId="45" borderId="15" xfId="725" applyNumberFormat="1" applyFont="1" applyFill="1" applyBorder="1" applyAlignment="1">
      <alignment horizontal="center" vertical="center"/>
    </xf>
    <xf numFmtId="1" fontId="160" fillId="45" borderId="15" xfId="0" applyNumberFormat="1" applyFont="1" applyFill="1" applyBorder="1" applyAlignment="1">
      <alignment horizontal="center" vertical="center"/>
    </xf>
    <xf numFmtId="1" fontId="157" fillId="45" borderId="63" xfId="0" applyNumberFormat="1" applyFont="1" applyFill="1" applyBorder="1" applyAlignment="1">
      <alignment horizontal="center" vertical="center"/>
    </xf>
    <xf numFmtId="0" fontId="160" fillId="45" borderId="447" xfId="0" applyFont="1" applyFill="1" applyBorder="1" applyAlignment="1">
      <alignment horizontal="center" vertical="center"/>
    </xf>
    <xf numFmtId="1" fontId="157" fillId="45" borderId="357" xfId="0" applyNumberFormat="1" applyFont="1" applyFill="1" applyBorder="1" applyAlignment="1">
      <alignment horizontal="center" vertical="center"/>
    </xf>
    <xf numFmtId="245" fontId="157" fillId="45" borderId="63" xfId="724" applyNumberFormat="1" applyFont="1" applyFill="1" applyBorder="1" applyAlignment="1">
      <alignment horizontal="center" vertical="center"/>
    </xf>
    <xf numFmtId="9" fontId="157" fillId="45" borderId="63" xfId="725" applyFont="1" applyFill="1" applyBorder="1" applyAlignment="1">
      <alignment horizontal="center" vertical="center"/>
    </xf>
    <xf numFmtId="245" fontId="157" fillId="45" borderId="169" xfId="724" applyNumberFormat="1" applyFont="1" applyFill="1" applyBorder="1" applyAlignment="1">
      <alignment horizontal="center" vertical="center"/>
    </xf>
    <xf numFmtId="9" fontId="157" fillId="45" borderId="169" xfId="725" applyFont="1" applyFill="1" applyBorder="1" applyAlignment="1">
      <alignment horizontal="center" vertical="center"/>
    </xf>
    <xf numFmtId="1" fontId="157" fillId="45" borderId="169" xfId="0" applyNumberFormat="1" applyFont="1" applyFill="1" applyBorder="1" applyAlignment="1">
      <alignment horizontal="center" vertical="center"/>
    </xf>
    <xf numFmtId="0" fontId="157" fillId="45" borderId="436" xfId="0" applyFont="1" applyFill="1" applyBorder="1" applyAlignment="1">
      <alignment horizontal="center" vertical="center"/>
    </xf>
    <xf numFmtId="0" fontId="157" fillId="45" borderId="436" xfId="0" applyFont="1" applyFill="1" applyBorder="1" applyAlignment="1">
      <alignment horizontal="left" vertical="center"/>
    </xf>
    <xf numFmtId="245" fontId="157" fillId="45" borderId="436" xfId="724" applyNumberFormat="1" applyFont="1" applyFill="1" applyBorder="1" applyAlignment="1">
      <alignment horizontal="center" vertical="center"/>
    </xf>
    <xf numFmtId="9" fontId="157" fillId="45" borderId="436" xfId="725" applyFont="1" applyFill="1" applyBorder="1" applyAlignment="1">
      <alignment horizontal="center" vertical="center"/>
    </xf>
    <xf numFmtId="1" fontId="157" fillId="45" borderId="436" xfId="0" applyNumberFormat="1" applyFont="1" applyFill="1" applyBorder="1" applyAlignment="1">
      <alignment horizontal="center" vertical="center"/>
    </xf>
    <xf numFmtId="245" fontId="157" fillId="45" borderId="357" xfId="724" applyNumberFormat="1" applyFont="1" applyFill="1" applyBorder="1" applyAlignment="1">
      <alignment horizontal="center" vertical="center"/>
    </xf>
    <xf numFmtId="9" fontId="157" fillId="45" borderId="357" xfId="725" applyFont="1" applyFill="1" applyBorder="1" applyAlignment="1">
      <alignment horizontal="center" vertical="center"/>
    </xf>
    <xf numFmtId="10" fontId="157" fillId="45" borderId="63" xfId="725" applyNumberFormat="1" applyFont="1" applyFill="1" applyBorder="1" applyAlignment="1">
      <alignment horizontal="center" vertical="center"/>
    </xf>
    <xf numFmtId="10" fontId="157" fillId="45" borderId="357" xfId="725" applyNumberFormat="1" applyFont="1" applyFill="1" applyBorder="1" applyAlignment="1">
      <alignment horizontal="center" vertical="center"/>
    </xf>
    <xf numFmtId="0" fontId="157" fillId="45" borderId="169" xfId="725" applyNumberFormat="1" applyFont="1" applyFill="1" applyBorder="1" applyAlignment="1">
      <alignment horizontal="center" vertical="center"/>
    </xf>
    <xf numFmtId="0" fontId="157" fillId="45" borderId="436" xfId="725" applyNumberFormat="1" applyFont="1" applyFill="1" applyBorder="1" applyAlignment="1">
      <alignment horizontal="center" vertical="center"/>
    </xf>
    <xf numFmtId="2" fontId="160" fillId="45" borderId="63" xfId="0" applyNumberFormat="1" applyFont="1" applyFill="1" applyBorder="1" applyAlignment="1">
      <alignment horizontal="center" vertical="center"/>
    </xf>
    <xf numFmtId="2" fontId="157" fillId="45" borderId="169" xfId="725" applyNumberFormat="1" applyFont="1" applyFill="1" applyBorder="1" applyAlignment="1">
      <alignment horizontal="center" vertical="center"/>
    </xf>
    <xf numFmtId="2" fontId="157" fillId="45" borderId="357" xfId="725" applyNumberFormat="1" applyFont="1" applyFill="1" applyBorder="1" applyAlignment="1">
      <alignment horizontal="center" vertical="center"/>
    </xf>
    <xf numFmtId="0" fontId="160" fillId="45" borderId="447" xfId="725" applyNumberFormat="1" applyFont="1" applyFill="1" applyBorder="1" applyAlignment="1">
      <alignment horizontal="center" vertical="center"/>
    </xf>
    <xf numFmtId="0" fontId="160" fillId="45" borderId="357" xfId="725" applyNumberFormat="1" applyFont="1" applyFill="1" applyBorder="1" applyAlignment="1">
      <alignment horizontal="center" vertical="center"/>
    </xf>
    <xf numFmtId="2" fontId="160" fillId="45" borderId="447" xfId="725" applyNumberFormat="1" applyFont="1" applyFill="1" applyBorder="1" applyAlignment="1">
      <alignment horizontal="center" vertical="center"/>
    </xf>
    <xf numFmtId="2" fontId="160" fillId="45" borderId="447" xfId="0" applyNumberFormat="1" applyFont="1" applyFill="1" applyBorder="1" applyAlignment="1">
      <alignment horizontal="center" vertical="center"/>
    </xf>
    <xf numFmtId="2" fontId="160" fillId="45" borderId="357" xfId="725" applyNumberFormat="1" applyFont="1" applyFill="1" applyBorder="1" applyAlignment="1">
      <alignment horizontal="center" vertical="center"/>
    </xf>
    <xf numFmtId="2" fontId="160" fillId="45" borderId="357" xfId="0" applyNumberFormat="1" applyFont="1" applyFill="1" applyBorder="1" applyAlignment="1">
      <alignment horizontal="center" vertical="center"/>
    </xf>
    <xf numFmtId="0" fontId="157" fillId="42" borderId="447" xfId="0" applyFont="1" applyFill="1" applyBorder="1" applyAlignment="1">
      <alignment horizontal="center" vertical="center" wrapText="1"/>
    </xf>
    <xf numFmtId="0" fontId="157" fillId="41" borderId="447" xfId="0" applyFont="1" applyFill="1" applyBorder="1" applyAlignment="1">
      <alignment horizontal="center" vertical="center" wrapText="1"/>
    </xf>
    <xf numFmtId="0" fontId="157" fillId="45" borderId="447" xfId="0" applyFont="1" applyFill="1" applyBorder="1" applyAlignment="1">
      <alignment horizontal="center" vertical="center" wrapText="1"/>
    </xf>
    <xf numFmtId="0" fontId="163" fillId="2" borderId="534" xfId="1" applyFont="1" applyFill="1" applyBorder="1" applyAlignment="1">
      <alignment horizontal="center" vertical="center" wrapText="1"/>
    </xf>
    <xf numFmtId="0" fontId="163" fillId="2" borderId="545" xfId="1" applyFont="1" applyFill="1" applyBorder="1" applyAlignment="1">
      <alignment horizontal="center" vertical="center" wrapText="1"/>
    </xf>
    <xf numFmtId="14" fontId="157" fillId="0" borderId="531" xfId="0" applyNumberFormat="1" applyFont="1" applyBorder="1" applyAlignment="1">
      <alignment horizontal="center" vertical="center"/>
    </xf>
    <xf numFmtId="0" fontId="157" fillId="0" borderId="531" xfId="0" applyFont="1" applyBorder="1" applyAlignment="1">
      <alignment horizontal="center"/>
    </xf>
    <xf numFmtId="0" fontId="157" fillId="0" borderId="531" xfId="0" applyFont="1" applyBorder="1"/>
    <xf numFmtId="0" fontId="157" fillId="0" borderId="531" xfId="0" applyFont="1" applyBorder="1" applyAlignment="1">
      <alignment horizontal="center" vertical="center"/>
    </xf>
    <xf numFmtId="0" fontId="157" fillId="0" borderId="531" xfId="4166" applyFont="1" applyBorder="1" applyAlignment="1">
      <alignment horizontal="left" vertical="center"/>
    </xf>
    <xf numFmtId="0" fontId="157" fillId="0" borderId="531" xfId="0" applyFont="1" applyBorder="1" applyAlignment="1">
      <alignment horizontal="left" vertical="center"/>
    </xf>
    <xf numFmtId="0" fontId="163" fillId="2" borderId="534" xfId="0" applyFont="1" applyFill="1" applyBorder="1" applyAlignment="1">
      <alignment horizontal="center" vertical="center" wrapText="1"/>
    </xf>
    <xf numFmtId="0" fontId="157" fillId="0" borderId="663" xfId="0" applyFont="1" applyBorder="1" applyAlignment="1">
      <alignment horizontal="left" vertical="center"/>
    </xf>
    <xf numFmtId="2" fontId="157" fillId="0" borderId="531" xfId="0" applyNumberFormat="1" applyFont="1" applyBorder="1" applyAlignment="1">
      <alignment horizontal="center" vertical="center"/>
    </xf>
    <xf numFmtId="0" fontId="157" fillId="0" borderId="673" xfId="0" applyFont="1" applyBorder="1" applyAlignment="1">
      <alignment horizontal="center" vertical="center"/>
    </xf>
    <xf numFmtId="2" fontId="167" fillId="0" borderId="584" xfId="407" applyNumberFormat="1" applyFont="1" applyBorder="1" applyAlignment="1">
      <alignment horizontal="center" vertical="center" wrapText="1"/>
    </xf>
    <xf numFmtId="0" fontId="157" fillId="0" borderId="584" xfId="0" applyFont="1" applyBorder="1" applyAlignment="1">
      <alignment horizontal="center" vertical="center"/>
    </xf>
    <xf numFmtId="0" fontId="157" fillId="42" borderId="531" xfId="0" applyFont="1" applyFill="1" applyBorder="1" applyAlignment="1">
      <alignment horizontal="center" vertical="center"/>
    </xf>
    <xf numFmtId="0" fontId="157" fillId="0" borderId="531" xfId="4166" applyFont="1" applyBorder="1" applyAlignment="1">
      <alignment horizontal="center" vertical="center"/>
    </xf>
    <xf numFmtId="2" fontId="157" fillId="0" borderId="574" xfId="0" applyNumberFormat="1" applyFont="1" applyBorder="1" applyAlignment="1">
      <alignment horizontal="center" vertical="center"/>
    </xf>
    <xf numFmtId="0" fontId="157" fillId="0" borderId="663" xfId="0" applyFont="1" applyBorder="1" applyAlignment="1">
      <alignment horizontal="center" vertical="center"/>
    </xf>
    <xf numFmtId="0" fontId="157" fillId="0" borderId="677" xfId="0" applyFont="1" applyBorder="1" applyAlignment="1">
      <alignment horizontal="center" vertical="center"/>
    </xf>
    <xf numFmtId="0" fontId="157" fillId="0" borderId="677" xfId="0" applyFont="1" applyBorder="1" applyAlignment="1">
      <alignment horizontal="left" vertical="center"/>
    </xf>
    <xf numFmtId="0" fontId="157" fillId="0" borderId="714" xfId="0" applyFont="1" applyBorder="1" applyAlignment="1">
      <alignment horizontal="left" vertical="center"/>
    </xf>
    <xf numFmtId="2" fontId="157" fillId="0" borderId="714" xfId="0" applyNumberFormat="1" applyFont="1" applyBorder="1" applyAlignment="1">
      <alignment horizontal="center" vertical="center"/>
    </xf>
    <xf numFmtId="2" fontId="157" fillId="0" borderId="663" xfId="0" applyNumberFormat="1" applyFont="1" applyBorder="1" applyAlignment="1">
      <alignment horizontal="center" vertical="center"/>
    </xf>
    <xf numFmtId="2" fontId="157" fillId="0" borderId="673" xfId="0" applyNumberFormat="1" applyFont="1" applyBorder="1" applyAlignment="1">
      <alignment horizontal="center" vertical="center"/>
    </xf>
    <xf numFmtId="2" fontId="157" fillId="0" borderId="677" xfId="0" applyNumberFormat="1" applyFont="1" applyBorder="1" applyAlignment="1">
      <alignment horizontal="center" vertical="center"/>
    </xf>
    <xf numFmtId="0" fontId="157" fillId="0" borderId="714" xfId="0" applyFont="1" applyBorder="1" applyAlignment="1">
      <alignment horizontal="center" vertical="center"/>
    </xf>
    <xf numFmtId="0" fontId="157" fillId="0" borderId="673" xfId="0" applyFont="1" applyBorder="1" applyAlignment="1">
      <alignment horizontal="left" vertical="center"/>
    </xf>
    <xf numFmtId="0" fontId="157" fillId="0" borderId="884" xfId="0" applyFont="1" applyBorder="1" applyAlignment="1">
      <alignment horizontal="center" vertical="center"/>
    </xf>
    <xf numFmtId="0" fontId="157" fillId="105" borderId="560" xfId="0" applyFont="1" applyFill="1" applyBorder="1" applyAlignment="1">
      <alignment horizontal="center" vertical="center"/>
    </xf>
    <xf numFmtId="0" fontId="157" fillId="105" borderId="0" xfId="0" applyFont="1" applyFill="1" applyAlignment="1">
      <alignment horizontal="center" vertical="center"/>
    </xf>
    <xf numFmtId="0" fontId="157" fillId="0" borderId="884" xfId="0" applyFont="1" applyBorder="1" applyAlignment="1">
      <alignment horizontal="center"/>
    </xf>
    <xf numFmtId="0" fontId="157" fillId="105" borderId="531" xfId="0" applyFont="1" applyFill="1" applyBorder="1"/>
    <xf numFmtId="0" fontId="157" fillId="105" borderId="531" xfId="0" applyFont="1" applyFill="1" applyBorder="1" applyAlignment="1">
      <alignment horizontal="center" vertical="center"/>
    </xf>
    <xf numFmtId="206" fontId="157" fillId="0" borderId="531" xfId="0" applyNumberFormat="1" applyFont="1" applyBorder="1" applyAlignment="1">
      <alignment horizontal="center" vertical="center"/>
    </xf>
    <xf numFmtId="0" fontId="157" fillId="105" borderId="531" xfId="0" applyFont="1" applyFill="1" applyBorder="1" applyAlignment="1">
      <alignment horizontal="left" vertical="center"/>
    </xf>
    <xf numFmtId="0" fontId="157" fillId="105" borderId="531" xfId="0" applyFont="1" applyFill="1" applyBorder="1" applyAlignment="1">
      <alignment horizontal="center"/>
    </xf>
    <xf numFmtId="0" fontId="157" fillId="0" borderId="884" xfId="0" applyFont="1" applyBorder="1" applyAlignment="1">
      <alignment horizontal="left" vertical="center"/>
    </xf>
    <xf numFmtId="0" fontId="157" fillId="0" borderId="531" xfId="0" applyFont="1" applyBorder="1" applyAlignment="1">
      <alignment horizontal="left"/>
    </xf>
    <xf numFmtId="2" fontId="157" fillId="105" borderId="677" xfId="0" applyNumberFormat="1" applyFont="1" applyFill="1" applyBorder="1" applyAlignment="1">
      <alignment horizontal="center" vertical="center"/>
    </xf>
    <xf numFmtId="0" fontId="157" fillId="0" borderId="890" xfId="0" applyFont="1" applyBorder="1" applyAlignment="1">
      <alignment horizontal="center" vertical="center"/>
    </xf>
    <xf numFmtId="0" fontId="157" fillId="0" borderId="890" xfId="0" applyFont="1" applyBorder="1" applyAlignment="1">
      <alignment horizontal="left" vertical="center"/>
    </xf>
    <xf numFmtId="14" fontId="157" fillId="0" borderId="890" xfId="0" applyNumberFormat="1" applyFont="1" applyBorder="1" applyAlignment="1">
      <alignment horizontal="center" vertical="center"/>
    </xf>
    <xf numFmtId="2" fontId="157" fillId="0" borderId="890" xfId="0" applyNumberFormat="1" applyFont="1" applyBorder="1" applyAlignment="1">
      <alignment horizontal="center" vertical="center"/>
    </xf>
    <xf numFmtId="0" fontId="157" fillId="0" borderId="948" xfId="0" applyFont="1" applyBorder="1" applyAlignment="1">
      <alignment horizontal="left" vertical="center"/>
    </xf>
    <xf numFmtId="0" fontId="157" fillId="0" borderId="921" xfId="0" applyFont="1" applyBorder="1" applyAlignment="1">
      <alignment horizontal="center" vertical="center"/>
    </xf>
    <xf numFmtId="2" fontId="157" fillId="0" borderId="921" xfId="0" applyNumberFormat="1" applyFont="1" applyBorder="1" applyAlignment="1">
      <alignment horizontal="center" vertical="center"/>
    </xf>
    <xf numFmtId="0" fontId="157" fillId="0" borderId="942" xfId="0" applyFont="1" applyBorder="1" applyAlignment="1">
      <alignment horizontal="left" vertical="center"/>
    </xf>
    <xf numFmtId="2" fontId="157" fillId="0" borderId="948" xfId="0" applyNumberFormat="1" applyFont="1" applyBorder="1" applyAlignment="1">
      <alignment horizontal="center" vertical="center"/>
    </xf>
    <xf numFmtId="0" fontId="157" fillId="0" borderId="942" xfId="0" applyFont="1" applyBorder="1" applyAlignment="1">
      <alignment horizontal="center" vertical="center"/>
    </xf>
    <xf numFmtId="0" fontId="157" fillId="0" borderId="948" xfId="0" applyFont="1" applyBorder="1" applyAlignment="1">
      <alignment horizontal="center" vertical="center"/>
    </xf>
    <xf numFmtId="0" fontId="157" fillId="0" borderId="921" xfId="0" applyFont="1" applyBorder="1" applyAlignment="1">
      <alignment horizontal="left" vertical="center"/>
    </xf>
    <xf numFmtId="2" fontId="157" fillId="0" borderId="942" xfId="0" applyNumberFormat="1" applyFont="1" applyBorder="1" applyAlignment="1">
      <alignment horizontal="center" vertical="center"/>
    </xf>
    <xf numFmtId="2" fontId="157" fillId="0" borderId="942" xfId="724" applyNumberFormat="1" applyFont="1" applyFill="1" applyBorder="1" applyAlignment="1">
      <alignment horizontal="center" vertical="center"/>
    </xf>
    <xf numFmtId="2" fontId="157" fillId="0" borderId="948" xfId="724" applyNumberFormat="1" applyFont="1" applyFill="1" applyBorder="1" applyAlignment="1">
      <alignment horizontal="center" vertical="center"/>
    </xf>
    <xf numFmtId="2" fontId="160" fillId="45" borderId="169" xfId="0" applyNumberFormat="1" applyFont="1" applyFill="1" applyBorder="1" applyAlignment="1">
      <alignment horizontal="center" vertical="center"/>
    </xf>
    <xf numFmtId="206" fontId="160" fillId="45" borderId="63" xfId="0" applyNumberFormat="1" applyFont="1" applyFill="1" applyBorder="1" applyAlignment="1">
      <alignment horizontal="center" vertical="center"/>
    </xf>
    <xf numFmtId="206" fontId="160" fillId="45" borderId="169" xfId="0" applyNumberFormat="1" applyFont="1" applyFill="1" applyBorder="1" applyAlignment="1">
      <alignment horizontal="center" vertical="center"/>
    </xf>
    <xf numFmtId="206" fontId="160" fillId="45" borderId="357" xfId="0" applyNumberFormat="1" applyFont="1" applyFill="1" applyBorder="1" applyAlignment="1">
      <alignment horizontal="center" vertical="center"/>
    </xf>
    <xf numFmtId="2" fontId="160" fillId="45" borderId="15" xfId="0" applyNumberFormat="1" applyFont="1" applyFill="1" applyBorder="1" applyAlignment="1">
      <alignment horizontal="center" vertical="center"/>
    </xf>
    <xf numFmtId="2" fontId="157" fillId="45" borderId="63" xfId="0" applyNumberFormat="1" applyFont="1" applyFill="1" applyBorder="1" applyAlignment="1">
      <alignment horizontal="center" vertical="center"/>
    </xf>
    <xf numFmtId="2" fontId="157" fillId="45" borderId="357" xfId="0" applyNumberFormat="1" applyFont="1" applyFill="1" applyBorder="1" applyAlignment="1">
      <alignment horizontal="center" vertical="center"/>
    </xf>
    <xf numFmtId="2" fontId="157" fillId="45" borderId="169" xfId="0" applyNumberFormat="1" applyFont="1" applyFill="1" applyBorder="1" applyAlignment="1">
      <alignment horizontal="center" vertical="center"/>
    </xf>
    <xf numFmtId="2" fontId="157" fillId="45" borderId="436" xfId="0" applyNumberFormat="1" applyFont="1" applyFill="1" applyBorder="1" applyAlignment="1">
      <alignment horizontal="center" vertical="center"/>
    </xf>
    <xf numFmtId="0" fontId="157" fillId="0" borderId="958" xfId="0" applyFont="1" applyBorder="1" applyAlignment="1">
      <alignment horizontal="center" vertical="center"/>
    </xf>
    <xf numFmtId="0" fontId="160" fillId="45" borderId="65" xfId="0" applyFont="1" applyFill="1" applyBorder="1" applyAlignment="1">
      <alignment horizontal="center" vertical="center" wrapText="1"/>
    </xf>
    <xf numFmtId="0" fontId="160" fillId="45" borderId="66" xfId="0" applyFont="1" applyFill="1" applyBorder="1" applyAlignment="1">
      <alignment horizontal="center" vertical="center" wrapText="1"/>
    </xf>
    <xf numFmtId="0" fontId="160" fillId="45" borderId="66" xfId="0" applyFont="1" applyFill="1" applyBorder="1" applyAlignment="1">
      <alignment horizontal="left" vertical="center" wrapText="1"/>
    </xf>
    <xf numFmtId="0" fontId="160" fillId="45" borderId="66" xfId="0" applyFont="1" applyFill="1" applyBorder="1" applyAlignment="1">
      <alignment horizontal="center" vertical="center"/>
    </xf>
    <xf numFmtId="2" fontId="160" fillId="45" borderId="66" xfId="0" applyNumberFormat="1" applyFont="1" applyFill="1" applyBorder="1" applyAlignment="1">
      <alignment horizontal="center" vertical="center"/>
    </xf>
    <xf numFmtId="2" fontId="157" fillId="45" borderId="66" xfId="0" applyNumberFormat="1" applyFont="1" applyFill="1" applyBorder="1" applyAlignment="1">
      <alignment horizontal="center" vertical="center"/>
    </xf>
    <xf numFmtId="1" fontId="160" fillId="45" borderId="66" xfId="0" applyNumberFormat="1" applyFont="1" applyFill="1" applyBorder="1" applyAlignment="1">
      <alignment horizontal="center" vertical="center"/>
    </xf>
    <xf numFmtId="247" fontId="160" fillId="45" borderId="67" xfId="0" applyNumberFormat="1" applyFont="1" applyFill="1" applyBorder="1" applyAlignment="1">
      <alignment horizontal="center" vertical="center" wrapText="1"/>
    </xf>
    <xf numFmtId="175" fontId="157" fillId="45" borderId="63" xfId="0" applyNumberFormat="1" applyFont="1" applyFill="1" applyBorder="1" applyAlignment="1">
      <alignment horizontal="center" vertical="center"/>
    </xf>
    <xf numFmtId="0" fontId="160" fillId="45" borderId="960" xfId="0" applyFont="1" applyFill="1" applyBorder="1" applyAlignment="1">
      <alignment horizontal="center" vertical="center" wrapText="1"/>
    </xf>
    <xf numFmtId="0" fontId="160" fillId="45" borderId="960" xfId="0" applyFont="1" applyFill="1" applyBorder="1" applyAlignment="1">
      <alignment horizontal="center" vertical="center"/>
    </xf>
    <xf numFmtId="168" fontId="160" fillId="45" borderId="960" xfId="724" applyFont="1" applyFill="1" applyBorder="1" applyAlignment="1">
      <alignment horizontal="center" vertical="center"/>
    </xf>
    <xf numFmtId="168" fontId="157" fillId="45" borderId="960" xfId="724" applyFont="1" applyFill="1" applyBorder="1" applyAlignment="1">
      <alignment horizontal="center" vertical="center"/>
    </xf>
    <xf numFmtId="10" fontId="160" fillId="45" borderId="960" xfId="725" applyNumberFormat="1" applyFont="1" applyFill="1" applyBorder="1" applyAlignment="1">
      <alignment horizontal="center" vertical="center"/>
    </xf>
    <xf numFmtId="1" fontId="160" fillId="45" borderId="960" xfId="0" applyNumberFormat="1" applyFont="1" applyFill="1" applyBorder="1" applyAlignment="1">
      <alignment horizontal="center" vertical="center"/>
    </xf>
    <xf numFmtId="2" fontId="160" fillId="45" borderId="960" xfId="0" applyNumberFormat="1" applyFont="1" applyFill="1" applyBorder="1" applyAlignment="1">
      <alignment horizontal="center" vertical="center"/>
    </xf>
    <xf numFmtId="0" fontId="160" fillId="45" borderId="960" xfId="725" applyNumberFormat="1" applyFont="1" applyFill="1" applyBorder="1" applyAlignment="1">
      <alignment horizontal="center" vertical="center"/>
    </xf>
    <xf numFmtId="0" fontId="160" fillId="45" borderId="921" xfId="0" applyFont="1" applyFill="1" applyBorder="1" applyAlignment="1">
      <alignment horizontal="center" vertical="center" wrapText="1"/>
    </xf>
    <xf numFmtId="0" fontId="160" fillId="45" borderId="921" xfId="0" applyFont="1" applyFill="1" applyBorder="1" applyAlignment="1">
      <alignment horizontal="center" vertical="center"/>
    </xf>
    <xf numFmtId="168" fontId="160" fillId="45" borderId="921" xfId="724" applyFont="1" applyFill="1" applyBorder="1" applyAlignment="1">
      <alignment horizontal="center" vertical="center"/>
    </xf>
    <xf numFmtId="168" fontId="157" fillId="45" borderId="921" xfId="724" applyFont="1" applyFill="1" applyBorder="1" applyAlignment="1">
      <alignment horizontal="center" vertical="center"/>
    </xf>
    <xf numFmtId="10" fontId="160" fillId="45" borderId="921" xfId="725" applyNumberFormat="1" applyFont="1" applyFill="1" applyBorder="1" applyAlignment="1">
      <alignment horizontal="center" vertical="center"/>
    </xf>
    <xf numFmtId="1" fontId="160" fillId="45" borderId="921" xfId="0" applyNumberFormat="1" applyFont="1" applyFill="1" applyBorder="1" applyAlignment="1">
      <alignment horizontal="center" vertical="center"/>
    </xf>
    <xf numFmtId="2" fontId="160" fillId="45" borderId="921" xfId="0" applyNumberFormat="1" applyFont="1" applyFill="1" applyBorder="1" applyAlignment="1">
      <alignment horizontal="center" vertical="center"/>
    </xf>
    <xf numFmtId="0" fontId="160" fillId="45" borderId="921" xfId="725" applyNumberFormat="1" applyFont="1" applyFill="1" applyBorder="1" applyAlignment="1">
      <alignment horizontal="center" vertical="center"/>
    </xf>
    <xf numFmtId="0" fontId="157" fillId="45" borderId="960" xfId="0" applyFont="1" applyFill="1" applyBorder="1" applyAlignment="1">
      <alignment horizontal="center" vertical="center"/>
    </xf>
    <xf numFmtId="0" fontId="157" fillId="45" borderId="960" xfId="0" applyFont="1" applyFill="1" applyBorder="1" applyAlignment="1">
      <alignment horizontal="left" vertical="center"/>
    </xf>
    <xf numFmtId="2" fontId="157" fillId="45" borderId="960" xfId="0" applyNumberFormat="1" applyFont="1" applyFill="1" applyBorder="1" applyAlignment="1">
      <alignment horizontal="center" vertical="center"/>
    </xf>
    <xf numFmtId="1" fontId="157" fillId="45" borderId="960" xfId="0" applyNumberFormat="1" applyFont="1" applyFill="1" applyBorder="1" applyAlignment="1">
      <alignment horizontal="center" vertical="center"/>
    </xf>
    <xf numFmtId="0" fontId="157" fillId="45" borderId="921" xfId="0" applyFont="1" applyFill="1" applyBorder="1" applyAlignment="1">
      <alignment horizontal="center" vertical="center"/>
    </xf>
    <xf numFmtId="0" fontId="157" fillId="45" borderId="921" xfId="0" applyFont="1" applyFill="1" applyBorder="1" applyAlignment="1">
      <alignment horizontal="left" vertical="center"/>
    </xf>
    <xf numFmtId="2" fontId="157" fillId="45" borderId="921" xfId="0" applyNumberFormat="1" applyFont="1" applyFill="1" applyBorder="1" applyAlignment="1">
      <alignment horizontal="center" vertical="center"/>
    </xf>
    <xf numFmtId="175" fontId="157" fillId="45" borderId="921" xfId="0" applyNumberFormat="1" applyFont="1" applyFill="1" applyBorder="1" applyAlignment="1">
      <alignment horizontal="center" vertical="center"/>
    </xf>
    <xf numFmtId="1" fontId="157" fillId="45" borderId="921" xfId="0" applyNumberFormat="1" applyFont="1" applyFill="1" applyBorder="1" applyAlignment="1">
      <alignment horizontal="center" vertical="center"/>
    </xf>
    <xf numFmtId="175" fontId="157" fillId="45" borderId="960" xfId="0" applyNumberFormat="1" applyFont="1" applyFill="1" applyBorder="1" applyAlignment="1">
      <alignment horizontal="center" vertical="center"/>
    </xf>
    <xf numFmtId="0" fontId="157" fillId="0" borderId="959" xfId="0" applyFont="1" applyBorder="1" applyAlignment="1">
      <alignment horizontal="center" vertical="center"/>
    </xf>
    <xf numFmtId="0" fontId="157" fillId="0" borderId="959" xfId="0" applyFont="1" applyBorder="1" applyAlignment="1">
      <alignment horizontal="left" vertical="center"/>
    </xf>
    <xf numFmtId="14" fontId="157" fillId="0" borderId="959" xfId="0" applyNumberFormat="1" applyFont="1" applyBorder="1" applyAlignment="1">
      <alignment horizontal="center" vertical="center"/>
    </xf>
    <xf numFmtId="2" fontId="157" fillId="0" borderId="959" xfId="0" applyNumberFormat="1" applyFont="1" applyBorder="1" applyAlignment="1">
      <alignment horizontal="center" vertical="center"/>
    </xf>
    <xf numFmtId="2" fontId="157" fillId="45" borderId="63" xfId="2305" applyNumberFormat="1" applyFont="1" applyFill="1" applyBorder="1" applyAlignment="1">
      <alignment horizontal="center" vertical="center"/>
    </xf>
    <xf numFmtId="2" fontId="160" fillId="45" borderId="63" xfId="7606" applyNumberFormat="1" applyFont="1" applyFill="1" applyBorder="1" applyAlignment="1">
      <alignment horizontal="center" vertical="center" wrapText="1"/>
    </xf>
    <xf numFmtId="2" fontId="160" fillId="45" borderId="63" xfId="3405" applyNumberFormat="1" applyFont="1" applyFill="1" applyBorder="1" applyAlignment="1">
      <alignment horizontal="center" vertical="center" wrapText="1"/>
    </xf>
    <xf numFmtId="2" fontId="157" fillId="45" borderId="960" xfId="2305" applyNumberFormat="1" applyFont="1" applyFill="1" applyBorder="1" applyAlignment="1">
      <alignment horizontal="center" vertical="center"/>
    </xf>
    <xf numFmtId="2" fontId="160" fillId="45" borderId="960" xfId="7606" applyNumberFormat="1" applyFont="1" applyFill="1" applyBorder="1" applyAlignment="1">
      <alignment horizontal="center" vertical="center" wrapText="1"/>
    </xf>
    <xf numFmtId="2" fontId="160" fillId="45" borderId="960" xfId="3405" applyNumberFormat="1" applyFont="1" applyFill="1" applyBorder="1" applyAlignment="1">
      <alignment horizontal="center" vertical="center" wrapText="1"/>
    </xf>
    <xf numFmtId="2" fontId="157" fillId="45" borderId="921" xfId="2305" applyNumberFormat="1" applyFont="1" applyFill="1" applyBorder="1" applyAlignment="1">
      <alignment horizontal="center" vertical="center"/>
    </xf>
    <xf numFmtId="2" fontId="160" fillId="45" borderId="921" xfId="7606" applyNumberFormat="1" applyFont="1" applyFill="1" applyBorder="1" applyAlignment="1">
      <alignment horizontal="center" vertical="center" wrapText="1"/>
    </xf>
    <xf numFmtId="2" fontId="160" fillId="45" borderId="921" xfId="3405" applyNumberFormat="1" applyFont="1" applyFill="1" applyBorder="1" applyAlignment="1">
      <alignment horizontal="center" vertical="center" wrapText="1"/>
    </xf>
    <xf numFmtId="0" fontId="157" fillId="0" borderId="104" xfId="0" applyFont="1" applyBorder="1" applyAlignment="1">
      <alignment horizontal="center" vertical="center" wrapText="1"/>
    </xf>
    <xf numFmtId="0" fontId="163" fillId="2" borderId="960" xfId="1" applyFont="1" applyFill="1" applyBorder="1" applyAlignment="1">
      <alignment horizontal="center" vertical="center" wrapText="1"/>
    </xf>
    <xf numFmtId="0" fontId="163" fillId="2" borderId="960" xfId="0" applyFont="1" applyFill="1" applyBorder="1" applyAlignment="1">
      <alignment horizontal="center" vertical="center" wrapText="1"/>
    </xf>
    <xf numFmtId="0" fontId="157" fillId="0" borderId="960" xfId="0" applyFont="1" applyBorder="1" applyAlignment="1">
      <alignment horizontal="center" vertical="center"/>
    </xf>
    <xf numFmtId="14" fontId="157" fillId="0" borderId="960" xfId="0" applyNumberFormat="1" applyFont="1" applyBorder="1" applyAlignment="1">
      <alignment horizontal="center" vertical="center"/>
    </xf>
    <xf numFmtId="2" fontId="157" fillId="0" borderId="960" xfId="0" applyNumberFormat="1" applyFont="1" applyBorder="1" applyAlignment="1">
      <alignment horizontal="center" vertical="center"/>
    </xf>
    <xf numFmtId="10" fontId="157" fillId="0" borderId="960" xfId="0" applyNumberFormat="1" applyFont="1" applyBorder="1" applyAlignment="1">
      <alignment horizontal="center" vertical="center"/>
    </xf>
    <xf numFmtId="44" fontId="157" fillId="0" borderId="960" xfId="0" applyNumberFormat="1" applyFont="1" applyBorder="1" applyAlignment="1">
      <alignment horizontal="center" vertical="center"/>
    </xf>
    <xf numFmtId="10" fontId="157" fillId="0" borderId="960" xfId="725" applyNumberFormat="1" applyFont="1" applyFill="1" applyBorder="1" applyAlignment="1">
      <alignment horizontal="center" vertical="center"/>
    </xf>
    <xf numFmtId="44" fontId="0" fillId="0" borderId="960" xfId="0" applyNumberFormat="1" applyBorder="1"/>
    <xf numFmtId="44" fontId="157" fillId="42" borderId="960" xfId="0" applyNumberFormat="1" applyFont="1" applyFill="1" applyBorder="1" applyAlignment="1">
      <alignment horizontal="center" vertical="center"/>
    </xf>
    <xf numFmtId="0" fontId="0" fillId="0" borderId="960" xfId="0" applyBorder="1" applyAlignment="1">
      <alignment horizontal="center"/>
    </xf>
    <xf numFmtId="44" fontId="90" fillId="0" borderId="960" xfId="0" applyNumberFormat="1" applyFont="1" applyBorder="1"/>
    <xf numFmtId="0" fontId="249" fillId="0" borderId="0" xfId="0" applyFont="1" applyAlignment="1">
      <alignment horizontal="center" vertical="center"/>
    </xf>
    <xf numFmtId="44" fontId="157" fillId="42" borderId="921" xfId="0" applyNumberFormat="1" applyFont="1" applyFill="1" applyBorder="1" applyAlignment="1">
      <alignment horizontal="center" vertical="center"/>
    </xf>
    <xf numFmtId="0" fontId="157" fillId="0" borderId="921" xfId="0" applyFont="1" applyBorder="1" applyAlignment="1">
      <alignment horizontal="center" vertical="center" wrapText="1"/>
    </xf>
    <xf numFmtId="0" fontId="0" fillId="42" borderId="960" xfId="0" applyFill="1" applyBorder="1" applyAlignment="1">
      <alignment horizontal="center"/>
    </xf>
    <xf numFmtId="0" fontId="90" fillId="0" borderId="960" xfId="0" applyFont="1" applyBorder="1" applyAlignment="1">
      <alignment horizontal="center"/>
    </xf>
    <xf numFmtId="2" fontId="0" fillId="0" borderId="960" xfId="0" applyNumberFormat="1" applyBorder="1" applyAlignment="1">
      <alignment horizontal="center"/>
    </xf>
    <xf numFmtId="2" fontId="163" fillId="0" borderId="960" xfId="0" applyNumberFormat="1" applyFont="1" applyBorder="1" applyAlignment="1">
      <alignment horizontal="center"/>
    </xf>
    <xf numFmtId="0" fontId="250" fillId="2" borderId="959" xfId="1" applyFont="1" applyFill="1" applyBorder="1" applyAlignment="1">
      <alignment horizontal="center" vertical="center" wrapText="1"/>
    </xf>
    <xf numFmtId="0" fontId="250" fillId="2" borderId="959" xfId="0" applyFont="1" applyFill="1" applyBorder="1" applyAlignment="1">
      <alignment horizontal="center" vertical="center" wrapText="1"/>
    </xf>
    <xf numFmtId="0" fontId="251" fillId="0" borderId="947" xfId="0" applyFont="1" applyBorder="1" applyAlignment="1">
      <alignment horizontal="center" vertical="center"/>
    </xf>
    <xf numFmtId="0" fontId="251" fillId="0" borderId="948" xfId="0" applyFont="1" applyBorder="1" applyAlignment="1">
      <alignment horizontal="center" vertical="center"/>
    </xf>
    <xf numFmtId="0" fontId="251" fillId="0" borderId="948" xfId="0" applyFont="1" applyBorder="1" applyAlignment="1">
      <alignment horizontal="left" vertical="center"/>
    </xf>
    <xf numFmtId="0" fontId="251" fillId="42" borderId="948" xfId="0" applyFont="1" applyFill="1" applyBorder="1" applyAlignment="1">
      <alignment horizontal="center" vertical="center"/>
    </xf>
    <xf numFmtId="10" fontId="251" fillId="0" borderId="948" xfId="725" applyNumberFormat="1" applyFont="1" applyFill="1" applyBorder="1" applyAlignment="1">
      <alignment horizontal="center" vertical="center"/>
    </xf>
    <xf numFmtId="44" fontId="251" fillId="0" borderId="948" xfId="0" applyNumberFormat="1" applyFont="1" applyBorder="1" applyAlignment="1">
      <alignment horizontal="center" vertical="center"/>
    </xf>
    <xf numFmtId="10" fontId="251" fillId="0" borderId="948" xfId="0" applyNumberFormat="1" applyFont="1" applyBorder="1" applyAlignment="1">
      <alignment vertical="center"/>
    </xf>
    <xf numFmtId="44" fontId="251" fillId="0" borderId="949" xfId="0" applyNumberFormat="1" applyFont="1" applyBorder="1" applyAlignment="1">
      <alignment horizontal="center" vertical="center"/>
    </xf>
    <xf numFmtId="0" fontId="251" fillId="0" borderId="322" xfId="0" applyFont="1" applyBorder="1" applyAlignment="1">
      <alignment horizontal="center" vertical="center"/>
    </xf>
    <xf numFmtId="0" fontId="251" fillId="0" borderId="921" xfId="0" applyFont="1" applyBorder="1" applyAlignment="1">
      <alignment horizontal="center" vertical="center"/>
    </xf>
    <xf numFmtId="0" fontId="251" fillId="0" borderId="921" xfId="0" applyFont="1" applyBorder="1" applyAlignment="1">
      <alignment horizontal="left" vertical="center"/>
    </xf>
    <xf numFmtId="0" fontId="251" fillId="42" borderId="921" xfId="0" applyFont="1" applyFill="1" applyBorder="1" applyAlignment="1">
      <alignment horizontal="center" vertical="center"/>
    </xf>
    <xf numFmtId="10" fontId="251" fillId="0" borderId="921" xfId="725" applyNumberFormat="1" applyFont="1" applyFill="1" applyBorder="1" applyAlignment="1">
      <alignment horizontal="center" vertical="center"/>
    </xf>
    <xf numFmtId="44" fontId="251" fillId="0" borderId="921" xfId="0" applyNumberFormat="1" applyFont="1" applyBorder="1" applyAlignment="1">
      <alignment horizontal="center" vertical="center"/>
    </xf>
    <xf numFmtId="10" fontId="251" fillId="0" borderId="921" xfId="0" applyNumberFormat="1" applyFont="1" applyBorder="1" applyAlignment="1">
      <alignment vertical="center"/>
    </xf>
    <xf numFmtId="44" fontId="251" fillId="0" borderId="922" xfId="0" applyNumberFormat="1" applyFont="1" applyBorder="1" applyAlignment="1">
      <alignment horizontal="center" vertical="center"/>
    </xf>
    <xf numFmtId="0" fontId="251" fillId="0" borderId="966" xfId="0" applyFont="1" applyBorder="1" applyAlignment="1">
      <alignment horizontal="center" vertical="center"/>
    </xf>
    <xf numFmtId="0" fontId="251" fillId="0" borderId="956" xfId="0" applyFont="1" applyBorder="1" applyAlignment="1">
      <alignment horizontal="center" vertical="center"/>
    </xf>
    <xf numFmtId="0" fontId="251" fillId="0" borderId="956" xfId="0" applyFont="1" applyBorder="1" applyAlignment="1">
      <alignment horizontal="left" vertical="center"/>
    </xf>
    <xf numFmtId="0" fontId="251" fillId="42" borderId="956" xfId="0" applyFont="1" applyFill="1" applyBorder="1" applyAlignment="1">
      <alignment horizontal="center" vertical="center"/>
    </xf>
    <xf numFmtId="10" fontId="251" fillId="0" borderId="956" xfId="725" applyNumberFormat="1" applyFont="1" applyFill="1" applyBorder="1" applyAlignment="1">
      <alignment horizontal="center" vertical="center"/>
    </xf>
    <xf numFmtId="44" fontId="251" fillId="0" borderId="956" xfId="0" applyNumberFormat="1" applyFont="1" applyBorder="1" applyAlignment="1">
      <alignment horizontal="center" vertical="center"/>
    </xf>
    <xf numFmtId="10" fontId="251" fillId="0" borderId="956" xfId="0" applyNumberFormat="1" applyFont="1" applyBorder="1" applyAlignment="1">
      <alignment vertical="center"/>
    </xf>
    <xf numFmtId="44" fontId="251" fillId="0" borderId="967" xfId="0" applyNumberFormat="1" applyFont="1" applyBorder="1" applyAlignment="1">
      <alignment horizontal="center" vertical="center"/>
    </xf>
    <xf numFmtId="0" fontId="251" fillId="0" borderId="957" xfId="0" applyFont="1" applyBorder="1" applyAlignment="1">
      <alignment horizontal="center" vertical="center"/>
    </xf>
    <xf numFmtId="0" fontId="251" fillId="0" borderId="960" xfId="0" applyFont="1" applyBorder="1" applyAlignment="1">
      <alignment horizontal="center" vertical="center"/>
    </xf>
    <xf numFmtId="0" fontId="251" fillId="0" borderId="960" xfId="0" applyFont="1" applyBorder="1" applyAlignment="1">
      <alignment horizontal="left" vertical="center"/>
    </xf>
    <xf numFmtId="10" fontId="251" fillId="0" borderId="960" xfId="725" applyNumberFormat="1" applyFont="1" applyFill="1" applyBorder="1" applyAlignment="1">
      <alignment horizontal="center" vertical="center"/>
    </xf>
    <xf numFmtId="44" fontId="251" fillId="0" borderId="960" xfId="0" applyNumberFormat="1" applyFont="1" applyBorder="1" applyAlignment="1">
      <alignment horizontal="center" vertical="center"/>
    </xf>
    <xf numFmtId="10" fontId="251" fillId="0" borderId="960" xfId="0" applyNumberFormat="1" applyFont="1" applyBorder="1" applyAlignment="1">
      <alignment vertical="center"/>
    </xf>
    <xf numFmtId="44" fontId="251" fillId="0" borderId="961" xfId="0" applyNumberFormat="1" applyFont="1" applyBorder="1" applyAlignment="1">
      <alignment horizontal="center" vertical="center"/>
    </xf>
    <xf numFmtId="0" fontId="251" fillId="42" borderId="960" xfId="0" applyFont="1" applyFill="1" applyBorder="1" applyAlignment="1">
      <alignment horizontal="center" vertical="center"/>
    </xf>
    <xf numFmtId="0" fontId="251" fillId="0" borderId="65" xfId="0" applyFont="1" applyBorder="1" applyAlignment="1">
      <alignment horizontal="center" vertical="center"/>
    </xf>
    <xf numFmtId="0" fontId="251" fillId="0" borderId="66" xfId="0" applyFont="1" applyBorder="1" applyAlignment="1">
      <alignment horizontal="center" vertical="center"/>
    </xf>
    <xf numFmtId="0" fontId="251" fillId="0" borderId="66" xfId="0" applyFont="1" applyBorder="1" applyAlignment="1">
      <alignment horizontal="left" vertical="center"/>
    </xf>
    <xf numFmtId="0" fontId="251" fillId="42" borderId="66" xfId="0" applyFont="1" applyFill="1" applyBorder="1" applyAlignment="1">
      <alignment horizontal="center" vertical="center"/>
    </xf>
    <xf numFmtId="10" fontId="251" fillId="0" borderId="66" xfId="725" applyNumberFormat="1" applyFont="1" applyFill="1" applyBorder="1" applyAlignment="1">
      <alignment horizontal="center" vertical="center"/>
    </xf>
    <xf numFmtId="44" fontId="251" fillId="0" borderId="66" xfId="0" applyNumberFormat="1" applyFont="1" applyBorder="1" applyAlignment="1">
      <alignment horizontal="center" vertical="center"/>
    </xf>
    <xf numFmtId="10" fontId="251" fillId="0" borderId="66" xfId="0" applyNumberFormat="1" applyFont="1" applyBorder="1" applyAlignment="1">
      <alignment vertical="center"/>
    </xf>
    <xf numFmtId="44" fontId="251" fillId="0" borderId="67" xfId="0" applyNumberFormat="1" applyFont="1" applyBorder="1" applyAlignment="1">
      <alignment horizontal="center" vertical="center"/>
    </xf>
    <xf numFmtId="10" fontId="251" fillId="0" borderId="66" xfId="0" applyNumberFormat="1" applyFont="1" applyBorder="1" applyAlignment="1">
      <alignment horizontal="right" vertical="center"/>
    </xf>
    <xf numFmtId="10" fontId="251" fillId="0" borderId="948" xfId="725" applyNumberFormat="1" applyFont="1" applyFill="1" applyBorder="1" applyAlignment="1">
      <alignment vertical="center"/>
    </xf>
    <xf numFmtId="10" fontId="251" fillId="0" borderId="960" xfId="725" applyNumberFormat="1" applyFont="1" applyFill="1" applyBorder="1" applyAlignment="1">
      <alignment vertical="center"/>
    </xf>
    <xf numFmtId="10" fontId="251" fillId="0" borderId="921" xfId="725" applyNumberFormat="1" applyFont="1" applyFill="1" applyBorder="1" applyAlignment="1">
      <alignment vertical="center"/>
    </xf>
    <xf numFmtId="203" fontId="251" fillId="0" borderId="948" xfId="0" applyNumberFormat="1" applyFont="1" applyBorder="1" applyAlignment="1">
      <alignment horizontal="center" vertical="center"/>
    </xf>
    <xf numFmtId="44" fontId="252" fillId="0" borderId="948" xfId="3408" applyNumberFormat="1" applyFont="1" applyBorder="1"/>
    <xf numFmtId="203" fontId="251" fillId="0" borderId="960" xfId="0" applyNumberFormat="1" applyFont="1" applyBorder="1" applyAlignment="1">
      <alignment horizontal="center" vertical="center"/>
    </xf>
    <xf numFmtId="44" fontId="252" fillId="0" borderId="960" xfId="3408" applyNumberFormat="1" applyFont="1" applyBorder="1"/>
    <xf numFmtId="203" fontId="251" fillId="0" borderId="921" xfId="0" applyNumberFormat="1" applyFont="1" applyBorder="1" applyAlignment="1">
      <alignment horizontal="center" vertical="center"/>
    </xf>
    <xf numFmtId="44" fontId="252" fillId="0" borderId="921" xfId="3408" applyNumberFormat="1" applyFont="1" applyBorder="1"/>
    <xf numFmtId="175" fontId="251" fillId="0" borderId="948" xfId="0" applyNumberFormat="1" applyFont="1" applyBorder="1" applyAlignment="1">
      <alignment horizontal="center" vertical="center"/>
    </xf>
    <xf numFmtId="175" fontId="251" fillId="0" borderId="960" xfId="0" applyNumberFormat="1" applyFont="1" applyBorder="1" applyAlignment="1">
      <alignment horizontal="center" vertical="center"/>
    </xf>
    <xf numFmtId="175" fontId="251" fillId="0" borderId="921" xfId="0" applyNumberFormat="1" applyFont="1" applyBorder="1" applyAlignment="1">
      <alignment horizontal="center" vertical="center"/>
    </xf>
    <xf numFmtId="175" fontId="251" fillId="0" borderId="66" xfId="0" applyNumberFormat="1" applyFont="1" applyBorder="1" applyAlignment="1">
      <alignment horizontal="center" vertical="center"/>
    </xf>
    <xf numFmtId="10" fontId="251" fillId="0" borderId="66" xfId="725" applyNumberFormat="1" applyFont="1" applyFill="1" applyBorder="1" applyAlignment="1">
      <alignment vertical="center"/>
    </xf>
    <xf numFmtId="0" fontId="251" fillId="42" borderId="948" xfId="0" applyFont="1" applyFill="1" applyBorder="1" applyAlignment="1">
      <alignment horizontal="center" vertical="center" wrapText="1"/>
    </xf>
    <xf numFmtId="0" fontId="251" fillId="0" borderId="960" xfId="0" applyFont="1" applyBorder="1" applyAlignment="1">
      <alignment horizontal="center" vertical="center" wrapText="1"/>
    </xf>
    <xf numFmtId="0" fontId="251" fillId="42" borderId="960" xfId="0" applyFont="1" applyFill="1" applyBorder="1" applyAlignment="1">
      <alignment horizontal="center" vertical="center" wrapText="1"/>
    </xf>
    <xf numFmtId="0" fontId="251" fillId="0" borderId="921" xfId="0" applyFont="1" applyBorder="1" applyAlignment="1">
      <alignment horizontal="center" vertical="center" wrapText="1"/>
    </xf>
    <xf numFmtId="0" fontId="250" fillId="0" borderId="108" xfId="0" applyFont="1" applyBorder="1" applyAlignment="1">
      <alignment horizontal="center" vertical="center"/>
    </xf>
    <xf numFmtId="2" fontId="250" fillId="0" borderId="104" xfId="0" applyNumberFormat="1" applyFont="1" applyBorder="1" applyAlignment="1">
      <alignment horizontal="center" vertical="center"/>
    </xf>
    <xf numFmtId="10" fontId="250" fillId="0" borderId="104" xfId="725" applyNumberFormat="1" applyFont="1" applyBorder="1" applyAlignment="1">
      <alignment horizontal="center" vertical="center"/>
    </xf>
    <xf numFmtId="0" fontId="250" fillId="2" borderId="948" xfId="1" applyFont="1" applyFill="1" applyBorder="1" applyAlignment="1">
      <alignment horizontal="center" vertical="center" wrapText="1"/>
    </xf>
    <xf numFmtId="2" fontId="250" fillId="0" borderId="105" xfId="0" applyNumberFormat="1" applyFont="1" applyBorder="1" applyAlignment="1">
      <alignment horizontal="center" vertical="center"/>
    </xf>
    <xf numFmtId="0" fontId="157" fillId="0" borderId="970" xfId="0" applyFont="1" applyBorder="1" applyAlignment="1">
      <alignment horizontal="center" vertical="center" wrapText="1"/>
    </xf>
    <xf numFmtId="203" fontId="251" fillId="0" borderId="120" xfId="2305" applyNumberFormat="1" applyFont="1" applyBorder="1" applyAlignment="1">
      <alignment horizontal="center" vertical="center"/>
    </xf>
    <xf numFmtId="203" fontId="251" fillId="0" borderId="322" xfId="2305" applyNumberFormat="1" applyFont="1" applyBorder="1" applyAlignment="1">
      <alignment horizontal="center" vertical="center"/>
    </xf>
    <xf numFmtId="250" fontId="252" fillId="0" borderId="63" xfId="2306" applyNumberFormat="1" applyFont="1" applyFill="1" applyBorder="1" applyAlignment="1">
      <alignment horizontal="center" vertical="center" wrapText="1"/>
    </xf>
    <xf numFmtId="250" fontId="252" fillId="0" borderId="921" xfId="2306" applyNumberFormat="1" applyFont="1" applyFill="1" applyBorder="1" applyAlignment="1">
      <alignment horizontal="center" vertical="center" wrapText="1"/>
    </xf>
    <xf numFmtId="0" fontId="167" fillId="41" borderId="0" xfId="407" applyFont="1" applyFill="1" applyAlignment="1">
      <alignment vertical="center"/>
    </xf>
    <xf numFmtId="0" fontId="167" fillId="41" borderId="77" xfId="407" applyFont="1" applyFill="1" applyBorder="1" applyAlignment="1">
      <alignment vertical="center"/>
    </xf>
    <xf numFmtId="0" fontId="167" fillId="0" borderId="0" xfId="407" applyFont="1" applyAlignment="1">
      <alignment vertical="center"/>
    </xf>
    <xf numFmtId="250" fontId="252" fillId="0" borderId="120" xfId="2306" applyNumberFormat="1" applyFont="1" applyFill="1" applyBorder="1" applyAlignment="1">
      <alignment horizontal="center" vertical="center" wrapText="1"/>
    </xf>
    <xf numFmtId="250" fontId="252" fillId="0" borderId="322" xfId="2306" applyNumberFormat="1" applyFont="1" applyFill="1" applyBorder="1" applyAlignment="1">
      <alignment horizontal="center" vertical="center" wrapText="1"/>
    </xf>
    <xf numFmtId="14" fontId="157" fillId="45" borderId="970" xfId="0" applyNumberFormat="1" applyFont="1" applyFill="1" applyBorder="1" applyAlignment="1">
      <alignment horizontal="center" vertical="center" wrapText="1"/>
    </xf>
    <xf numFmtId="14" fontId="157" fillId="45" borderId="921" xfId="0" applyNumberFormat="1" applyFont="1" applyFill="1" applyBorder="1" applyAlignment="1">
      <alignment horizontal="center" vertical="center" wrapText="1"/>
    </xf>
    <xf numFmtId="203" fontId="157" fillId="45" borderId="970" xfId="2305" applyNumberFormat="1" applyFont="1" applyFill="1" applyBorder="1" applyAlignment="1">
      <alignment horizontal="center" vertical="center"/>
    </xf>
    <xf numFmtId="203" fontId="157" fillId="45" borderId="921" xfId="2305" applyNumberFormat="1" applyFont="1" applyFill="1" applyBorder="1" applyAlignment="1">
      <alignment horizontal="center" vertical="center"/>
    </xf>
    <xf numFmtId="203" fontId="160" fillId="45" borderId="970" xfId="2306" applyNumberFormat="1" applyFont="1" applyFill="1" applyBorder="1" applyAlignment="1">
      <alignment horizontal="center" vertical="center" wrapText="1"/>
    </xf>
    <xf numFmtId="203" fontId="160" fillId="45" borderId="921" xfId="2306" applyNumberFormat="1" applyFont="1" applyFill="1" applyBorder="1" applyAlignment="1">
      <alignment horizontal="center" vertical="center" wrapText="1"/>
    </xf>
    <xf numFmtId="0" fontId="157" fillId="0" borderId="960" xfId="0" applyFont="1" applyBorder="1" applyAlignment="1">
      <alignment horizontal="center" vertical="center" wrapText="1"/>
    </xf>
    <xf numFmtId="0" fontId="157" fillId="0" borderId="960" xfId="0" applyFont="1" applyBorder="1" applyAlignment="1">
      <alignment horizontal="left" vertical="center" wrapText="1"/>
    </xf>
    <xf numFmtId="0" fontId="157" fillId="0" borderId="969" xfId="0" applyFont="1" applyBorder="1" applyAlignment="1">
      <alignment horizontal="center" vertical="center" wrapText="1"/>
    </xf>
    <xf numFmtId="0" fontId="157" fillId="0" borderId="970" xfId="0" applyFont="1" applyBorder="1" applyAlignment="1">
      <alignment horizontal="left" vertical="center" wrapText="1"/>
    </xf>
    <xf numFmtId="0" fontId="157" fillId="0" borderId="971" xfId="0" applyFont="1" applyBorder="1" applyAlignment="1">
      <alignment horizontal="center" vertical="center" wrapText="1"/>
    </xf>
    <xf numFmtId="0" fontId="157" fillId="0" borderId="322" xfId="0" applyFont="1" applyBorder="1" applyAlignment="1">
      <alignment horizontal="center" vertical="center" wrapText="1"/>
    </xf>
    <xf numFmtId="0" fontId="157" fillId="0" borderId="921" xfId="0" applyFont="1" applyBorder="1" applyAlignment="1">
      <alignment horizontal="left" vertical="center" wrapText="1"/>
    </xf>
    <xf numFmtId="0" fontId="157" fillId="0" borderId="922" xfId="0" applyFont="1" applyBorder="1" applyAlignment="1">
      <alignment horizontal="center" vertical="center" wrapText="1"/>
    </xf>
    <xf numFmtId="0" fontId="157" fillId="45" borderId="970" xfId="0" applyFont="1" applyFill="1" applyBorder="1" applyAlignment="1">
      <alignment horizontal="center" vertical="center" wrapText="1"/>
    </xf>
    <xf numFmtId="0" fontId="157" fillId="45" borderId="970" xfId="0" applyFont="1" applyFill="1" applyBorder="1" applyAlignment="1">
      <alignment horizontal="left" vertical="center" wrapText="1"/>
    </xf>
    <xf numFmtId="0" fontId="157" fillId="45" borderId="921" xfId="0" applyFont="1" applyFill="1" applyBorder="1" applyAlignment="1">
      <alignment horizontal="center" vertical="center" wrapText="1"/>
    </xf>
    <xf numFmtId="0" fontId="157" fillId="45" borderId="921" xfId="0" applyFont="1" applyFill="1" applyBorder="1" applyAlignment="1">
      <alignment horizontal="left" vertical="center" wrapText="1"/>
    </xf>
    <xf numFmtId="168" fontId="160" fillId="45" borderId="960" xfId="2306" applyNumberFormat="1" applyFont="1" applyFill="1" applyBorder="1" applyAlignment="1">
      <alignment horizontal="center" vertical="center" wrapText="1"/>
    </xf>
    <xf numFmtId="0" fontId="157" fillId="45" borderId="960" xfId="0" applyFont="1" applyFill="1" applyBorder="1" applyAlignment="1">
      <alignment horizontal="center" vertical="center" wrapText="1"/>
    </xf>
    <xf numFmtId="14" fontId="157" fillId="45" borderId="960" xfId="0" applyNumberFormat="1" applyFont="1" applyFill="1" applyBorder="1" applyAlignment="1">
      <alignment horizontal="center" vertical="center" wrapText="1"/>
    </xf>
    <xf numFmtId="0" fontId="0" fillId="0" borderId="960" xfId="0" applyBorder="1" applyAlignment="1">
      <alignment horizontal="center" vertical="center" wrapText="1"/>
    </xf>
    <xf numFmtId="0" fontId="157" fillId="45" borderId="960" xfId="0" applyFont="1" applyFill="1" applyBorder="1" applyAlignment="1">
      <alignment horizontal="left" vertical="center" wrapText="1"/>
    </xf>
    <xf numFmtId="0" fontId="0" fillId="0" borderId="970" xfId="0" applyBorder="1" applyAlignment="1">
      <alignment horizontal="center" vertical="center" wrapText="1"/>
    </xf>
    <xf numFmtId="0" fontId="0" fillId="0" borderId="921" xfId="0" applyBorder="1" applyAlignment="1">
      <alignment horizontal="center" vertical="center" wrapText="1"/>
    </xf>
    <xf numFmtId="0" fontId="0" fillId="0" borderId="960" xfId="0" applyBorder="1" applyAlignment="1">
      <alignment horizontal="left" vertical="center" wrapText="1"/>
    </xf>
    <xf numFmtId="0" fontId="0" fillId="0" borderId="969" xfId="0" applyBorder="1" applyAlignment="1">
      <alignment horizontal="center" vertical="center" wrapText="1"/>
    </xf>
    <xf numFmtId="0" fontId="0" fillId="0" borderId="970" xfId="0" applyBorder="1" applyAlignment="1">
      <alignment horizontal="left" vertical="center" wrapText="1"/>
    </xf>
    <xf numFmtId="0" fontId="0" fillId="0" borderId="971" xfId="0" applyBorder="1" applyAlignment="1">
      <alignment horizontal="center" vertical="center" wrapText="1"/>
    </xf>
    <xf numFmtId="0" fontId="0" fillId="0" borderId="957" xfId="0" applyBorder="1" applyAlignment="1">
      <alignment horizontal="center" vertical="center" wrapText="1"/>
    </xf>
    <xf numFmtId="0" fontId="0" fillId="0" borderId="961" xfId="0" applyBorder="1" applyAlignment="1">
      <alignment horizontal="center" vertical="center" wrapText="1"/>
    </xf>
    <xf numFmtId="0" fontId="0" fillId="0" borderId="322" xfId="0" applyBorder="1" applyAlignment="1">
      <alignment horizontal="center" vertical="center" wrapText="1"/>
    </xf>
    <xf numFmtId="0" fontId="0" fillId="0" borderId="921" xfId="0" applyBorder="1" applyAlignment="1">
      <alignment horizontal="left" vertical="center" wrapText="1"/>
    </xf>
    <xf numFmtId="0" fontId="0" fillId="0" borderId="922" xfId="0" applyBorder="1" applyAlignment="1">
      <alignment horizontal="center" vertical="center" wrapText="1"/>
    </xf>
    <xf numFmtId="0" fontId="0" fillId="45" borderId="960" xfId="0" applyFill="1" applyBorder="1" applyAlignment="1">
      <alignment horizontal="center" vertical="center" wrapText="1"/>
    </xf>
    <xf numFmtId="0" fontId="157" fillId="0" borderId="957" xfId="0" applyFont="1" applyBorder="1" applyAlignment="1">
      <alignment horizontal="center" vertical="center" wrapText="1"/>
    </xf>
    <xf numFmtId="0" fontId="157" fillId="0" borderId="961" xfId="0" applyFont="1" applyBorder="1" applyAlignment="1">
      <alignment horizontal="center" vertical="center" wrapText="1"/>
    </xf>
    <xf numFmtId="203" fontId="160" fillId="45" borderId="970" xfId="3408" applyNumberFormat="1" applyFont="1" applyFill="1" applyBorder="1" applyAlignment="1">
      <alignment horizontal="center" vertical="center"/>
    </xf>
    <xf numFmtId="203" fontId="160" fillId="45" borderId="970" xfId="3405" applyNumberFormat="1" applyFont="1" applyFill="1" applyBorder="1" applyAlignment="1">
      <alignment horizontal="center" vertical="center" wrapText="1"/>
    </xf>
    <xf numFmtId="203" fontId="157" fillId="45" borderId="960" xfId="2305" applyNumberFormat="1" applyFont="1" applyFill="1" applyBorder="1" applyAlignment="1">
      <alignment horizontal="center" vertical="center"/>
    </xf>
    <xf numFmtId="203" fontId="160" fillId="45" borderId="960" xfId="3408" applyNumberFormat="1" applyFont="1" applyFill="1" applyBorder="1" applyAlignment="1">
      <alignment horizontal="center" vertical="center"/>
    </xf>
    <xf numFmtId="203" fontId="160" fillId="45" borderId="960" xfId="3405" applyNumberFormat="1" applyFont="1" applyFill="1" applyBorder="1" applyAlignment="1">
      <alignment horizontal="center" vertical="center" wrapText="1"/>
    </xf>
    <xf numFmtId="203" fontId="160" fillId="45" borderId="921" xfId="3408" applyNumberFormat="1" applyFont="1" applyFill="1" applyBorder="1" applyAlignment="1">
      <alignment horizontal="center" vertical="center"/>
    </xf>
    <xf numFmtId="203" fontId="160" fillId="45" borderId="921" xfId="3405" applyNumberFormat="1" applyFont="1" applyFill="1" applyBorder="1" applyAlignment="1">
      <alignment horizontal="center" vertical="center" wrapText="1"/>
    </xf>
    <xf numFmtId="0" fontId="0" fillId="45" borderId="0" xfId="0" applyFill="1" applyAlignment="1">
      <alignment horizontal="center" vertical="center" wrapText="1"/>
    </xf>
    <xf numFmtId="0" fontId="157" fillId="0" borderId="0" xfId="0" applyFont="1" applyAlignment="1">
      <alignment vertical="center"/>
    </xf>
    <xf numFmtId="0" fontId="157" fillId="45" borderId="0" xfId="0" applyFont="1" applyFill="1" applyAlignment="1">
      <alignment horizontal="center" vertical="center" wrapText="1"/>
    </xf>
    <xf numFmtId="14" fontId="157" fillId="45" borderId="0" xfId="0" applyNumberFormat="1" applyFont="1" applyFill="1" applyAlignment="1">
      <alignment horizontal="center" vertical="center" wrapText="1"/>
    </xf>
    <xf numFmtId="0" fontId="157" fillId="45" borderId="0" xfId="0" applyFont="1" applyFill="1" applyAlignment="1">
      <alignment horizontal="left" vertical="center" wrapText="1"/>
    </xf>
    <xf numFmtId="250" fontId="253" fillId="45" borderId="0" xfId="2306" applyNumberFormat="1" applyFont="1" applyFill="1" applyBorder="1" applyAlignment="1">
      <alignment horizontal="center" vertical="center" wrapText="1"/>
    </xf>
    <xf numFmtId="0" fontId="157" fillId="45" borderId="959" xfId="0" applyFont="1" applyFill="1" applyBorder="1" applyAlignment="1">
      <alignment horizontal="center" vertical="center" wrapText="1"/>
    </xf>
    <xf numFmtId="250" fontId="160" fillId="45" borderId="960" xfId="2306" applyNumberFormat="1" applyFont="1" applyFill="1" applyBorder="1" applyAlignment="1">
      <alignment horizontal="center" vertical="center" wrapText="1"/>
    </xf>
    <xf numFmtId="250" fontId="253" fillId="45" borderId="960" xfId="2306" applyNumberFormat="1" applyFont="1" applyFill="1" applyBorder="1" applyAlignment="1">
      <alignment horizontal="center" vertical="center" wrapText="1"/>
    </xf>
    <xf numFmtId="4" fontId="157" fillId="45" borderId="66" xfId="0" applyNumberFormat="1" applyFont="1" applyFill="1" applyBorder="1" applyAlignment="1">
      <alignment horizontal="center" vertical="center"/>
    </xf>
    <xf numFmtId="0" fontId="157" fillId="45" borderId="426" xfId="0" applyFont="1" applyFill="1" applyBorder="1" applyAlignment="1">
      <alignment horizontal="left" vertical="center" wrapText="1"/>
    </xf>
    <xf numFmtId="9" fontId="157" fillId="0" borderId="66" xfId="0" applyNumberFormat="1" applyFont="1" applyBorder="1" applyAlignment="1">
      <alignment horizontal="center" vertical="center"/>
    </xf>
    <xf numFmtId="2" fontId="249" fillId="2" borderId="63" xfId="1" applyNumberFormat="1" applyFont="1" applyFill="1" applyBorder="1" applyAlignment="1">
      <alignment horizontal="center" vertical="center" wrapText="1"/>
    </xf>
    <xf numFmtId="0" fontId="249" fillId="2" borderId="63" xfId="1" applyFont="1" applyFill="1" applyBorder="1" applyAlignment="1">
      <alignment horizontal="center" vertical="center" wrapText="1"/>
    </xf>
    <xf numFmtId="0" fontId="254" fillId="0" borderId="0" xfId="0" applyFont="1" applyAlignment="1">
      <alignment horizontal="center" vertical="center"/>
    </xf>
    <xf numFmtId="2" fontId="249" fillId="2" borderId="959" xfId="1" applyNumberFormat="1" applyFont="1" applyFill="1" applyBorder="1" applyAlignment="1">
      <alignment horizontal="center" vertical="center" wrapText="1"/>
    </xf>
    <xf numFmtId="0" fontId="249" fillId="2" borderId="959" xfId="1" applyFont="1" applyFill="1" applyBorder="1" applyAlignment="1">
      <alignment horizontal="center" vertical="center" wrapText="1"/>
    </xf>
    <xf numFmtId="0" fontId="249" fillId="2" borderId="959" xfId="0" applyFont="1" applyFill="1" applyBorder="1" applyAlignment="1">
      <alignment horizontal="center" vertical="center" wrapText="1"/>
    </xf>
    <xf numFmtId="0" fontId="254" fillId="0" borderId="63" xfId="0" applyFont="1" applyBorder="1" applyAlignment="1">
      <alignment horizontal="center" vertical="center"/>
    </xf>
    <xf numFmtId="0" fontId="254" fillId="45" borderId="63" xfId="0" applyFont="1" applyFill="1" applyBorder="1" applyAlignment="1">
      <alignment horizontal="center" vertical="center"/>
    </xf>
    <xf numFmtId="0" fontId="254" fillId="0" borderId="322" xfId="0" applyFont="1" applyBorder="1" applyAlignment="1">
      <alignment horizontal="center" vertical="center"/>
    </xf>
    <xf numFmtId="0" fontId="254" fillId="0" borderId="921" xfId="0" applyFont="1" applyBorder="1" applyAlignment="1">
      <alignment horizontal="center" vertical="center"/>
    </xf>
    <xf numFmtId="1" fontId="254" fillId="42" borderId="921" xfId="0" applyNumberFormat="1" applyFont="1" applyFill="1" applyBorder="1" applyAlignment="1">
      <alignment horizontal="center" vertical="center"/>
    </xf>
    <xf numFmtId="0" fontId="254" fillId="45" borderId="921" xfId="0" applyFont="1" applyFill="1" applyBorder="1" applyAlignment="1">
      <alignment horizontal="center" vertical="center"/>
    </xf>
    <xf numFmtId="0" fontId="254" fillId="0" borderId="922" xfId="0" applyFont="1" applyBorder="1" applyAlignment="1">
      <alignment horizontal="center" vertical="center"/>
    </xf>
    <xf numFmtId="0" fontId="254" fillId="0" borderId="66" xfId="0" applyFont="1" applyBorder="1" applyAlignment="1">
      <alignment horizontal="center" vertical="center"/>
    </xf>
    <xf numFmtId="1" fontId="254" fillId="42" borderId="66" xfId="0" applyNumberFormat="1" applyFont="1" applyFill="1" applyBorder="1" applyAlignment="1">
      <alignment horizontal="center" vertical="center"/>
    </xf>
    <xf numFmtId="0" fontId="254" fillId="45" borderId="66" xfId="0" applyFont="1" applyFill="1" applyBorder="1" applyAlignment="1">
      <alignment horizontal="center" vertical="center"/>
    </xf>
    <xf numFmtId="0" fontId="254" fillId="0" borderId="960" xfId="0" applyFont="1" applyBorder="1" applyAlignment="1">
      <alignment horizontal="center" vertical="center"/>
    </xf>
    <xf numFmtId="1" fontId="254" fillId="0" borderId="960" xfId="0" applyNumberFormat="1" applyFont="1" applyBorder="1" applyAlignment="1">
      <alignment horizontal="center" vertical="center"/>
    </xf>
    <xf numFmtId="0" fontId="254" fillId="45" borderId="960" xfId="0" applyFont="1" applyFill="1" applyBorder="1" applyAlignment="1">
      <alignment horizontal="center" vertical="center"/>
    </xf>
    <xf numFmtId="1" fontId="254" fillId="42" borderId="960" xfId="0" applyNumberFormat="1" applyFont="1" applyFill="1" applyBorder="1" applyAlignment="1">
      <alignment horizontal="center" vertical="center"/>
    </xf>
    <xf numFmtId="1" fontId="254" fillId="0" borderId="921" xfId="0" applyNumberFormat="1" applyFont="1" applyBorder="1" applyAlignment="1">
      <alignment horizontal="center" vertical="center"/>
    </xf>
    <xf numFmtId="10" fontId="254" fillId="0" borderId="66" xfId="725" applyNumberFormat="1" applyFont="1" applyFill="1" applyBorder="1" applyAlignment="1">
      <alignment horizontal="center" vertical="center"/>
    </xf>
    <xf numFmtId="10" fontId="254" fillId="0" borderId="66" xfId="725" applyNumberFormat="1" applyFont="1" applyFill="1" applyBorder="1" applyAlignment="1">
      <alignment vertical="center"/>
    </xf>
    <xf numFmtId="14" fontId="254" fillId="0" borderId="63" xfId="0" applyNumberFormat="1" applyFont="1" applyBorder="1" applyAlignment="1">
      <alignment horizontal="center" vertical="center"/>
    </xf>
    <xf numFmtId="10" fontId="254" fillId="0" borderId="63" xfId="725" applyNumberFormat="1" applyFont="1" applyFill="1" applyBorder="1" applyAlignment="1">
      <alignment horizontal="center" vertical="center"/>
    </xf>
    <xf numFmtId="10" fontId="254" fillId="0" borderId="63" xfId="725" applyNumberFormat="1" applyFont="1" applyFill="1" applyBorder="1" applyAlignment="1">
      <alignment vertical="center"/>
    </xf>
    <xf numFmtId="14" fontId="254" fillId="0" borderId="960" xfId="0" applyNumberFormat="1" applyFont="1" applyBorder="1" applyAlignment="1">
      <alignment horizontal="center" vertical="center"/>
    </xf>
    <xf numFmtId="10" fontId="254" fillId="0" borderId="960" xfId="725" applyNumberFormat="1" applyFont="1" applyFill="1" applyBorder="1" applyAlignment="1">
      <alignment horizontal="center" vertical="center"/>
    </xf>
    <xf numFmtId="10" fontId="254" fillId="0" borderId="960" xfId="725" applyNumberFormat="1" applyFont="1" applyFill="1" applyBorder="1" applyAlignment="1">
      <alignment vertical="center"/>
    </xf>
    <xf numFmtId="14" fontId="254" fillId="0" borderId="921" xfId="0" applyNumberFormat="1" applyFont="1" applyBorder="1" applyAlignment="1">
      <alignment horizontal="center" vertical="center"/>
    </xf>
    <xf numFmtId="10" fontId="254" fillId="0" borderId="921" xfId="725" applyNumberFormat="1" applyFont="1" applyFill="1" applyBorder="1" applyAlignment="1">
      <alignment horizontal="center" vertical="center"/>
    </xf>
    <xf numFmtId="10" fontId="254" fillId="0" borderId="921" xfId="725" applyNumberFormat="1" applyFont="1" applyFill="1" applyBorder="1" applyAlignment="1">
      <alignment vertical="center"/>
    </xf>
    <xf numFmtId="9" fontId="255" fillId="0" borderId="960" xfId="3405" applyFont="1" applyFill="1" applyBorder="1" applyAlignment="1">
      <alignment horizontal="center" vertical="center" wrapText="1"/>
    </xf>
    <xf numFmtId="1" fontId="254" fillId="0" borderId="960" xfId="0" applyNumberFormat="1" applyFont="1" applyBorder="1" applyAlignment="1">
      <alignment horizontal="center" vertical="center" wrapText="1"/>
    </xf>
    <xf numFmtId="1" fontId="254" fillId="42" borderId="960" xfId="0" applyNumberFormat="1" applyFont="1" applyFill="1" applyBorder="1" applyAlignment="1">
      <alignment horizontal="center" vertical="center" wrapText="1"/>
    </xf>
    <xf numFmtId="1" fontId="254" fillId="0" borderId="921" xfId="0" applyNumberFormat="1" applyFont="1" applyBorder="1" applyAlignment="1">
      <alignment horizontal="center" vertical="center" wrapText="1"/>
    </xf>
    <xf numFmtId="1" fontId="254" fillId="42" borderId="66" xfId="0" applyNumberFormat="1" applyFont="1" applyFill="1" applyBorder="1" applyAlignment="1">
      <alignment horizontal="center" vertical="center" wrapText="1"/>
    </xf>
    <xf numFmtId="1" fontId="254" fillId="42" borderId="921" xfId="0" applyNumberFormat="1" applyFont="1" applyFill="1" applyBorder="1" applyAlignment="1">
      <alignment horizontal="center" vertical="center" wrapText="1"/>
    </xf>
    <xf numFmtId="0" fontId="254" fillId="0" borderId="959" xfId="0" applyFont="1" applyBorder="1" applyAlignment="1">
      <alignment horizontal="center" vertical="center"/>
    </xf>
    <xf numFmtId="0" fontId="254" fillId="45" borderId="959" xfId="0" applyFont="1" applyFill="1" applyBorder="1" applyAlignment="1">
      <alignment horizontal="center" vertical="center"/>
    </xf>
    <xf numFmtId="1" fontId="254" fillId="42" borderId="66" xfId="0" applyNumberFormat="1" applyFont="1" applyFill="1" applyBorder="1" applyAlignment="1">
      <alignment horizontal="center"/>
    </xf>
    <xf numFmtId="1" fontId="254" fillId="42" borderId="63" xfId="0" applyNumberFormat="1" applyFont="1" applyFill="1" applyBorder="1" applyAlignment="1">
      <alignment horizontal="center"/>
    </xf>
    <xf numFmtId="1" fontId="254" fillId="0" borderId="921" xfId="0" applyNumberFormat="1" applyFont="1" applyBorder="1" applyAlignment="1">
      <alignment horizontal="center"/>
    </xf>
    <xf numFmtId="0" fontId="254" fillId="0" borderId="66" xfId="0" applyFont="1" applyBorder="1" applyAlignment="1">
      <alignment horizontal="center" vertical="center" wrapText="1"/>
    </xf>
    <xf numFmtId="0" fontId="254" fillId="0" borderId="921" xfId="0" applyFont="1" applyBorder="1" applyAlignment="1">
      <alignment horizontal="center" vertical="center" wrapText="1"/>
    </xf>
    <xf numFmtId="14" fontId="254" fillId="45" borderId="921" xfId="0" applyNumberFormat="1" applyFont="1" applyFill="1" applyBorder="1" applyAlignment="1">
      <alignment horizontal="center" vertical="center" wrapText="1"/>
    </xf>
    <xf numFmtId="0" fontId="254" fillId="0" borderId="960" xfId="0" applyFont="1" applyBorder="1" applyAlignment="1">
      <alignment horizontal="center"/>
    </xf>
    <xf numFmtId="1" fontId="254" fillId="0" borderId="960" xfId="1018" applyNumberFormat="1" applyFont="1" applyFill="1" applyBorder="1" applyAlignment="1">
      <alignment horizontal="center" vertical="center"/>
    </xf>
    <xf numFmtId="1" fontId="254" fillId="42" borderId="960" xfId="1018" applyNumberFormat="1" applyFont="1" applyFill="1" applyBorder="1" applyAlignment="1">
      <alignment horizontal="center" vertical="center"/>
    </xf>
    <xf numFmtId="1" fontId="254" fillId="0" borderId="921" xfId="1018" applyNumberFormat="1" applyFont="1" applyFill="1" applyBorder="1" applyAlignment="1">
      <alignment horizontal="center" vertical="center"/>
    </xf>
    <xf numFmtId="1" fontId="254" fillId="42" borderId="66" xfId="1018" applyNumberFormat="1" applyFont="1" applyFill="1" applyBorder="1" applyAlignment="1">
      <alignment horizontal="center" vertical="center"/>
    </xf>
    <xf numFmtId="0" fontId="254" fillId="0" borderId="959" xfId="0" applyFont="1" applyBorder="1" applyAlignment="1">
      <alignment horizontal="center"/>
    </xf>
    <xf numFmtId="1" fontId="254" fillId="42" borderId="959" xfId="1018" applyNumberFormat="1" applyFont="1" applyFill="1" applyBorder="1" applyAlignment="1">
      <alignment horizontal="center" vertical="center"/>
    </xf>
    <xf numFmtId="0" fontId="254" fillId="0" borderId="104" xfId="0" applyFont="1" applyBorder="1" applyAlignment="1">
      <alignment horizontal="center" vertical="center"/>
    </xf>
    <xf numFmtId="1" fontId="254" fillId="42" borderId="104" xfId="1018" applyNumberFormat="1" applyFont="1" applyFill="1" applyBorder="1" applyAlignment="1">
      <alignment horizontal="center" vertical="center"/>
    </xf>
    <xf numFmtId="0" fontId="254" fillId="45" borderId="104" xfId="0" applyFont="1" applyFill="1" applyBorder="1" applyAlignment="1">
      <alignment horizontal="center" vertical="center"/>
    </xf>
    <xf numFmtId="1" fontId="254" fillId="42" borderId="921" xfId="1018" applyNumberFormat="1" applyFont="1" applyFill="1" applyBorder="1" applyAlignment="1">
      <alignment horizontal="center" vertical="center"/>
    </xf>
    <xf numFmtId="0" fontId="254" fillId="0" borderId="26" xfId="0" applyFont="1" applyBorder="1" applyAlignment="1">
      <alignment horizontal="center" vertical="center"/>
    </xf>
    <xf numFmtId="1" fontId="254" fillId="42" borderId="26" xfId="1018" applyNumberFormat="1" applyFont="1" applyFill="1" applyBorder="1" applyAlignment="1">
      <alignment horizontal="center" vertical="center"/>
    </xf>
    <xf numFmtId="0" fontId="254" fillId="45" borderId="26" xfId="0" applyFont="1" applyFill="1" applyBorder="1" applyAlignment="1">
      <alignment horizontal="center" vertical="center"/>
    </xf>
    <xf numFmtId="0" fontId="254" fillId="0" borderId="63" xfId="0" applyFont="1" applyBorder="1" applyAlignment="1">
      <alignment vertical="center"/>
    </xf>
    <xf numFmtId="0" fontId="254" fillId="0" borderId="960" xfId="0" applyFont="1" applyBorder="1" applyAlignment="1">
      <alignment vertical="center"/>
    </xf>
    <xf numFmtId="0" fontId="254" fillId="0" borderId="921" xfId="0" applyFont="1" applyBorder="1" applyAlignment="1">
      <alignment vertical="center"/>
    </xf>
    <xf numFmtId="0" fontId="254" fillId="0" borderId="15" xfId="0" applyFont="1" applyBorder="1" applyAlignment="1">
      <alignment horizontal="center" vertical="center"/>
    </xf>
    <xf numFmtId="0" fontId="254" fillId="0" borderId="15" xfId="0" applyFont="1" applyBorder="1" applyAlignment="1">
      <alignment vertical="center"/>
    </xf>
    <xf numFmtId="1" fontId="254" fillId="42" borderId="15" xfId="0" applyNumberFormat="1" applyFont="1" applyFill="1" applyBorder="1" applyAlignment="1">
      <alignment horizontal="center" vertical="center"/>
    </xf>
    <xf numFmtId="0" fontId="254" fillId="45" borderId="15" xfId="0" applyFont="1" applyFill="1" applyBorder="1" applyAlignment="1">
      <alignment horizontal="center" vertical="center"/>
    </xf>
    <xf numFmtId="0" fontId="254" fillId="0" borderId="959" xfId="0" applyFont="1" applyBorder="1" applyAlignment="1">
      <alignment vertical="center"/>
    </xf>
    <xf numFmtId="1" fontId="254" fillId="42" borderId="959" xfId="0" applyNumberFormat="1" applyFont="1" applyFill="1" applyBorder="1" applyAlignment="1">
      <alignment horizontal="center" vertical="center"/>
    </xf>
    <xf numFmtId="1" fontId="254" fillId="0" borderId="959" xfId="0" applyNumberFormat="1" applyFont="1" applyBorder="1" applyAlignment="1">
      <alignment horizontal="center" vertical="center"/>
    </xf>
    <xf numFmtId="1" fontId="254" fillId="42" borderId="104" xfId="0" applyNumberFormat="1" applyFont="1" applyFill="1" applyBorder="1" applyAlignment="1">
      <alignment horizontal="center" vertical="center"/>
    </xf>
    <xf numFmtId="14" fontId="254" fillId="0" borderId="15" xfId="0" applyNumberFormat="1" applyFont="1" applyBorder="1" applyAlignment="1">
      <alignment horizontal="center" vertical="center"/>
    </xf>
    <xf numFmtId="0" fontId="254" fillId="0" borderId="104" xfId="0" applyFont="1" applyBorder="1" applyAlignment="1">
      <alignment vertical="center"/>
    </xf>
    <xf numFmtId="168" fontId="255" fillId="0" borderId="63" xfId="2306" applyNumberFormat="1" applyFont="1" applyFill="1" applyBorder="1" applyAlignment="1">
      <alignment horizontal="center" vertical="center" wrapText="1"/>
    </xf>
    <xf numFmtId="250" fontId="256" fillId="0" borderId="63" xfId="2306" applyNumberFormat="1" applyFont="1" applyFill="1" applyBorder="1" applyAlignment="1">
      <alignment horizontal="center" vertical="center" wrapText="1"/>
    </xf>
    <xf numFmtId="168" fontId="255" fillId="0" borderId="960" xfId="2306" applyNumberFormat="1" applyFont="1" applyFill="1" applyBorder="1" applyAlignment="1">
      <alignment horizontal="center" vertical="center" wrapText="1"/>
    </xf>
    <xf numFmtId="250" fontId="256" fillId="0" borderId="960" xfId="2306" applyNumberFormat="1" applyFont="1" applyFill="1" applyBorder="1" applyAlignment="1">
      <alignment horizontal="center" vertical="center" wrapText="1"/>
    </xf>
    <xf numFmtId="168" fontId="255" fillId="0" borderId="921" xfId="2306" applyNumberFormat="1" applyFont="1" applyFill="1" applyBorder="1" applyAlignment="1">
      <alignment horizontal="center" vertical="center" wrapText="1"/>
    </xf>
    <xf numFmtId="250" fontId="256" fillId="0" borderId="921" xfId="2306" applyNumberFormat="1" applyFont="1" applyFill="1" applyBorder="1" applyAlignment="1">
      <alignment horizontal="center" vertical="center" wrapText="1"/>
    </xf>
    <xf numFmtId="168" fontId="255" fillId="0" borderId="104" xfId="2306" applyNumberFormat="1" applyFont="1" applyFill="1" applyBorder="1" applyAlignment="1">
      <alignment horizontal="center" vertical="center" wrapText="1"/>
    </xf>
    <xf numFmtId="10" fontId="254" fillId="0" borderId="104" xfId="725" applyNumberFormat="1" applyFont="1" applyFill="1" applyBorder="1" applyAlignment="1">
      <alignment horizontal="center" vertical="center"/>
    </xf>
    <xf numFmtId="10" fontId="254" fillId="0" borderId="104" xfId="725" applyNumberFormat="1" applyFont="1" applyFill="1" applyBorder="1" applyAlignment="1">
      <alignment vertical="center"/>
    </xf>
    <xf numFmtId="250" fontId="256" fillId="0" borderId="104" xfId="2306" applyNumberFormat="1" applyFont="1" applyFill="1" applyBorder="1" applyAlignment="1">
      <alignment horizontal="center" vertical="center" wrapText="1"/>
    </xf>
    <xf numFmtId="168" fontId="255" fillId="0" borderId="15" xfId="2306" applyNumberFormat="1" applyFont="1" applyFill="1" applyBorder="1" applyAlignment="1">
      <alignment horizontal="center" vertical="center" wrapText="1"/>
    </xf>
    <xf numFmtId="10" fontId="254" fillId="0" borderId="15" xfId="725" applyNumberFormat="1" applyFont="1" applyFill="1" applyBorder="1" applyAlignment="1">
      <alignment horizontal="center" vertical="center"/>
    </xf>
    <xf numFmtId="10" fontId="254" fillId="0" borderId="15" xfId="725" applyNumberFormat="1" applyFont="1" applyFill="1" applyBorder="1" applyAlignment="1">
      <alignment vertical="center"/>
    </xf>
    <xf numFmtId="250" fontId="256" fillId="0" borderId="15" xfId="2306" applyNumberFormat="1" applyFont="1" applyFill="1" applyBorder="1" applyAlignment="1">
      <alignment horizontal="center" vertical="center" wrapText="1"/>
    </xf>
    <xf numFmtId="0" fontId="249" fillId="0" borderId="104" xfId="0" applyFont="1" applyBorder="1" applyAlignment="1">
      <alignment horizontal="center" vertical="center"/>
    </xf>
    <xf numFmtId="1" fontId="254" fillId="0" borderId="0" xfId="0" applyNumberFormat="1" applyFont="1" applyAlignment="1">
      <alignment horizontal="center" vertical="center"/>
    </xf>
    <xf numFmtId="2" fontId="254" fillId="0" borderId="0" xfId="0" applyNumberFormat="1" applyFont="1" applyAlignment="1">
      <alignment horizontal="center" vertical="center"/>
    </xf>
    <xf numFmtId="0" fontId="254" fillId="45" borderId="921" xfId="0" applyFont="1" applyFill="1" applyBorder="1" applyAlignment="1">
      <alignment horizontal="center" vertical="center" wrapText="1"/>
    </xf>
    <xf numFmtId="2" fontId="160" fillId="45" borderId="921" xfId="2306" applyNumberFormat="1" applyFont="1" applyFill="1" applyBorder="1" applyAlignment="1">
      <alignment horizontal="center" vertical="center" wrapText="1"/>
    </xf>
    <xf numFmtId="0" fontId="254" fillId="0" borderId="969" xfId="0" applyFont="1" applyBorder="1" applyAlignment="1">
      <alignment horizontal="center" vertical="center"/>
    </xf>
    <xf numFmtId="0" fontId="254" fillId="0" borderId="970" xfId="0" applyFont="1" applyBorder="1" applyAlignment="1">
      <alignment horizontal="center" vertical="center"/>
    </xf>
    <xf numFmtId="0" fontId="254" fillId="45" borderId="970" xfId="0" applyFont="1" applyFill="1" applyBorder="1" applyAlignment="1">
      <alignment horizontal="center" vertical="center"/>
    </xf>
    <xf numFmtId="168" fontId="257" fillId="45" borderId="970" xfId="407" applyNumberFormat="1" applyFont="1" applyFill="1" applyBorder="1" applyAlignment="1">
      <alignment horizontal="center" vertical="center"/>
    </xf>
    <xf numFmtId="0" fontId="254" fillId="0" borderId="971" xfId="0" applyFont="1" applyBorder="1" applyAlignment="1">
      <alignment horizontal="center" vertical="center"/>
    </xf>
    <xf numFmtId="168" fontId="257" fillId="45" borderId="921" xfId="407" applyNumberFormat="1" applyFont="1" applyFill="1" applyBorder="1" applyAlignment="1">
      <alignment horizontal="center" vertical="center"/>
    </xf>
    <xf numFmtId="0" fontId="254" fillId="0" borderId="969" xfId="0" applyFont="1" applyBorder="1" applyAlignment="1">
      <alignment horizontal="center" vertical="center" wrapText="1"/>
    </xf>
    <xf numFmtId="0" fontId="254" fillId="0" borderId="970" xfId="0" applyFont="1" applyBorder="1" applyAlignment="1">
      <alignment horizontal="center" vertical="center" wrapText="1"/>
    </xf>
    <xf numFmtId="0" fontId="254" fillId="45" borderId="970" xfId="0" applyFont="1" applyFill="1" applyBorder="1" applyAlignment="1">
      <alignment horizontal="center" vertical="center" wrapText="1"/>
    </xf>
    <xf numFmtId="0" fontId="254" fillId="0" borderId="970" xfId="0" applyFont="1" applyBorder="1" applyAlignment="1">
      <alignment horizontal="left" vertical="center" wrapText="1"/>
    </xf>
    <xf numFmtId="14" fontId="254" fillId="45" borderId="970" xfId="0" applyNumberFormat="1" applyFont="1" applyFill="1" applyBorder="1" applyAlignment="1">
      <alignment horizontal="center" vertical="center" wrapText="1"/>
    </xf>
    <xf numFmtId="0" fontId="254" fillId="45" borderId="970" xfId="0" applyFont="1" applyFill="1" applyBorder="1" applyAlignment="1">
      <alignment horizontal="left" vertical="center" wrapText="1"/>
    </xf>
    <xf numFmtId="0" fontId="254" fillId="0" borderId="971" xfId="0" applyFont="1" applyBorder="1" applyAlignment="1">
      <alignment horizontal="center" vertical="center" wrapText="1"/>
    </xf>
    <xf numFmtId="0" fontId="254" fillId="0" borderId="0" xfId="0" applyFont="1" applyAlignment="1">
      <alignment horizontal="center" vertical="center" wrapText="1"/>
    </xf>
    <xf numFmtId="0" fontId="254" fillId="0" borderId="322" xfId="0" applyFont="1" applyBorder="1" applyAlignment="1">
      <alignment horizontal="center" vertical="center" wrapText="1"/>
    </xf>
    <xf numFmtId="0" fontId="254" fillId="0" borderId="921" xfId="0" applyFont="1" applyBorder="1" applyAlignment="1">
      <alignment horizontal="left" vertical="center" wrapText="1"/>
    </xf>
    <xf numFmtId="0" fontId="254" fillId="45" borderId="921" xfId="0" applyFont="1" applyFill="1" applyBorder="1" applyAlignment="1">
      <alignment horizontal="left" vertical="center" wrapText="1"/>
    </xf>
    <xf numFmtId="0" fontId="254" fillId="0" borderId="922" xfId="0" applyFont="1" applyBorder="1" applyAlignment="1">
      <alignment horizontal="center" vertical="center" wrapText="1"/>
    </xf>
    <xf numFmtId="0" fontId="257" fillId="45" borderId="0" xfId="407" applyFont="1" applyFill="1" applyAlignment="1">
      <alignment vertical="center"/>
    </xf>
    <xf numFmtId="2" fontId="160" fillId="45" borderId="970" xfId="2306" applyNumberFormat="1" applyFont="1" applyFill="1" applyBorder="1" applyAlignment="1">
      <alignment horizontal="center" vertical="center" wrapText="1"/>
    </xf>
    <xf numFmtId="2" fontId="160" fillId="45" borderId="960" xfId="2306" applyNumberFormat="1" applyFont="1" applyFill="1" applyBorder="1" applyAlignment="1">
      <alignment horizontal="center" vertical="center" wrapText="1"/>
    </xf>
    <xf numFmtId="0" fontId="0" fillId="45" borderId="970" xfId="0" applyFill="1" applyBorder="1" applyAlignment="1">
      <alignment horizontal="center" vertical="center" wrapText="1"/>
    </xf>
    <xf numFmtId="0" fontId="0" fillId="45" borderId="921" xfId="0" applyFill="1" applyBorder="1" applyAlignment="1">
      <alignment horizontal="center" vertical="center" wrapText="1"/>
    </xf>
    <xf numFmtId="203" fontId="251" fillId="45" borderId="960" xfId="2305" applyNumberFormat="1" applyFont="1" applyFill="1" applyBorder="1" applyAlignment="1">
      <alignment horizontal="center" vertical="center"/>
    </xf>
    <xf numFmtId="203" fontId="251" fillId="45" borderId="959" xfId="2305" applyNumberFormat="1" applyFont="1" applyFill="1" applyBorder="1" applyAlignment="1">
      <alignment horizontal="center" vertical="center"/>
    </xf>
    <xf numFmtId="0" fontId="254" fillId="0" borderId="0" xfId="0" applyFont="1" applyAlignment="1">
      <alignment horizontal="left" vertical="center" wrapText="1"/>
    </xf>
    <xf numFmtId="14" fontId="254" fillId="0" borderId="0" xfId="0" applyNumberFormat="1" applyFont="1" applyAlignment="1">
      <alignment horizontal="center" vertical="center" wrapText="1"/>
    </xf>
    <xf numFmtId="0" fontId="254" fillId="41" borderId="0" xfId="0" applyFont="1" applyFill="1" applyAlignment="1">
      <alignment horizontal="center" vertical="center" wrapText="1"/>
    </xf>
    <xf numFmtId="2" fontId="254" fillId="45" borderId="15" xfId="2305" applyNumberFormat="1" applyFont="1" applyFill="1" applyBorder="1" applyAlignment="1">
      <alignment horizontal="center" vertical="center"/>
    </xf>
    <xf numFmtId="2" fontId="254" fillId="45" borderId="960" xfId="2305" applyNumberFormat="1" applyFont="1" applyFill="1" applyBorder="1" applyAlignment="1">
      <alignment horizontal="center" vertical="center"/>
    </xf>
    <xf numFmtId="0" fontId="254" fillId="45" borderId="960" xfId="0" applyFont="1" applyFill="1" applyBorder="1" applyAlignment="1">
      <alignment horizontal="center" vertical="center" wrapText="1"/>
    </xf>
    <xf numFmtId="2" fontId="160" fillId="45" borderId="26" xfId="2306" applyNumberFormat="1" applyFont="1" applyFill="1" applyBorder="1" applyAlignment="1">
      <alignment horizontal="center" vertical="center" wrapText="1"/>
    </xf>
    <xf numFmtId="2" fontId="157" fillId="45" borderId="0" xfId="0" applyNumberFormat="1" applyFont="1" applyFill="1" applyAlignment="1">
      <alignment horizontal="center" vertical="center" wrapText="1"/>
    </xf>
    <xf numFmtId="2" fontId="255" fillId="0" borderId="960" xfId="2306" applyNumberFormat="1" applyFont="1" applyFill="1" applyBorder="1" applyAlignment="1">
      <alignment horizontal="center" vertical="center" wrapText="1"/>
    </xf>
    <xf numFmtId="2" fontId="255" fillId="41" borderId="960" xfId="2306" applyNumberFormat="1" applyFont="1" applyFill="1" applyBorder="1" applyAlignment="1">
      <alignment horizontal="center" vertical="center" wrapText="1"/>
    </xf>
    <xf numFmtId="2" fontId="254" fillId="0" borderId="63" xfId="0" applyNumberFormat="1" applyFont="1" applyBorder="1" applyAlignment="1">
      <alignment horizontal="center" vertical="center"/>
    </xf>
    <xf numFmtId="44" fontId="254" fillId="0" borderId="63" xfId="0" applyNumberFormat="1" applyFont="1" applyBorder="1" applyAlignment="1">
      <alignment horizontal="center" vertical="center"/>
    </xf>
    <xf numFmtId="2" fontId="254" fillId="0" borderId="921" xfId="0" applyNumberFormat="1" applyFont="1" applyBorder="1" applyAlignment="1">
      <alignment horizontal="center" vertical="center"/>
    </xf>
    <xf numFmtId="44" fontId="254" fillId="0" borderId="921" xfId="0" applyNumberFormat="1" applyFont="1" applyBorder="1" applyAlignment="1">
      <alignment horizontal="center" vertical="center"/>
    </xf>
    <xf numFmtId="10" fontId="254" fillId="0" borderId="921" xfId="0" applyNumberFormat="1" applyFont="1" applyBorder="1" applyAlignment="1">
      <alignment vertical="center"/>
    </xf>
    <xf numFmtId="14" fontId="254" fillId="0" borderId="66" xfId="0" applyNumberFormat="1" applyFont="1" applyBorder="1" applyAlignment="1">
      <alignment horizontal="center" vertical="center"/>
    </xf>
    <xf numFmtId="2" fontId="254" fillId="0" borderId="66" xfId="0" applyNumberFormat="1" applyFont="1" applyBorder="1" applyAlignment="1">
      <alignment horizontal="center" vertical="center"/>
    </xf>
    <xf numFmtId="44" fontId="254" fillId="0" borderId="66" xfId="0" applyNumberFormat="1" applyFont="1" applyBorder="1" applyAlignment="1">
      <alignment horizontal="center" vertical="center"/>
    </xf>
    <xf numFmtId="10" fontId="254" fillId="0" borderId="66" xfId="0" applyNumberFormat="1" applyFont="1" applyBorder="1" applyAlignment="1">
      <alignment vertical="center"/>
    </xf>
    <xf numFmtId="2" fontId="254" fillId="0" borderId="960" xfId="0" applyNumberFormat="1" applyFont="1" applyBorder="1" applyAlignment="1">
      <alignment horizontal="center" vertical="center"/>
    </xf>
    <xf numFmtId="44" fontId="254" fillId="0" borderId="960" xfId="0" applyNumberFormat="1" applyFont="1" applyBorder="1" applyAlignment="1">
      <alignment horizontal="center" vertical="center"/>
    </xf>
    <xf numFmtId="10" fontId="254" fillId="0" borderId="960" xfId="0" applyNumberFormat="1" applyFont="1" applyBorder="1" applyAlignment="1">
      <alignment vertical="center"/>
    </xf>
    <xf numFmtId="14" fontId="255" fillId="0" borderId="63" xfId="0" applyNumberFormat="1" applyFont="1" applyBorder="1" applyAlignment="1">
      <alignment horizontal="center" vertical="center"/>
    </xf>
    <xf numFmtId="0" fontId="255" fillId="0" borderId="921" xfId="0" applyFont="1" applyBorder="1" applyAlignment="1">
      <alignment horizontal="center" vertical="center"/>
    </xf>
    <xf numFmtId="203" fontId="254" fillId="0" borderId="960" xfId="0" applyNumberFormat="1" applyFont="1" applyBorder="1" applyAlignment="1">
      <alignment horizontal="center" vertical="center"/>
    </xf>
    <xf numFmtId="44" fontId="255" fillId="0" borderId="960" xfId="3408" applyNumberFormat="1" applyFont="1" applyBorder="1"/>
    <xf numFmtId="203" fontId="254" fillId="0" borderId="921" xfId="0" applyNumberFormat="1" applyFont="1" applyBorder="1" applyAlignment="1">
      <alignment horizontal="center" vertical="center"/>
    </xf>
    <xf numFmtId="44" fontId="255" fillId="0" borderId="921" xfId="3408" applyNumberFormat="1" applyFont="1" applyBorder="1"/>
    <xf numFmtId="44" fontId="249" fillId="0" borderId="921" xfId="0" applyNumberFormat="1" applyFont="1" applyBorder="1" applyAlignment="1">
      <alignment horizontal="center" vertical="center"/>
    </xf>
    <xf numFmtId="44" fontId="249" fillId="0" borderId="960" xfId="0" applyNumberFormat="1" applyFont="1" applyBorder="1" applyAlignment="1">
      <alignment horizontal="center" vertical="center"/>
    </xf>
    <xf numFmtId="14" fontId="255" fillId="0" borderId="66" xfId="0" applyNumberFormat="1" applyFont="1" applyBorder="1" applyAlignment="1">
      <alignment horizontal="center" vertical="center"/>
    </xf>
    <xf numFmtId="9" fontId="254" fillId="0" borderId="66" xfId="725" applyFont="1" applyFill="1" applyBorder="1" applyAlignment="1">
      <alignment horizontal="center" vertical="center"/>
    </xf>
    <xf numFmtId="9" fontId="254" fillId="0" borderId="63" xfId="725" applyFont="1" applyFill="1" applyBorder="1" applyAlignment="1">
      <alignment horizontal="center" vertical="center"/>
    </xf>
    <xf numFmtId="14" fontId="255" fillId="0" borderId="921" xfId="0" applyNumberFormat="1" applyFont="1" applyBorder="1" applyAlignment="1">
      <alignment horizontal="center" vertical="center"/>
    </xf>
    <xf numFmtId="9" fontId="254" fillId="0" borderId="921" xfId="725" applyFont="1" applyFill="1" applyBorder="1" applyAlignment="1">
      <alignment horizontal="center" vertical="center"/>
    </xf>
    <xf numFmtId="0" fontId="255" fillId="0" borderId="63" xfId="0" applyFont="1" applyBorder="1" applyAlignment="1">
      <alignment horizontal="center" vertical="center"/>
    </xf>
    <xf numFmtId="203" fontId="254" fillId="0" borderId="921" xfId="2305" applyNumberFormat="1" applyFont="1" applyBorder="1" applyAlignment="1">
      <alignment horizontal="center" vertical="center"/>
    </xf>
    <xf numFmtId="0" fontId="255" fillId="0" borderId="66" xfId="0" applyFont="1" applyBorder="1" applyAlignment="1">
      <alignment horizontal="center" vertical="center"/>
    </xf>
    <xf numFmtId="9" fontId="254" fillId="0" borderId="960" xfId="725" applyFont="1" applyFill="1" applyBorder="1" applyAlignment="1">
      <alignment horizontal="center" vertical="center"/>
    </xf>
    <xf numFmtId="203" fontId="255" fillId="0" borderId="66" xfId="3408" applyNumberFormat="1" applyFont="1" applyBorder="1"/>
    <xf numFmtId="251" fontId="254" fillId="0" borderId="960" xfId="0" applyNumberFormat="1" applyFont="1" applyBorder="1" applyAlignment="1">
      <alignment horizontal="center" vertical="center"/>
    </xf>
    <xf numFmtId="251" fontId="254" fillId="0" borderId="921" xfId="0" applyNumberFormat="1" applyFont="1" applyBorder="1" applyAlignment="1">
      <alignment horizontal="center" vertical="center"/>
    </xf>
    <xf numFmtId="14" fontId="254" fillId="0" borderId="959" xfId="0" applyNumberFormat="1" applyFont="1" applyBorder="1" applyAlignment="1">
      <alignment horizontal="center" vertical="center"/>
    </xf>
    <xf numFmtId="2" fontId="254" fillId="0" borderId="959" xfId="0" applyNumberFormat="1" applyFont="1" applyBorder="1" applyAlignment="1">
      <alignment horizontal="center" vertical="center"/>
    </xf>
    <xf numFmtId="44" fontId="254" fillId="0" borderId="959" xfId="0" applyNumberFormat="1" applyFont="1" applyBorder="1" applyAlignment="1">
      <alignment horizontal="center" vertical="center"/>
    </xf>
    <xf numFmtId="10" fontId="254" fillId="0" borderId="959" xfId="725" applyNumberFormat="1" applyFont="1" applyFill="1" applyBorder="1" applyAlignment="1">
      <alignment horizontal="center" vertical="center"/>
    </xf>
    <xf numFmtId="203" fontId="255" fillId="0" borderId="921" xfId="3408" applyNumberFormat="1" applyFont="1" applyBorder="1"/>
    <xf numFmtId="14" fontId="254" fillId="0" borderId="66" xfId="0" applyNumberFormat="1" applyFont="1" applyBorder="1" applyAlignment="1">
      <alignment horizontal="center" vertical="center" wrapText="1"/>
    </xf>
    <xf numFmtId="14" fontId="254" fillId="0" borderId="921" xfId="0" applyNumberFormat="1" applyFont="1" applyBorder="1" applyAlignment="1">
      <alignment horizontal="center" vertical="center" wrapText="1"/>
    </xf>
    <xf numFmtId="10" fontId="254" fillId="0" borderId="959" xfId="725" applyNumberFormat="1" applyFont="1" applyFill="1" applyBorder="1" applyAlignment="1">
      <alignment vertical="center"/>
    </xf>
    <xf numFmtId="14" fontId="254" fillId="0" borderId="104" xfId="0" applyNumberFormat="1" applyFont="1" applyBorder="1" applyAlignment="1">
      <alignment horizontal="center" vertical="center"/>
    </xf>
    <xf numFmtId="2" fontId="254" fillId="0" borderId="104" xfId="0" applyNumberFormat="1" applyFont="1" applyBorder="1" applyAlignment="1">
      <alignment horizontal="center" vertical="center"/>
    </xf>
    <xf numFmtId="44" fontId="254" fillId="0" borderId="104" xfId="0" applyNumberFormat="1" applyFont="1" applyBorder="1" applyAlignment="1">
      <alignment horizontal="center" vertical="center"/>
    </xf>
    <xf numFmtId="2" fontId="255" fillId="0" borderId="63" xfId="2306" applyNumberFormat="1" applyFont="1" applyFill="1" applyBorder="1" applyAlignment="1">
      <alignment horizontal="center" vertical="center" wrapText="1"/>
    </xf>
    <xf numFmtId="203" fontId="254" fillId="0" borderId="63" xfId="2305" applyNumberFormat="1" applyFont="1" applyBorder="1" applyAlignment="1">
      <alignment horizontal="center" vertical="center"/>
    </xf>
    <xf numFmtId="2" fontId="255" fillId="0" borderId="921" xfId="2306" applyNumberFormat="1" applyFont="1" applyFill="1" applyBorder="1" applyAlignment="1">
      <alignment horizontal="center" vertical="center" wrapText="1"/>
    </xf>
    <xf numFmtId="203" fontId="255" fillId="0" borderId="63" xfId="2306" applyNumberFormat="1" applyFont="1" applyFill="1" applyBorder="1" applyAlignment="1">
      <alignment horizontal="center" vertical="center" wrapText="1"/>
    </xf>
    <xf numFmtId="203" fontId="255" fillId="0" borderId="921" xfId="2306" applyNumberFormat="1" applyFont="1" applyFill="1" applyBorder="1" applyAlignment="1">
      <alignment horizontal="center" vertical="center" wrapText="1"/>
    </xf>
    <xf numFmtId="203" fontId="254" fillId="0" borderId="960" xfId="2305" applyNumberFormat="1" applyFont="1" applyBorder="1" applyAlignment="1">
      <alignment horizontal="center" vertical="center"/>
    </xf>
    <xf numFmtId="14" fontId="254" fillId="0" borderId="26" xfId="0" applyNumberFormat="1" applyFont="1" applyBorder="1" applyAlignment="1">
      <alignment horizontal="center" vertical="center"/>
    </xf>
    <xf numFmtId="2" fontId="254" fillId="0" borderId="26" xfId="0" applyNumberFormat="1" applyFont="1" applyBorder="1" applyAlignment="1">
      <alignment horizontal="center" vertical="center"/>
    </xf>
    <xf numFmtId="44" fontId="254" fillId="0" borderId="26" xfId="0" applyNumberFormat="1" applyFont="1" applyBorder="1" applyAlignment="1">
      <alignment horizontal="center" vertical="center"/>
    </xf>
    <xf numFmtId="10" fontId="254" fillId="0" borderId="26" xfId="725" applyNumberFormat="1" applyFont="1" applyFill="1" applyBorder="1" applyAlignment="1">
      <alignment vertical="center"/>
    </xf>
    <xf numFmtId="10" fontId="254" fillId="0" borderId="26" xfId="725" applyNumberFormat="1" applyFont="1" applyFill="1" applyBorder="1" applyAlignment="1">
      <alignment horizontal="center" vertical="center"/>
    </xf>
    <xf numFmtId="203" fontId="251" fillId="0" borderId="960" xfId="2305" applyNumberFormat="1" applyFont="1" applyBorder="1" applyAlignment="1">
      <alignment horizontal="center" vertical="center"/>
    </xf>
    <xf numFmtId="2" fontId="254" fillId="0" borderId="15" xfId="0" applyNumberFormat="1" applyFont="1" applyBorder="1" applyAlignment="1">
      <alignment horizontal="center" vertical="center"/>
    </xf>
    <xf numFmtId="44" fontId="254" fillId="0" borderId="15" xfId="0" applyNumberFormat="1" applyFont="1" applyBorder="1" applyAlignment="1">
      <alignment horizontal="center" vertical="center"/>
    </xf>
    <xf numFmtId="203" fontId="255" fillId="0" borderId="960" xfId="3408" applyNumberFormat="1" applyFont="1" applyBorder="1" applyAlignment="1">
      <alignment horizontal="center" vertical="center"/>
    </xf>
    <xf numFmtId="203" fontId="255" fillId="0" borderId="960" xfId="3405" applyNumberFormat="1" applyFont="1" applyFill="1" applyBorder="1" applyAlignment="1">
      <alignment horizontal="center" vertical="center" wrapText="1"/>
    </xf>
    <xf numFmtId="203" fontId="255" fillId="0" borderId="921" xfId="3408" applyNumberFormat="1" applyFont="1" applyBorder="1" applyAlignment="1">
      <alignment horizontal="center" vertical="center"/>
    </xf>
    <xf numFmtId="203" fontId="255" fillId="0" borderId="921" xfId="3405" applyNumberFormat="1" applyFont="1" applyFill="1" applyBorder="1" applyAlignment="1">
      <alignment horizontal="center" vertical="center" wrapText="1"/>
    </xf>
    <xf numFmtId="2" fontId="255" fillId="0" borderId="26" xfId="2306" applyNumberFormat="1" applyFont="1" applyFill="1" applyBorder="1" applyAlignment="1">
      <alignment horizontal="center" vertical="center" wrapText="1"/>
    </xf>
    <xf numFmtId="44" fontId="255" fillId="0" borderId="0" xfId="2306" applyNumberFormat="1" applyFont="1" applyFill="1" applyBorder="1" applyAlignment="1">
      <alignment horizontal="center" vertical="center" wrapText="1"/>
    </xf>
    <xf numFmtId="168" fontId="255" fillId="0" borderId="959" xfId="2306" applyNumberFormat="1" applyFont="1" applyFill="1" applyBorder="1" applyAlignment="1">
      <alignment horizontal="center" vertical="center" wrapText="1"/>
    </xf>
    <xf numFmtId="250" fontId="256" fillId="0" borderId="959" xfId="2306" applyNumberFormat="1" applyFont="1" applyFill="1" applyBorder="1" applyAlignment="1">
      <alignment horizontal="center" vertical="center" wrapText="1"/>
    </xf>
    <xf numFmtId="0" fontId="254" fillId="42" borderId="960" xfId="0" applyFont="1" applyFill="1" applyBorder="1" applyAlignment="1">
      <alignment horizontal="center"/>
    </xf>
    <xf numFmtId="0" fontId="254" fillId="42" borderId="959" xfId="0" applyFont="1" applyFill="1" applyBorder="1" applyAlignment="1">
      <alignment horizontal="center"/>
    </xf>
    <xf numFmtId="0" fontId="249" fillId="0" borderId="960" xfId="0" applyFont="1" applyBorder="1" applyAlignment="1">
      <alignment horizontal="center" vertical="center"/>
    </xf>
    <xf numFmtId="0" fontId="254" fillId="42" borderId="15" xfId="0" applyFont="1" applyFill="1" applyBorder="1" applyAlignment="1">
      <alignment horizontal="center"/>
    </xf>
    <xf numFmtId="0" fontId="254" fillId="0" borderId="66" xfId="0" applyFont="1" applyBorder="1" applyAlignment="1">
      <alignment vertical="center"/>
    </xf>
    <xf numFmtId="0" fontId="254" fillId="42" borderId="66" xfId="0" applyFont="1" applyFill="1" applyBorder="1" applyAlignment="1">
      <alignment horizontal="center"/>
    </xf>
    <xf numFmtId="168" fontId="255" fillId="0" borderId="66" xfId="2306" applyNumberFormat="1" applyFont="1" applyFill="1" applyBorder="1" applyAlignment="1">
      <alignment horizontal="center" vertical="center" wrapText="1"/>
    </xf>
    <xf numFmtId="9" fontId="255" fillId="0" borderId="15" xfId="3405" applyFont="1" applyFill="1" applyBorder="1" applyAlignment="1">
      <alignment horizontal="center" vertical="center" wrapText="1"/>
    </xf>
    <xf numFmtId="203" fontId="254" fillId="0" borderId="15" xfId="2305" applyNumberFormat="1" applyFont="1" applyBorder="1" applyAlignment="1">
      <alignment horizontal="center" vertical="center"/>
    </xf>
    <xf numFmtId="9" fontId="255" fillId="0" borderId="921" xfId="3405" applyFont="1" applyFill="1" applyBorder="1" applyAlignment="1">
      <alignment horizontal="center" vertical="center" wrapText="1"/>
    </xf>
    <xf numFmtId="0" fontId="254" fillId="0" borderId="41" xfId="0" applyFont="1" applyBorder="1" applyAlignment="1">
      <alignment vertical="center"/>
    </xf>
    <xf numFmtId="0" fontId="249" fillId="0" borderId="63" xfId="0" applyFont="1" applyBorder="1" applyAlignment="1">
      <alignment horizontal="center" vertical="center"/>
    </xf>
    <xf numFmtId="0" fontId="249" fillId="0" borderId="921" xfId="0" applyFont="1" applyBorder="1" applyAlignment="1">
      <alignment horizontal="center" vertical="center"/>
    </xf>
    <xf numFmtId="0" fontId="249" fillId="0" borderId="66" xfId="0" applyFont="1" applyBorder="1" applyAlignment="1">
      <alignment horizontal="center" vertical="center"/>
    </xf>
    <xf numFmtId="0" fontId="249" fillId="0" borderId="978" xfId="0" applyFont="1" applyBorder="1" applyAlignment="1">
      <alignment horizontal="center" vertical="center"/>
    </xf>
    <xf numFmtId="0" fontId="249" fillId="0" borderId="978" xfId="0" applyFont="1" applyBorder="1" applyAlignment="1">
      <alignment horizontal="center"/>
    </xf>
    <xf numFmtId="0" fontId="249" fillId="0" borderId="78" xfId="0" applyFont="1" applyBorder="1" applyAlignment="1">
      <alignment horizontal="center"/>
    </xf>
    <xf numFmtId="0" fontId="249" fillId="0" borderId="76" xfId="0" applyFont="1" applyBorder="1" applyAlignment="1">
      <alignment horizontal="center"/>
    </xf>
    <xf numFmtId="0" fontId="249" fillId="0" borderId="63" xfId="0" applyFont="1" applyBorder="1" applyAlignment="1">
      <alignment horizontal="center"/>
    </xf>
    <xf numFmtId="0" fontId="249" fillId="0" borderId="960" xfId="0" applyFont="1" applyBorder="1" applyAlignment="1">
      <alignment horizontal="center"/>
    </xf>
    <xf numFmtId="0" fontId="249" fillId="0" borderId="921" xfId="0" applyFont="1" applyBorder="1" applyAlignment="1">
      <alignment horizontal="center"/>
    </xf>
    <xf numFmtId="0" fontId="249" fillId="0" borderId="15" xfId="0" applyFont="1" applyBorder="1" applyAlignment="1">
      <alignment horizontal="center"/>
    </xf>
    <xf numFmtId="0" fontId="249" fillId="0" borderId="66" xfId="0" applyFont="1" applyBorder="1" applyAlignment="1">
      <alignment horizontal="center"/>
    </xf>
    <xf numFmtId="0" fontId="249" fillId="0" borderId="15" xfId="0" applyFont="1" applyBorder="1" applyAlignment="1">
      <alignment horizontal="center" vertical="center"/>
    </xf>
    <xf numFmtId="0" fontId="249" fillId="0" borderId="959" xfId="0" applyFont="1" applyBorder="1" applyAlignment="1">
      <alignment horizontal="center" vertical="center"/>
    </xf>
    <xf numFmtId="0" fontId="254" fillId="0" borderId="956" xfId="0" applyFont="1" applyBorder="1" applyAlignment="1">
      <alignment horizontal="center" vertical="center"/>
    </xf>
    <xf numFmtId="0" fontId="249" fillId="0" borderId="956" xfId="0" applyFont="1" applyBorder="1" applyAlignment="1">
      <alignment horizontal="center" vertical="center"/>
    </xf>
    <xf numFmtId="1" fontId="254" fillId="42" borderId="956" xfId="0" applyNumberFormat="1" applyFont="1" applyFill="1" applyBorder="1" applyAlignment="1">
      <alignment horizontal="center" vertical="center"/>
    </xf>
    <xf numFmtId="0" fontId="254" fillId="45" borderId="956" xfId="0" applyFont="1" applyFill="1" applyBorder="1" applyAlignment="1">
      <alignment horizontal="center" vertical="center"/>
    </xf>
    <xf numFmtId="14" fontId="254" fillId="0" borderId="956" xfId="0" applyNumberFormat="1" applyFont="1" applyBorder="1" applyAlignment="1">
      <alignment horizontal="center" vertical="center"/>
    </xf>
    <xf numFmtId="2" fontId="254" fillId="0" borderId="956" xfId="0" applyNumberFormat="1" applyFont="1" applyBorder="1" applyAlignment="1">
      <alignment horizontal="center" vertical="center"/>
    </xf>
    <xf numFmtId="10" fontId="254" fillId="0" borderId="956" xfId="725" applyNumberFormat="1" applyFont="1" applyFill="1" applyBorder="1" applyAlignment="1">
      <alignment horizontal="center" vertical="center"/>
    </xf>
    <xf numFmtId="44" fontId="254" fillId="0" borderId="956" xfId="0" applyNumberFormat="1" applyFont="1" applyBorder="1" applyAlignment="1">
      <alignment horizontal="center" vertical="center"/>
    </xf>
    <xf numFmtId="10" fontId="254" fillId="0" borderId="956" xfId="0" applyNumberFormat="1" applyFont="1" applyBorder="1" applyAlignment="1">
      <alignment horizontal="right" vertical="center"/>
    </xf>
    <xf numFmtId="9" fontId="255" fillId="0" borderId="63" xfId="3405" applyFont="1" applyFill="1" applyBorder="1" applyAlignment="1">
      <alignment horizontal="center" vertical="center" wrapText="1"/>
    </xf>
    <xf numFmtId="0" fontId="249" fillId="0" borderId="956" xfId="0" applyFont="1" applyBorder="1" applyAlignment="1">
      <alignment horizontal="center"/>
    </xf>
    <xf numFmtId="10" fontId="254" fillId="0" borderId="956" xfId="725" applyNumberFormat="1" applyFont="1" applyFill="1" applyBorder="1" applyAlignment="1">
      <alignment vertical="center"/>
    </xf>
    <xf numFmtId="0" fontId="254" fillId="0" borderId="956" xfId="0" applyFont="1" applyBorder="1" applyAlignment="1">
      <alignment vertical="center"/>
    </xf>
    <xf numFmtId="0" fontId="254" fillId="42" borderId="63" xfId="0" applyFont="1" applyFill="1" applyBorder="1" applyAlignment="1">
      <alignment horizontal="center"/>
    </xf>
    <xf numFmtId="0" fontId="249" fillId="0" borderId="976" xfId="0" applyFont="1" applyBorder="1" applyAlignment="1">
      <alignment horizontal="center" vertical="center"/>
    </xf>
    <xf numFmtId="0" fontId="249" fillId="0" borderId="142" xfId="0" applyFont="1" applyBorder="1" applyAlignment="1">
      <alignment horizontal="center" vertical="center"/>
    </xf>
    <xf numFmtId="0" fontId="249" fillId="0" borderId="24" xfId="0" applyFont="1" applyBorder="1" applyAlignment="1">
      <alignment horizontal="center" vertical="center"/>
    </xf>
    <xf numFmtId="0" fontId="249" fillId="0" borderId="34" xfId="0" applyFont="1" applyBorder="1" applyAlignment="1">
      <alignment horizontal="center" vertical="center"/>
    </xf>
    <xf numFmtId="0" fontId="258" fillId="0" borderId="0" xfId="0" applyFont="1" applyAlignment="1">
      <alignment horizontal="center" vertical="center"/>
    </xf>
    <xf numFmtId="0" fontId="249" fillId="0" borderId="970" xfId="0" applyFont="1" applyBorder="1" applyAlignment="1">
      <alignment horizontal="center" vertical="center"/>
    </xf>
    <xf numFmtId="0" fontId="254" fillId="0" borderId="970" xfId="0" applyFont="1" applyBorder="1" applyAlignment="1">
      <alignment vertical="center"/>
    </xf>
    <xf numFmtId="1" fontId="254" fillId="42" borderId="970" xfId="0" applyNumberFormat="1" applyFont="1" applyFill="1" applyBorder="1" applyAlignment="1">
      <alignment horizontal="center" vertical="center"/>
    </xf>
    <xf numFmtId="14" fontId="254" fillId="0" borderId="970" xfId="0" applyNumberFormat="1" applyFont="1" applyBorder="1" applyAlignment="1">
      <alignment horizontal="center" vertical="center"/>
    </xf>
    <xf numFmtId="2" fontId="255" fillId="0" borderId="970" xfId="2306" applyNumberFormat="1" applyFont="1" applyFill="1" applyBorder="1" applyAlignment="1">
      <alignment horizontal="center" vertical="center" wrapText="1"/>
    </xf>
    <xf numFmtId="9" fontId="255" fillId="0" borderId="970" xfId="3405" applyFont="1" applyFill="1" applyBorder="1" applyAlignment="1">
      <alignment horizontal="center" vertical="center" wrapText="1"/>
    </xf>
    <xf numFmtId="44" fontId="254" fillId="0" borderId="970" xfId="0" applyNumberFormat="1" applyFont="1" applyBorder="1" applyAlignment="1">
      <alignment horizontal="center" vertical="center"/>
    </xf>
    <xf numFmtId="10" fontId="254" fillId="0" borderId="970" xfId="725" applyNumberFormat="1" applyFont="1" applyFill="1" applyBorder="1" applyAlignment="1">
      <alignment vertical="center"/>
    </xf>
    <xf numFmtId="10" fontId="254" fillId="0" borderId="970" xfId="725" applyNumberFormat="1" applyFont="1" applyFill="1" applyBorder="1" applyAlignment="1">
      <alignment horizontal="center" vertical="center"/>
    </xf>
    <xf numFmtId="9" fontId="255" fillId="0" borderId="959" xfId="3405" applyFont="1" applyFill="1" applyBorder="1" applyAlignment="1">
      <alignment horizontal="center" vertical="center" wrapText="1"/>
    </xf>
    <xf numFmtId="2" fontId="255" fillId="0" borderId="15" xfId="2306" applyNumberFormat="1" applyFont="1" applyFill="1" applyBorder="1" applyAlignment="1">
      <alignment horizontal="center" vertical="center" wrapText="1"/>
    </xf>
    <xf numFmtId="2" fontId="255" fillId="0" borderId="66" xfId="2306" applyNumberFormat="1" applyFont="1" applyFill="1" applyBorder="1" applyAlignment="1">
      <alignment horizontal="center" vertical="center" wrapText="1"/>
    </xf>
    <xf numFmtId="9" fontId="255" fillId="0" borderId="66" xfId="3405" applyFont="1" applyFill="1" applyBorder="1" applyAlignment="1">
      <alignment horizontal="center" vertical="center" wrapText="1"/>
    </xf>
    <xf numFmtId="203" fontId="251" fillId="41" borderId="66" xfId="2305" applyNumberFormat="1" applyFont="1" applyFill="1" applyBorder="1" applyAlignment="1">
      <alignment horizontal="center" vertical="center"/>
    </xf>
    <xf numFmtId="203" fontId="251" fillId="41" borderId="66" xfId="241" applyNumberFormat="1" applyFont="1" applyFill="1" applyBorder="1" applyAlignment="1">
      <alignment horizontal="center" vertical="center"/>
    </xf>
    <xf numFmtId="44" fontId="255" fillId="0" borderId="66" xfId="2306" applyNumberFormat="1" applyFont="1" applyFill="1" applyBorder="1" applyAlignment="1">
      <alignment horizontal="center" vertical="center" wrapText="1"/>
    </xf>
    <xf numFmtId="2" fontId="255" fillId="0" borderId="959" xfId="2306" applyNumberFormat="1" applyFont="1" applyFill="1" applyBorder="1" applyAlignment="1">
      <alignment horizontal="center" vertical="center" wrapText="1"/>
    </xf>
    <xf numFmtId="0" fontId="254" fillId="42" borderId="970" xfId="0" applyFont="1" applyFill="1" applyBorder="1" applyAlignment="1">
      <alignment horizontal="center"/>
    </xf>
    <xf numFmtId="168" fontId="255" fillId="0" borderId="970" xfId="2306" applyNumberFormat="1" applyFont="1" applyFill="1" applyBorder="1" applyAlignment="1">
      <alignment horizontal="center" vertical="center" wrapText="1"/>
    </xf>
    <xf numFmtId="0" fontId="254" fillId="42" borderId="956" xfId="0" applyFont="1" applyFill="1" applyBorder="1" applyAlignment="1">
      <alignment horizontal="center"/>
    </xf>
    <xf numFmtId="168" fontId="255" fillId="0" borderId="956" xfId="2306" applyNumberFormat="1" applyFont="1" applyFill="1" applyBorder="1" applyAlignment="1">
      <alignment horizontal="center" vertical="center" wrapText="1"/>
    </xf>
    <xf numFmtId="250" fontId="256" fillId="0" borderId="956" xfId="2306" applyNumberFormat="1" applyFont="1" applyFill="1" applyBorder="1" applyAlignment="1">
      <alignment horizontal="center" vertical="center" wrapText="1"/>
    </xf>
    <xf numFmtId="0" fontId="254" fillId="0" borderId="921" xfId="0" applyFont="1" applyBorder="1" applyAlignment="1">
      <alignment horizontal="center"/>
    </xf>
    <xf numFmtId="0" fontId="254" fillId="0" borderId="977" xfId="0" applyFont="1" applyBorder="1" applyAlignment="1">
      <alignment horizontal="center" vertical="center"/>
    </xf>
    <xf numFmtId="0" fontId="254" fillId="0" borderId="138" xfId="0" applyFont="1" applyBorder="1" applyAlignment="1">
      <alignment horizontal="center" vertical="center"/>
    </xf>
    <xf numFmtId="0" fontId="254" fillId="0" borderId="958" xfId="0" applyFont="1" applyBorder="1" applyAlignment="1">
      <alignment horizontal="center" vertical="center"/>
    </xf>
    <xf numFmtId="0" fontId="254" fillId="0" borderId="980" xfId="0" applyFont="1" applyBorder="1" applyAlignment="1">
      <alignment horizontal="center" vertical="center"/>
    </xf>
    <xf numFmtId="0" fontId="254" fillId="0" borderId="972" xfId="0" applyFont="1" applyBorder="1" applyAlignment="1">
      <alignment horizontal="center" vertical="center" wrapText="1"/>
    </xf>
    <xf numFmtId="0" fontId="254" fillId="0" borderId="35" xfId="0" applyFont="1" applyBorder="1" applyAlignment="1">
      <alignment horizontal="center" vertical="center"/>
    </xf>
    <xf numFmtId="0" fontId="254" fillId="0" borderId="41" xfId="0" applyFont="1" applyBorder="1" applyAlignment="1">
      <alignment horizontal="center" vertical="center"/>
    </xf>
    <xf numFmtId="0" fontId="254" fillId="0" borderId="972" xfId="0" applyFont="1" applyBorder="1" applyAlignment="1">
      <alignment horizontal="center" vertical="center"/>
    </xf>
    <xf numFmtId="0" fontId="254" fillId="0" borderId="899" xfId="0" applyFont="1" applyBorder="1" applyAlignment="1">
      <alignment horizontal="center" vertical="center"/>
    </xf>
    <xf numFmtId="2" fontId="255" fillId="0" borderId="104" xfId="2306" applyNumberFormat="1" applyFont="1" applyFill="1" applyBorder="1" applyAlignment="1">
      <alignment horizontal="center" vertical="center" wrapText="1"/>
    </xf>
    <xf numFmtId="2" fontId="255" fillId="0" borderId="956" xfId="2306" applyNumberFormat="1" applyFont="1" applyFill="1" applyBorder="1" applyAlignment="1">
      <alignment horizontal="center" vertical="center" wrapText="1"/>
    </xf>
    <xf numFmtId="0" fontId="254" fillId="42" borderId="104" xfId="0" applyFont="1" applyFill="1" applyBorder="1" applyAlignment="1">
      <alignment horizontal="center"/>
    </xf>
    <xf numFmtId="14" fontId="255" fillId="0" borderId="970" xfId="0" applyNumberFormat="1" applyFont="1" applyBorder="1" applyAlignment="1">
      <alignment horizontal="center" vertical="center"/>
    </xf>
    <xf numFmtId="14" fontId="255" fillId="0" borderId="960" xfId="0" applyNumberFormat="1" applyFont="1" applyBorder="1" applyAlignment="1">
      <alignment horizontal="center" vertical="center"/>
    </xf>
    <xf numFmtId="0" fontId="254" fillId="45" borderId="431" xfId="0" applyFont="1" applyFill="1" applyBorder="1" applyAlignment="1">
      <alignment horizontal="center" vertical="center"/>
    </xf>
    <xf numFmtId="0" fontId="254" fillId="45" borderId="977" xfId="0" applyFont="1" applyFill="1" applyBorder="1" applyAlignment="1">
      <alignment horizontal="center" vertical="center"/>
    </xf>
    <xf numFmtId="14" fontId="254" fillId="0" borderId="977" xfId="0" applyNumberFormat="1" applyFont="1" applyBorder="1" applyAlignment="1">
      <alignment horizontal="center" vertical="center"/>
    </xf>
    <xf numFmtId="0" fontId="249" fillId="0" borderId="921" xfId="0" applyFont="1" applyBorder="1" applyAlignment="1">
      <alignment horizontal="center" vertical="center" wrapText="1"/>
    </xf>
    <xf numFmtId="0" fontId="254" fillId="0" borderId="921" xfId="0" applyFont="1" applyBorder="1" applyAlignment="1">
      <alignment vertical="center" wrapText="1"/>
    </xf>
    <xf numFmtId="14" fontId="254" fillId="0" borderId="922" xfId="0" applyNumberFormat="1" applyFont="1" applyBorder="1" applyAlignment="1">
      <alignment horizontal="center" vertical="center"/>
    </xf>
    <xf numFmtId="0" fontId="255" fillId="0" borderId="960" xfId="0" applyFont="1" applyBorder="1" applyAlignment="1">
      <alignment horizontal="center" vertical="center"/>
    </xf>
    <xf numFmtId="14" fontId="255" fillId="0" borderId="956" xfId="0" applyNumberFormat="1" applyFont="1" applyBorder="1" applyAlignment="1">
      <alignment horizontal="center" vertical="center"/>
    </xf>
    <xf numFmtId="0" fontId="255" fillId="0" borderId="959" xfId="0" applyFont="1" applyBorder="1" applyAlignment="1">
      <alignment horizontal="center" vertical="center"/>
    </xf>
    <xf numFmtId="0" fontId="255" fillId="0" borderId="104" xfId="0" applyFont="1" applyBorder="1" applyAlignment="1">
      <alignment horizontal="center" vertical="center"/>
    </xf>
    <xf numFmtId="0" fontId="255" fillId="0" borderId="26" xfId="0" applyFont="1" applyBorder="1" applyAlignment="1">
      <alignment horizontal="center" vertical="center"/>
    </xf>
    <xf numFmtId="0" fontId="255" fillId="0" borderId="15" xfId="0" applyFont="1" applyBorder="1" applyAlignment="1">
      <alignment horizontal="center" vertical="center"/>
    </xf>
    <xf numFmtId="0" fontId="255" fillId="0" borderId="956" xfId="0" applyFont="1" applyBorder="1" applyAlignment="1">
      <alignment horizontal="center" vertical="center"/>
    </xf>
    <xf numFmtId="0" fontId="255" fillId="0" borderId="970" xfId="0" applyFont="1" applyBorder="1" applyAlignment="1">
      <alignment horizontal="center" vertical="center"/>
    </xf>
    <xf numFmtId="14" fontId="255" fillId="0" borderId="15" xfId="0" applyNumberFormat="1" applyFont="1" applyBorder="1" applyAlignment="1">
      <alignment horizontal="center" vertical="center"/>
    </xf>
    <xf numFmtId="0" fontId="255" fillId="0" borderId="0" xfId="0" applyFont="1" applyAlignment="1">
      <alignment horizontal="center" vertical="center"/>
    </xf>
    <xf numFmtId="14" fontId="255" fillId="0" borderId="26" xfId="0" applyNumberFormat="1" applyFont="1" applyBorder="1" applyAlignment="1">
      <alignment horizontal="center" vertical="center"/>
    </xf>
    <xf numFmtId="9" fontId="252" fillId="41" borderId="63" xfId="3405" applyFont="1" applyFill="1" applyBorder="1" applyAlignment="1">
      <alignment horizontal="center" vertical="center" wrapText="1"/>
    </xf>
    <xf numFmtId="9" fontId="252" fillId="41" borderId="921" xfId="3405" applyFont="1" applyFill="1" applyBorder="1" applyAlignment="1">
      <alignment horizontal="center" vertical="center" wrapText="1"/>
    </xf>
    <xf numFmtId="0" fontId="254" fillId="42" borderId="921" xfId="0" applyFont="1" applyFill="1" applyBorder="1" applyAlignment="1">
      <alignment horizontal="center"/>
    </xf>
    <xf numFmtId="14" fontId="255" fillId="0" borderId="104" xfId="0" applyNumberFormat="1" applyFont="1" applyBorder="1" applyAlignment="1">
      <alignment horizontal="center" vertical="center"/>
    </xf>
    <xf numFmtId="14" fontId="255" fillId="0" borderId="959" xfId="0" applyNumberFormat="1" applyFont="1" applyBorder="1" applyAlignment="1">
      <alignment horizontal="center" vertical="center"/>
    </xf>
    <xf numFmtId="0" fontId="254" fillId="45" borderId="430" xfId="0" applyFont="1" applyFill="1" applyBorder="1" applyAlignment="1">
      <alignment horizontal="center" vertical="center"/>
    </xf>
    <xf numFmtId="14" fontId="254" fillId="0" borderId="430" xfId="0" applyNumberFormat="1" applyFont="1" applyBorder="1" applyAlignment="1">
      <alignment horizontal="center" vertical="center"/>
    </xf>
    <xf numFmtId="14" fontId="254" fillId="0" borderId="431" xfId="0" applyNumberFormat="1" applyFont="1" applyBorder="1" applyAlignment="1">
      <alignment horizontal="center" vertical="center"/>
    </xf>
    <xf numFmtId="0" fontId="254" fillId="45" borderId="136" xfId="0" applyFont="1" applyFill="1" applyBorder="1" applyAlignment="1">
      <alignment horizontal="center" vertical="center"/>
    </xf>
    <xf numFmtId="14" fontId="254" fillId="0" borderId="136" xfId="0" applyNumberFormat="1" applyFont="1" applyBorder="1" applyAlignment="1">
      <alignment horizontal="center" vertical="center"/>
    </xf>
    <xf numFmtId="0" fontId="249" fillId="0" borderId="979" xfId="0" applyFont="1" applyBorder="1" applyAlignment="1">
      <alignment horizontal="center"/>
    </xf>
    <xf numFmtId="1" fontId="254" fillId="42" borderId="15" xfId="1018" applyNumberFormat="1" applyFont="1" applyFill="1" applyBorder="1" applyAlignment="1">
      <alignment horizontal="center" vertical="center"/>
    </xf>
    <xf numFmtId="14" fontId="254" fillId="0" borderId="120" xfId="0" applyNumberFormat="1" applyFont="1" applyBorder="1" applyAlignment="1">
      <alignment horizontal="center" vertical="center"/>
    </xf>
    <xf numFmtId="14" fontId="254" fillId="0" borderId="131" xfId="0" applyNumberFormat="1" applyFont="1" applyBorder="1" applyAlignment="1">
      <alignment horizontal="center" vertical="center"/>
    </xf>
    <xf numFmtId="14" fontId="254" fillId="0" borderId="322" xfId="0" applyNumberFormat="1" applyFont="1" applyBorder="1" applyAlignment="1">
      <alignment horizontal="center" vertical="center"/>
    </xf>
    <xf numFmtId="0" fontId="254" fillId="53" borderId="63" xfId="0" applyFont="1" applyFill="1" applyBorder="1" applyAlignment="1">
      <alignment horizontal="center" vertical="center"/>
    </xf>
    <xf numFmtId="0" fontId="254" fillId="53" borderId="960" xfId="0" applyFont="1" applyFill="1" applyBorder="1" applyAlignment="1">
      <alignment horizontal="center" vertical="center"/>
    </xf>
    <xf numFmtId="0" fontId="254" fillId="53" borderId="921" xfId="0" applyFont="1" applyFill="1" applyBorder="1" applyAlignment="1">
      <alignment horizontal="center" vertical="center"/>
    </xf>
    <xf numFmtId="0" fontId="254" fillId="53" borderId="131" xfId="0" applyFont="1" applyFill="1" applyBorder="1" applyAlignment="1">
      <alignment horizontal="center" vertical="center"/>
    </xf>
    <xf numFmtId="0" fontId="254" fillId="53" borderId="961" xfId="0" applyFont="1" applyFill="1" applyBorder="1" applyAlignment="1">
      <alignment horizontal="center" vertical="center"/>
    </xf>
    <xf numFmtId="0" fontId="254" fillId="53" borderId="922" xfId="0" applyFont="1" applyFill="1" applyBorder="1" applyAlignment="1">
      <alignment horizontal="center" vertical="center"/>
    </xf>
    <xf numFmtId="0" fontId="254" fillId="53" borderId="120" xfId="0" applyFont="1" applyFill="1" applyBorder="1" applyAlignment="1">
      <alignment horizontal="center" vertical="center"/>
    </xf>
    <xf numFmtId="0" fontId="254" fillId="53" borderId="322" xfId="0" applyFont="1" applyFill="1" applyBorder="1" applyAlignment="1">
      <alignment horizontal="center" vertical="center"/>
    </xf>
    <xf numFmtId="0" fontId="254" fillId="53" borderId="431" xfId="0" applyFont="1" applyFill="1" applyBorder="1" applyAlignment="1">
      <alignment horizontal="center" vertical="center"/>
    </xf>
    <xf numFmtId="0" fontId="254" fillId="53" borderId="66" xfId="0" applyFont="1" applyFill="1" applyBorder="1" applyAlignment="1">
      <alignment horizontal="center" vertical="center"/>
    </xf>
    <xf numFmtId="0" fontId="254" fillId="53" borderId="104" xfId="0" applyFont="1" applyFill="1" applyBorder="1" applyAlignment="1">
      <alignment horizontal="center" vertical="center"/>
    </xf>
    <xf numFmtId="0" fontId="254" fillId="0" borderId="430" xfId="0" applyFont="1" applyBorder="1" applyAlignment="1">
      <alignment horizontal="center" vertical="center"/>
    </xf>
    <xf numFmtId="0" fontId="254" fillId="0" borderId="431" xfId="0" applyFont="1" applyBorder="1" applyAlignment="1">
      <alignment horizontal="center" vertical="center"/>
    </xf>
    <xf numFmtId="0" fontId="254" fillId="0" borderId="114" xfId="0" applyFont="1" applyBorder="1" applyAlignment="1">
      <alignment horizontal="center" vertical="center"/>
    </xf>
    <xf numFmtId="0" fontId="254" fillId="0" borderId="975" xfId="0" applyFont="1" applyBorder="1" applyAlignment="1">
      <alignment horizontal="center" vertical="center"/>
    </xf>
    <xf numFmtId="0" fontId="254" fillId="0" borderId="981" xfId="0" applyFont="1" applyBorder="1" applyAlignment="1">
      <alignment horizontal="center" vertical="center"/>
    </xf>
    <xf numFmtId="0" fontId="254" fillId="53" borderId="430" xfId="0" applyFont="1" applyFill="1" applyBorder="1" applyAlignment="1">
      <alignment horizontal="center" vertical="center"/>
    </xf>
    <xf numFmtId="0" fontId="254" fillId="0" borderId="976" xfId="0" applyFont="1" applyBorder="1" applyAlignment="1">
      <alignment horizontal="center" vertical="center"/>
    </xf>
    <xf numFmtId="0" fontId="254" fillId="53" borderId="975" xfId="0" applyFont="1" applyFill="1" applyBorder="1" applyAlignment="1">
      <alignment horizontal="center" vertical="center"/>
    </xf>
    <xf numFmtId="0" fontId="254" fillId="53" borderId="142" xfId="0" applyFont="1" applyFill="1" applyBorder="1" applyAlignment="1">
      <alignment horizontal="center" vertical="center"/>
    </xf>
    <xf numFmtId="0" fontId="254" fillId="0" borderId="34" xfId="0" applyFont="1" applyBorder="1" applyAlignment="1">
      <alignment horizontal="center" vertical="center"/>
    </xf>
    <xf numFmtId="0" fontId="254" fillId="0" borderId="24" xfId="0" applyFont="1" applyBorder="1" applyAlignment="1">
      <alignment horizontal="center" vertical="center"/>
    </xf>
    <xf numFmtId="0" fontId="254" fillId="0" borderId="142" xfId="0" applyFont="1" applyBorder="1" applyAlignment="1">
      <alignment horizontal="center" vertical="center"/>
    </xf>
    <xf numFmtId="0" fontId="254" fillId="0" borderId="983" xfId="0" applyFont="1" applyBorder="1" applyAlignment="1">
      <alignment horizontal="center" vertical="center"/>
    </xf>
    <xf numFmtId="0" fontId="254" fillId="53" borderId="435" xfId="0" applyFont="1" applyFill="1" applyBorder="1" applyAlignment="1">
      <alignment horizontal="center" vertical="center"/>
    </xf>
    <xf numFmtId="0" fontId="254" fillId="53" borderId="984" xfId="0" applyFont="1" applyFill="1" applyBorder="1" applyAlignment="1">
      <alignment horizontal="center" vertical="center"/>
    </xf>
    <xf numFmtId="0" fontId="249" fillId="0" borderId="981" xfId="0" applyFont="1" applyBorder="1" applyAlignment="1">
      <alignment horizontal="center" vertical="center"/>
    </xf>
    <xf numFmtId="0" fontId="249" fillId="0" borderId="979" xfId="0" applyFont="1" applyBorder="1" applyAlignment="1">
      <alignment horizontal="center" vertical="center"/>
    </xf>
    <xf numFmtId="9" fontId="254" fillId="0" borderId="15" xfId="725" applyFont="1" applyFill="1" applyBorder="1" applyAlignment="1">
      <alignment horizontal="center" vertical="center"/>
    </xf>
    <xf numFmtId="1" fontId="254" fillId="42" borderId="131" xfId="0" applyNumberFormat="1" applyFont="1" applyFill="1" applyBorder="1" applyAlignment="1">
      <alignment horizontal="center" vertical="center"/>
    </xf>
    <xf numFmtId="1" fontId="254" fillId="42" borderId="922" xfId="0" applyNumberFormat="1" applyFont="1" applyFill="1" applyBorder="1" applyAlignment="1">
      <alignment horizontal="center" vertical="center"/>
    </xf>
    <xf numFmtId="14" fontId="255" fillId="0" borderId="120" xfId="0" applyNumberFormat="1" applyFont="1" applyBorder="1" applyAlignment="1">
      <alignment horizontal="center" vertical="center"/>
    </xf>
    <xf numFmtId="14" fontId="255" fillId="0" borderId="322" xfId="0" applyNumberFormat="1" applyFont="1" applyBorder="1" applyAlignment="1">
      <alignment horizontal="center" vertical="center"/>
    </xf>
    <xf numFmtId="0" fontId="254" fillId="0" borderId="984" xfId="0" applyFont="1" applyBorder="1" applyAlignment="1">
      <alignment horizontal="center" vertical="center"/>
    </xf>
    <xf numFmtId="0" fontId="254" fillId="0" borderId="962" xfId="0" applyFont="1" applyBorder="1" applyAlignment="1">
      <alignment horizontal="center" vertical="center"/>
    </xf>
    <xf numFmtId="14" fontId="254" fillId="0" borderId="975" xfId="0" applyNumberFormat="1" applyFont="1" applyBorder="1" applyAlignment="1">
      <alignment horizontal="center" vertical="center"/>
    </xf>
    <xf numFmtId="14" fontId="254" fillId="0" borderId="958" xfId="0" applyNumberFormat="1" applyFont="1" applyBorder="1" applyAlignment="1">
      <alignment horizontal="center" vertical="center"/>
    </xf>
    <xf numFmtId="9" fontId="254" fillId="0" borderId="959" xfId="725" applyFont="1" applyFill="1" applyBorder="1" applyAlignment="1">
      <alignment horizontal="center" vertical="center"/>
    </xf>
    <xf numFmtId="14" fontId="254" fillId="0" borderId="957" xfId="0" applyNumberFormat="1" applyFont="1" applyBorder="1" applyAlignment="1">
      <alignment horizontal="center" vertical="center"/>
    </xf>
    <xf numFmtId="14" fontId="254" fillId="0" borderId="961" xfId="0" applyNumberFormat="1" applyFont="1" applyBorder="1" applyAlignment="1">
      <alignment horizontal="center" vertical="center"/>
    </xf>
    <xf numFmtId="0" fontId="254" fillId="53" borderId="957" xfId="0" applyFont="1" applyFill="1" applyBorder="1" applyAlignment="1">
      <alignment horizontal="center" vertical="center"/>
    </xf>
    <xf numFmtId="14" fontId="254" fillId="0" borderId="34" xfId="0" applyNumberFormat="1" applyFont="1" applyBorder="1" applyAlignment="1">
      <alignment horizontal="center" vertical="center"/>
    </xf>
    <xf numFmtId="14" fontId="254" fillId="0" borderId="41" xfId="0" applyNumberFormat="1" applyFont="1" applyBorder="1" applyAlignment="1">
      <alignment horizontal="center" vertical="center"/>
    </xf>
    <xf numFmtId="0" fontId="254" fillId="0" borderId="40" xfId="0" applyFont="1" applyBorder="1" applyAlignment="1">
      <alignment horizontal="center" vertical="center"/>
    </xf>
    <xf numFmtId="0" fontId="254" fillId="42" borderId="131" xfId="0" applyFont="1" applyFill="1" applyBorder="1" applyAlignment="1">
      <alignment horizontal="center"/>
    </xf>
    <xf numFmtId="0" fontId="254" fillId="42" borderId="961" xfId="0" applyFont="1" applyFill="1" applyBorder="1" applyAlignment="1">
      <alignment horizontal="center"/>
    </xf>
    <xf numFmtId="0" fontId="254" fillId="0" borderId="922" xfId="0" applyFont="1" applyBorder="1" applyAlignment="1">
      <alignment horizontal="center"/>
    </xf>
    <xf numFmtId="14" fontId="255" fillId="0" borderId="120" xfId="0" applyNumberFormat="1" applyFont="1" applyBorder="1" applyAlignment="1">
      <alignment horizontal="left" vertical="center" indent="1"/>
    </xf>
    <xf numFmtId="14" fontId="255" fillId="0" borderId="957" xfId="0" applyNumberFormat="1" applyFont="1" applyBorder="1" applyAlignment="1">
      <alignment horizontal="left" vertical="center" indent="1"/>
    </xf>
    <xf numFmtId="14" fontId="255" fillId="0" borderId="322" xfId="0" applyNumberFormat="1" applyFont="1" applyBorder="1" applyAlignment="1">
      <alignment horizontal="left" vertical="center" indent="1"/>
    </xf>
    <xf numFmtId="0" fontId="254" fillId="0" borderId="434" xfId="0" applyFont="1" applyBorder="1" applyAlignment="1">
      <alignment horizontal="center" vertical="center"/>
    </xf>
    <xf numFmtId="0" fontId="254" fillId="0" borderId="985" xfId="0" applyFont="1" applyBorder="1" applyAlignment="1">
      <alignment horizontal="center" vertical="center"/>
    </xf>
    <xf numFmtId="0" fontId="254" fillId="0" borderId="75" xfId="0" applyFont="1" applyBorder="1" applyAlignment="1">
      <alignment horizontal="center" vertical="center"/>
    </xf>
    <xf numFmtId="0" fontId="254" fillId="0" borderId="986" xfId="0" applyFont="1" applyBorder="1" applyAlignment="1">
      <alignment horizontal="center" vertical="center"/>
    </xf>
    <xf numFmtId="0" fontId="254" fillId="0" borderId="987" xfId="0" applyFont="1" applyBorder="1" applyAlignment="1">
      <alignment horizontal="center" vertical="center"/>
    </xf>
    <xf numFmtId="0" fontId="254" fillId="53" borderId="434" xfId="0" applyFont="1" applyFill="1" applyBorder="1" applyAlignment="1">
      <alignment horizontal="center" vertical="center"/>
    </xf>
    <xf numFmtId="0" fontId="254" fillId="53" borderId="985" xfId="0" applyFont="1" applyFill="1" applyBorder="1" applyAlignment="1">
      <alignment horizontal="center" vertical="center"/>
    </xf>
    <xf numFmtId="0" fontId="254" fillId="0" borderId="988" xfId="0" applyFont="1" applyBorder="1" applyAlignment="1">
      <alignment horizontal="center" vertical="center"/>
    </xf>
    <xf numFmtId="0" fontId="254" fillId="0" borderId="989" xfId="0" applyFont="1" applyBorder="1" applyAlignment="1">
      <alignment horizontal="center" vertical="center"/>
    </xf>
    <xf numFmtId="0" fontId="254" fillId="53" borderId="986" xfId="0" applyFont="1" applyFill="1" applyBorder="1" applyAlignment="1">
      <alignment horizontal="center" vertical="center"/>
    </xf>
    <xf numFmtId="0" fontId="254" fillId="53" borderId="119" xfId="0" applyFont="1" applyFill="1" applyBorder="1" applyAlignment="1">
      <alignment horizontal="center" vertical="center"/>
    </xf>
    <xf numFmtId="0" fontId="254" fillId="0" borderId="77" xfId="0" applyFont="1" applyBorder="1" applyAlignment="1">
      <alignment horizontal="center" vertical="center"/>
    </xf>
    <xf numFmtId="0" fontId="254" fillId="0" borderId="119" xfId="0" applyFont="1" applyBorder="1" applyAlignment="1">
      <alignment horizontal="center" vertical="center"/>
    </xf>
    <xf numFmtId="0" fontId="254" fillId="0" borderId="990" xfId="0" applyFont="1" applyBorder="1" applyAlignment="1">
      <alignment horizontal="center" vertical="center"/>
    </xf>
    <xf numFmtId="2" fontId="254" fillId="0" borderId="970" xfId="0" applyNumberFormat="1" applyFont="1" applyBorder="1" applyAlignment="1">
      <alignment horizontal="center" vertical="center"/>
    </xf>
    <xf numFmtId="0" fontId="254" fillId="0" borderId="961" xfId="0" applyFont="1" applyBorder="1" applyAlignment="1">
      <alignment horizontal="center" vertical="center"/>
    </xf>
    <xf numFmtId="203" fontId="251" fillId="41" borderId="959" xfId="2305" applyNumberFormat="1" applyFont="1" applyFill="1" applyBorder="1" applyAlignment="1">
      <alignment horizontal="center" vertical="center"/>
    </xf>
    <xf numFmtId="44" fontId="255" fillId="0" borderId="970" xfId="2306" applyNumberFormat="1" applyFont="1" applyFill="1" applyBorder="1" applyAlignment="1">
      <alignment horizontal="center" vertical="center" wrapText="1"/>
    </xf>
    <xf numFmtId="44" fontId="255" fillId="0" borderId="959" xfId="2306" applyNumberFormat="1" applyFont="1" applyFill="1" applyBorder="1" applyAlignment="1">
      <alignment horizontal="center" vertical="center" wrapText="1"/>
    </xf>
    <xf numFmtId="44" fontId="255" fillId="0" borderId="960" xfId="2306" applyNumberFormat="1" applyFont="1" applyFill="1" applyBorder="1" applyAlignment="1">
      <alignment horizontal="center" vertical="center" wrapText="1"/>
    </xf>
    <xf numFmtId="44" fontId="255" fillId="0" borderId="921" xfId="2306" applyNumberFormat="1" applyFont="1" applyFill="1" applyBorder="1" applyAlignment="1">
      <alignment horizontal="center" vertical="center" wrapText="1"/>
    </xf>
    <xf numFmtId="9" fontId="252" fillId="41" borderId="959" xfId="3405" applyFont="1" applyFill="1" applyBorder="1" applyAlignment="1">
      <alignment horizontal="center" vertical="center" wrapText="1"/>
    </xf>
    <xf numFmtId="44" fontId="255" fillId="0" borderId="15" xfId="2306" applyNumberFormat="1" applyFont="1" applyFill="1" applyBorder="1" applyAlignment="1">
      <alignment horizontal="center" vertical="center" wrapText="1"/>
    </xf>
    <xf numFmtId="44" fontId="252" fillId="41" borderId="970" xfId="725" applyNumberFormat="1" applyFont="1" applyFill="1" applyBorder="1" applyAlignment="1">
      <alignment horizontal="center" vertical="center" wrapText="1"/>
    </xf>
    <xf numFmtId="44" fontId="252" fillId="41" borderId="960" xfId="725" applyNumberFormat="1" applyFont="1" applyFill="1" applyBorder="1" applyAlignment="1">
      <alignment horizontal="center" vertical="center" wrapText="1"/>
    </xf>
    <xf numFmtId="44" fontId="252" fillId="41" borderId="921" xfId="725" applyNumberFormat="1" applyFont="1" applyFill="1" applyBorder="1" applyAlignment="1">
      <alignment horizontal="center" vertical="center" wrapText="1"/>
    </xf>
    <xf numFmtId="0" fontId="249" fillId="0" borderId="26" xfId="0" applyFont="1" applyBorder="1" applyAlignment="1">
      <alignment horizontal="center" vertical="center"/>
    </xf>
    <xf numFmtId="0" fontId="254" fillId="42" borderId="26" xfId="0" applyFont="1" applyFill="1" applyBorder="1" applyAlignment="1">
      <alignment horizontal="center"/>
    </xf>
    <xf numFmtId="168" fontId="255" fillId="0" borderId="26" xfId="2306" applyNumberFormat="1" applyFont="1" applyFill="1" applyBorder="1" applyAlignment="1">
      <alignment horizontal="center" vertical="center" wrapText="1"/>
    </xf>
    <xf numFmtId="203" fontId="251" fillId="41" borderId="970" xfId="2305" applyNumberFormat="1" applyFont="1" applyFill="1" applyBorder="1" applyAlignment="1">
      <alignment horizontal="center" vertical="center"/>
    </xf>
    <xf numFmtId="0" fontId="254" fillId="0" borderId="964" xfId="0" applyFont="1" applyBorder="1" applyAlignment="1">
      <alignment horizontal="center" vertical="center"/>
    </xf>
    <xf numFmtId="0" fontId="254" fillId="0" borderId="67" xfId="0" applyFont="1" applyBorder="1" applyAlignment="1">
      <alignment horizontal="center" vertical="center"/>
    </xf>
    <xf numFmtId="0" fontId="254" fillId="53" borderId="970" xfId="0" applyFont="1" applyFill="1" applyBorder="1" applyAlignment="1">
      <alignment horizontal="center" vertical="center"/>
    </xf>
    <xf numFmtId="2" fontId="254" fillId="53" borderId="960" xfId="0" applyNumberFormat="1" applyFont="1" applyFill="1" applyBorder="1" applyAlignment="1">
      <alignment horizontal="center" vertical="center"/>
    </xf>
    <xf numFmtId="0" fontId="249" fillId="0" borderId="0" xfId="0" applyFont="1" applyAlignment="1">
      <alignment horizontal="left" vertical="center"/>
    </xf>
    <xf numFmtId="203" fontId="251" fillId="41" borderId="104" xfId="2305" applyNumberFormat="1" applyFont="1" applyFill="1" applyBorder="1" applyAlignment="1">
      <alignment horizontal="center" vertical="center"/>
    </xf>
    <xf numFmtId="0" fontId="254" fillId="0" borderId="105" xfId="0" applyFont="1" applyBorder="1" applyAlignment="1">
      <alignment horizontal="center" vertical="center"/>
    </xf>
    <xf numFmtId="2" fontId="254" fillId="53" borderId="970" xfId="0" applyNumberFormat="1" applyFont="1" applyFill="1" applyBorder="1" applyAlignment="1">
      <alignment horizontal="center" vertical="center"/>
    </xf>
    <xf numFmtId="0" fontId="254" fillId="53" borderId="971" xfId="0" applyFont="1" applyFill="1" applyBorder="1" applyAlignment="1">
      <alignment horizontal="center" vertical="center"/>
    </xf>
    <xf numFmtId="2" fontId="254" fillId="53" borderId="921" xfId="0" applyNumberFormat="1" applyFont="1" applyFill="1" applyBorder="1" applyAlignment="1">
      <alignment horizontal="center" vertical="center"/>
    </xf>
    <xf numFmtId="0" fontId="254" fillId="0" borderId="972" xfId="0" applyFont="1" applyBorder="1"/>
    <xf numFmtId="0" fontId="254" fillId="0" borderId="63" xfId="0" applyFont="1" applyBorder="1"/>
    <xf numFmtId="0" fontId="254" fillId="0" borderId="921" xfId="0" applyFont="1" applyBorder="1"/>
    <xf numFmtId="0" fontId="254" fillId="0" borderId="41" xfId="0" applyFont="1" applyBorder="1"/>
    <xf numFmtId="0" fontId="254" fillId="0" borderId="35" xfId="0" applyFont="1" applyBorder="1"/>
    <xf numFmtId="0" fontId="254" fillId="0" borderId="66" xfId="0" applyFont="1" applyBorder="1"/>
    <xf numFmtId="0" fontId="254" fillId="0" borderId="956" xfId="0" applyFont="1" applyBorder="1"/>
    <xf numFmtId="0" fontId="254" fillId="0" borderId="26" xfId="0" applyFont="1" applyBorder="1" applyAlignment="1">
      <alignment vertical="center"/>
    </xf>
    <xf numFmtId="0" fontId="88" fillId="0" borderId="66" xfId="0" applyFont="1" applyBorder="1" applyAlignment="1">
      <alignment horizontal="center" vertical="center"/>
    </xf>
    <xf numFmtId="0" fontId="87" fillId="0" borderId="66" xfId="0" applyFont="1" applyBorder="1" applyAlignment="1">
      <alignment horizontal="center" vertical="center"/>
    </xf>
    <xf numFmtId="0" fontId="87" fillId="0" borderId="66" xfId="0" applyFont="1" applyBorder="1" applyAlignment="1">
      <alignment horizontal="center"/>
    </xf>
    <xf numFmtId="0" fontId="88" fillId="0" borderId="67" xfId="0" applyFont="1" applyBorder="1"/>
    <xf numFmtId="0" fontId="88" fillId="0" borderId="956" xfId="0" applyFont="1" applyBorder="1" applyAlignment="1">
      <alignment horizontal="center" vertical="center"/>
    </xf>
    <xf numFmtId="0" fontId="87" fillId="0" borderId="956" xfId="0" applyFont="1" applyBorder="1" applyAlignment="1">
      <alignment horizontal="center" vertical="center"/>
    </xf>
    <xf numFmtId="0" fontId="87" fillId="0" borderId="956" xfId="0" applyFont="1" applyBorder="1" applyAlignment="1">
      <alignment horizontal="center"/>
    </xf>
    <xf numFmtId="0" fontId="88" fillId="0" borderId="967" xfId="0" applyFont="1" applyBorder="1"/>
    <xf numFmtId="0" fontId="88" fillId="0" borderId="104" xfId="0" applyFont="1" applyBorder="1" applyAlignment="1">
      <alignment horizontal="center" vertical="center"/>
    </xf>
    <xf numFmtId="0" fontId="87" fillId="0" borderId="104" xfId="0" applyFont="1" applyBorder="1" applyAlignment="1">
      <alignment horizontal="center" vertical="center"/>
    </xf>
    <xf numFmtId="0" fontId="87" fillId="0" borderId="104" xfId="0" applyFont="1" applyBorder="1" applyAlignment="1">
      <alignment horizontal="center"/>
    </xf>
    <xf numFmtId="0" fontId="88" fillId="0" borderId="105" xfId="0" applyFont="1" applyBorder="1"/>
    <xf numFmtId="0" fontId="88" fillId="0" borderId="26" xfId="0" applyFont="1" applyBorder="1" applyAlignment="1">
      <alignment horizontal="center" vertical="center"/>
    </xf>
    <xf numFmtId="0" fontId="87" fillId="0" borderId="26" xfId="0" applyFont="1" applyBorder="1" applyAlignment="1">
      <alignment horizontal="center" vertical="center"/>
    </xf>
    <xf numFmtId="0" fontId="87" fillId="0" borderId="26" xfId="0" applyFont="1" applyBorder="1" applyAlignment="1">
      <alignment horizontal="center"/>
    </xf>
    <xf numFmtId="0" fontId="88" fillId="0" borderId="69" xfId="0" applyFont="1" applyBorder="1"/>
    <xf numFmtId="0" fontId="88" fillId="0" borderId="967" xfId="0" applyFont="1" applyBorder="1" applyAlignment="1">
      <alignment vertical="center"/>
    </xf>
    <xf numFmtId="0" fontId="88" fillId="0" borderId="69" xfId="0" applyFont="1" applyBorder="1" applyAlignment="1">
      <alignment vertical="center"/>
    </xf>
    <xf numFmtId="0" fontId="88" fillId="0" borderId="105" xfId="0" applyFont="1" applyBorder="1" applyAlignment="1">
      <alignment vertical="center"/>
    </xf>
    <xf numFmtId="0" fontId="88" fillId="0" borderId="65" xfId="0" applyFont="1" applyBorder="1" applyAlignment="1">
      <alignment horizontal="center" vertical="center"/>
    </xf>
    <xf numFmtId="0" fontId="90" fillId="0" borderId="991" xfId="0" applyFont="1" applyBorder="1" applyAlignment="1">
      <alignment horizontal="center" vertical="center"/>
    </xf>
    <xf numFmtId="0" fontId="90" fillId="0" borderId="992" xfId="0" applyFont="1" applyBorder="1" applyAlignment="1">
      <alignment horizontal="center" vertical="center"/>
    </xf>
    <xf numFmtId="0" fontId="90" fillId="0" borderId="987" xfId="0" applyFont="1" applyBorder="1" applyAlignment="1">
      <alignment horizontal="center" vertical="center"/>
    </xf>
    <xf numFmtId="203" fontId="260" fillId="41" borderId="66" xfId="3405" applyNumberFormat="1" applyFont="1" applyFill="1" applyBorder="1" applyAlignment="1">
      <alignment horizontal="center" vertical="center" wrapText="1"/>
    </xf>
    <xf numFmtId="0" fontId="254" fillId="53" borderId="26" xfId="0" applyFont="1" applyFill="1" applyBorder="1" applyAlignment="1">
      <alignment horizontal="center" vertical="center"/>
    </xf>
    <xf numFmtId="0" fontId="254" fillId="53" borderId="24" xfId="0" applyFont="1" applyFill="1" applyBorder="1" applyAlignment="1">
      <alignment horizontal="center" vertical="center"/>
    </xf>
    <xf numFmtId="2" fontId="254" fillId="53" borderId="959" xfId="0" applyNumberFormat="1" applyFont="1" applyFill="1" applyBorder="1" applyAlignment="1">
      <alignment horizontal="center" vertical="center"/>
    </xf>
    <xf numFmtId="0" fontId="254" fillId="53" borderId="77" xfId="0" applyFont="1" applyFill="1" applyBorder="1" applyAlignment="1">
      <alignment horizontal="center" vertical="center"/>
    </xf>
    <xf numFmtId="0" fontId="255" fillId="0" borderId="973" xfId="0" applyFont="1" applyBorder="1" applyAlignment="1">
      <alignment horizontal="center" vertical="center"/>
    </xf>
    <xf numFmtId="0" fontId="255" fillId="0" borderId="431" xfId="0" applyFont="1" applyBorder="1" applyAlignment="1">
      <alignment horizontal="center" vertical="center"/>
    </xf>
    <xf numFmtId="0" fontId="254" fillId="0" borderId="973" xfId="0" applyFont="1" applyBorder="1" applyAlignment="1">
      <alignment horizontal="center" vertical="center"/>
    </xf>
    <xf numFmtId="14" fontId="254" fillId="0" borderId="968" xfId="0" applyNumberFormat="1" applyFont="1" applyBorder="1" applyAlignment="1">
      <alignment horizontal="center" vertical="center"/>
    </xf>
    <xf numFmtId="0" fontId="254" fillId="0" borderId="974" xfId="0" applyFont="1" applyBorder="1" applyAlignment="1">
      <alignment horizontal="center" vertical="center"/>
    </xf>
    <xf numFmtId="0" fontId="249" fillId="0" borderId="982" xfId="0" applyFont="1" applyBorder="1" applyAlignment="1">
      <alignment horizontal="center"/>
    </xf>
    <xf numFmtId="0" fontId="254" fillId="0" borderId="980" xfId="0" applyFont="1" applyBorder="1"/>
    <xf numFmtId="14" fontId="254" fillId="0" borderId="969" xfId="0" applyNumberFormat="1" applyFont="1" applyBorder="1" applyAlignment="1">
      <alignment horizontal="center" vertical="center"/>
    </xf>
    <xf numFmtId="14" fontId="254" fillId="0" borderId="971" xfId="0" applyNumberFormat="1" applyFont="1" applyBorder="1" applyAlignment="1">
      <alignment horizontal="center" vertical="center"/>
    </xf>
    <xf numFmtId="9" fontId="254" fillId="0" borderId="970" xfId="725" applyFont="1" applyFill="1" applyBorder="1" applyAlignment="1">
      <alignment horizontal="center" vertical="center"/>
    </xf>
    <xf numFmtId="0" fontId="254" fillId="53" borderId="969" xfId="0" applyFont="1" applyFill="1" applyBorder="1" applyAlignment="1">
      <alignment horizontal="center" vertical="center"/>
    </xf>
    <xf numFmtId="0" fontId="254" fillId="0" borderId="990" xfId="0" applyFont="1" applyBorder="1" applyAlignment="1">
      <alignment vertical="center"/>
    </xf>
    <xf numFmtId="1" fontId="254" fillId="42" borderId="971" xfId="0" applyNumberFormat="1" applyFont="1" applyFill="1" applyBorder="1" applyAlignment="1">
      <alignment horizontal="center" vertical="center"/>
    </xf>
    <xf numFmtId="1" fontId="254" fillId="0" borderId="922" xfId="0" applyNumberFormat="1" applyFont="1" applyBorder="1" applyAlignment="1">
      <alignment horizontal="center" vertical="center"/>
    </xf>
    <xf numFmtId="2" fontId="254" fillId="53" borderId="15" xfId="0" applyNumberFormat="1" applyFont="1" applyFill="1" applyBorder="1" applyAlignment="1">
      <alignment horizontal="center" vertical="center"/>
    </xf>
    <xf numFmtId="0" fontId="254" fillId="0" borderId="968" xfId="0" applyFont="1" applyBorder="1" applyAlignment="1">
      <alignment horizontal="center" vertical="center"/>
    </xf>
    <xf numFmtId="10" fontId="254" fillId="0" borderId="970" xfId="0" applyNumberFormat="1" applyFont="1" applyBorder="1" applyAlignment="1">
      <alignment vertical="center"/>
    </xf>
    <xf numFmtId="10" fontId="254" fillId="0" borderId="956" xfId="0" applyNumberFormat="1" applyFont="1" applyBorder="1" applyAlignment="1">
      <alignment vertical="center"/>
    </xf>
    <xf numFmtId="1" fontId="254" fillId="42" borderId="26" xfId="0" applyNumberFormat="1" applyFont="1" applyFill="1" applyBorder="1" applyAlignment="1">
      <alignment horizontal="center" vertical="center"/>
    </xf>
    <xf numFmtId="203" fontId="254" fillId="0" borderId="970" xfId="0" applyNumberFormat="1" applyFont="1" applyBorder="1" applyAlignment="1">
      <alignment horizontal="center" vertical="center"/>
    </xf>
    <xf numFmtId="44" fontId="255" fillId="0" borderId="970" xfId="3408" applyNumberFormat="1" applyFont="1" applyBorder="1"/>
    <xf numFmtId="44" fontId="249" fillId="0" borderId="970" xfId="0" applyNumberFormat="1" applyFont="1" applyBorder="1" applyAlignment="1">
      <alignment horizontal="center" vertical="center"/>
    </xf>
    <xf numFmtId="0" fontId="249" fillId="0" borderId="76" xfId="0" applyFont="1" applyBorder="1" applyAlignment="1">
      <alignment horizontal="center" vertical="center"/>
    </xf>
    <xf numFmtId="0" fontId="254" fillId="0" borderId="35" xfId="0" applyFont="1" applyBorder="1" applyAlignment="1">
      <alignment vertical="center"/>
    </xf>
    <xf numFmtId="9" fontId="254" fillId="0" borderId="26" xfId="725" applyFont="1" applyFill="1" applyBorder="1" applyAlignment="1">
      <alignment horizontal="center" vertical="center"/>
    </xf>
    <xf numFmtId="203" fontId="254" fillId="0" borderId="959" xfId="2305" applyNumberFormat="1" applyFont="1" applyBorder="1" applyAlignment="1">
      <alignment horizontal="center" vertical="center"/>
    </xf>
    <xf numFmtId="1" fontId="254" fillId="42" borderId="970" xfId="0" applyNumberFormat="1" applyFont="1" applyFill="1" applyBorder="1" applyAlignment="1">
      <alignment horizontal="center" vertical="center" wrapText="1"/>
    </xf>
    <xf numFmtId="251" fontId="254" fillId="0" borderId="970" xfId="0" applyNumberFormat="1" applyFont="1" applyBorder="1" applyAlignment="1">
      <alignment horizontal="center" vertical="center"/>
    </xf>
    <xf numFmtId="1" fontId="254" fillId="42" borderId="26" xfId="0" applyNumberFormat="1" applyFont="1" applyFill="1" applyBorder="1" applyAlignment="1">
      <alignment horizontal="center" vertical="center" wrapText="1"/>
    </xf>
    <xf numFmtId="9" fontId="255" fillId="0" borderId="26" xfId="3405" applyFont="1" applyFill="1" applyBorder="1" applyAlignment="1">
      <alignment horizontal="center" vertical="center" wrapText="1"/>
    </xf>
    <xf numFmtId="203" fontId="255" fillId="0" borderId="970" xfId="3408" applyNumberFormat="1" applyFont="1" applyBorder="1"/>
    <xf numFmtId="2" fontId="254" fillId="53" borderId="26" xfId="0" applyNumberFormat="1" applyFont="1" applyFill="1" applyBorder="1" applyAlignment="1">
      <alignment horizontal="center" vertical="center"/>
    </xf>
    <xf numFmtId="2" fontId="254" fillId="53" borderId="66" xfId="0" applyNumberFormat="1" applyFont="1" applyFill="1" applyBorder="1" applyAlignment="1">
      <alignment horizontal="center" vertical="center"/>
    </xf>
    <xf numFmtId="0" fontId="254" fillId="53" borderId="67" xfId="0" applyFont="1" applyFill="1" applyBorder="1" applyAlignment="1">
      <alignment horizontal="center" vertical="center"/>
    </xf>
    <xf numFmtId="0" fontId="254" fillId="0" borderId="35" xfId="0" applyFont="1" applyBorder="1" applyAlignment="1">
      <alignment horizontal="center" vertical="center" wrapText="1"/>
    </xf>
    <xf numFmtId="0" fontId="249" fillId="0" borderId="24" xfId="0" applyFont="1" applyBorder="1" applyAlignment="1">
      <alignment horizontal="center" vertical="center" wrapText="1"/>
    </xf>
    <xf numFmtId="0" fontId="249" fillId="0" borderId="76" xfId="0" applyFont="1" applyBorder="1" applyAlignment="1">
      <alignment horizontal="center" vertical="center" wrapText="1"/>
    </xf>
    <xf numFmtId="0" fontId="254" fillId="0" borderId="35" xfId="0" applyFont="1" applyBorder="1" applyAlignment="1">
      <alignment vertical="center" wrapText="1"/>
    </xf>
    <xf numFmtId="0" fontId="254" fillId="0" borderId="26" xfId="0" applyFont="1" applyBorder="1" applyAlignment="1">
      <alignment horizontal="center" vertical="center" wrapText="1"/>
    </xf>
    <xf numFmtId="3" fontId="254" fillId="42" borderId="26" xfId="0" applyNumberFormat="1" applyFont="1" applyFill="1" applyBorder="1" applyAlignment="1">
      <alignment horizontal="center" vertical="center" wrapText="1"/>
    </xf>
    <xf numFmtId="14" fontId="254" fillId="0" borderId="26" xfId="0" applyNumberFormat="1" applyFont="1" applyBorder="1" applyAlignment="1">
      <alignment horizontal="center" vertical="center" wrapText="1"/>
    </xf>
    <xf numFmtId="1" fontId="254" fillId="42" borderId="970" xfId="0" applyNumberFormat="1" applyFont="1" applyFill="1" applyBorder="1" applyAlignment="1">
      <alignment horizontal="center"/>
    </xf>
    <xf numFmtId="1" fontId="254" fillId="0" borderId="960" xfId="0" applyNumberFormat="1" applyFont="1" applyBorder="1" applyAlignment="1">
      <alignment horizontal="center"/>
    </xf>
    <xf numFmtId="1" fontId="254" fillId="42" borderId="960" xfId="0" applyNumberFormat="1" applyFont="1" applyFill="1" applyBorder="1" applyAlignment="1">
      <alignment horizontal="center"/>
    </xf>
    <xf numFmtId="0" fontId="249" fillId="0" borderId="970" xfId="0" applyFont="1" applyBorder="1" applyAlignment="1">
      <alignment horizontal="center" vertical="center" wrapText="1"/>
    </xf>
    <xf numFmtId="0" fontId="254" fillId="0" borderId="970" xfId="0" applyFont="1" applyBorder="1" applyAlignment="1">
      <alignment vertical="center" wrapText="1"/>
    </xf>
    <xf numFmtId="0" fontId="254" fillId="42" borderId="970" xfId="0" applyFont="1" applyFill="1" applyBorder="1" applyAlignment="1">
      <alignment horizontal="center" vertical="center" wrapText="1"/>
    </xf>
    <xf numFmtId="14" fontId="254" fillId="0" borderId="970" xfId="0" applyNumberFormat="1" applyFont="1" applyBorder="1" applyAlignment="1">
      <alignment horizontal="center" vertical="center" wrapText="1"/>
    </xf>
    <xf numFmtId="0" fontId="254" fillId="42" borderId="921" xfId="0" applyFont="1" applyFill="1" applyBorder="1" applyAlignment="1">
      <alignment horizontal="center" vertical="center" wrapText="1"/>
    </xf>
    <xf numFmtId="0" fontId="249" fillId="0" borderId="66" xfId="0" applyFont="1" applyBorder="1" applyAlignment="1">
      <alignment horizontal="center" vertical="center" wrapText="1"/>
    </xf>
    <xf numFmtId="0" fontId="254" fillId="0" borderId="66" xfId="0" applyFont="1" applyBorder="1" applyAlignment="1">
      <alignment vertical="center" wrapText="1"/>
    </xf>
    <xf numFmtId="2" fontId="254" fillId="0" borderId="66" xfId="0" applyNumberFormat="1" applyFont="1" applyBorder="1" applyAlignment="1">
      <alignment horizontal="right" vertical="center"/>
    </xf>
    <xf numFmtId="0" fontId="249" fillId="0" borderId="970" xfId="0" applyFont="1" applyBorder="1" applyAlignment="1">
      <alignment horizontal="center"/>
    </xf>
    <xf numFmtId="0" fontId="254" fillId="0" borderId="970" xfId="0" applyFont="1" applyBorder="1"/>
    <xf numFmtId="1" fontId="254" fillId="42" borderId="970" xfId="1018" applyNumberFormat="1" applyFont="1" applyFill="1" applyBorder="1" applyAlignment="1">
      <alignment horizontal="center" vertical="center"/>
    </xf>
    <xf numFmtId="0" fontId="254" fillId="0" borderId="960" xfId="0" applyFont="1" applyBorder="1"/>
    <xf numFmtId="1" fontId="254" fillId="0" borderId="66" xfId="1018" applyNumberFormat="1" applyFont="1" applyFill="1" applyBorder="1" applyAlignment="1">
      <alignment horizontal="center" vertical="center"/>
    </xf>
    <xf numFmtId="1" fontId="254" fillId="42" borderId="956" xfId="1018" applyNumberFormat="1" applyFont="1" applyFill="1" applyBorder="1" applyAlignment="1">
      <alignment horizontal="center" vertical="center"/>
    </xf>
    <xf numFmtId="203" fontId="254" fillId="0" borderId="970" xfId="2305" applyNumberFormat="1" applyFont="1" applyBorder="1" applyAlignment="1">
      <alignment horizontal="center" vertical="center"/>
    </xf>
    <xf numFmtId="0" fontId="254" fillId="0" borderId="990" xfId="0" applyFont="1" applyBorder="1"/>
    <xf numFmtId="203" fontId="255" fillId="0" borderId="970" xfId="2306" applyNumberFormat="1" applyFont="1" applyFill="1" applyBorder="1" applyAlignment="1">
      <alignment horizontal="center" vertical="center" wrapText="1"/>
    </xf>
    <xf numFmtId="2" fontId="254" fillId="0" borderId="970" xfId="725" applyNumberFormat="1" applyFont="1" applyFill="1" applyBorder="1" applyAlignment="1">
      <alignment vertical="center"/>
    </xf>
    <xf numFmtId="2" fontId="254" fillId="0" borderId="921" xfId="725" applyNumberFormat="1" applyFont="1" applyFill="1" applyBorder="1" applyAlignment="1">
      <alignment vertical="center"/>
    </xf>
    <xf numFmtId="203" fontId="254" fillId="0" borderId="66" xfId="2305" applyNumberFormat="1" applyFont="1" applyBorder="1" applyAlignment="1">
      <alignment horizontal="center" vertical="center"/>
    </xf>
    <xf numFmtId="203" fontId="251" fillId="0" borderId="970" xfId="2305" applyNumberFormat="1" applyFont="1" applyBorder="1" applyAlignment="1">
      <alignment horizontal="center" vertical="center"/>
    </xf>
    <xf numFmtId="203" fontId="251" fillId="0" borderId="921" xfId="2305" applyNumberFormat="1" applyFont="1" applyBorder="1" applyAlignment="1">
      <alignment horizontal="center" vertical="center"/>
    </xf>
    <xf numFmtId="2" fontId="249" fillId="0" borderId="970" xfId="2305" applyNumberFormat="1" applyFont="1" applyBorder="1" applyAlignment="1">
      <alignment horizontal="center" vertical="center"/>
    </xf>
    <xf numFmtId="2" fontId="249" fillId="0" borderId="921" xfId="2305" applyNumberFormat="1" applyFont="1" applyBorder="1" applyAlignment="1">
      <alignment horizontal="center" vertical="center"/>
    </xf>
    <xf numFmtId="203" fontId="255" fillId="0" borderId="970" xfId="3408" applyNumberFormat="1" applyFont="1" applyBorder="1" applyAlignment="1">
      <alignment horizontal="center" vertical="center"/>
    </xf>
    <xf numFmtId="203" fontId="255" fillId="0" borderId="970" xfId="3405" applyNumberFormat="1" applyFont="1" applyFill="1" applyBorder="1" applyAlignment="1">
      <alignment horizontal="center" vertical="center" wrapText="1"/>
    </xf>
    <xf numFmtId="0" fontId="254" fillId="0" borderId="968" xfId="0" applyFont="1" applyBorder="1" applyAlignment="1">
      <alignment horizontal="center" vertical="center" wrapText="1"/>
    </xf>
    <xf numFmtId="0" fontId="254" fillId="0" borderId="977" xfId="0" applyFont="1" applyBorder="1" applyAlignment="1">
      <alignment horizontal="center" vertical="center" wrapText="1"/>
    </xf>
    <xf numFmtId="0" fontId="254" fillId="0" borderId="138" xfId="0" applyFont="1" applyBorder="1" applyAlignment="1">
      <alignment horizontal="center" vertical="center" wrapText="1"/>
    </xf>
    <xf numFmtId="0" fontId="254" fillId="0" borderId="65" xfId="0" applyFont="1" applyBorder="1" applyAlignment="1">
      <alignment horizontal="center" vertical="center"/>
    </xf>
    <xf numFmtId="44" fontId="254" fillId="0" borderId="114" xfId="0" applyNumberFormat="1" applyFont="1" applyBorder="1" applyAlignment="1">
      <alignment horizontal="center" vertical="center"/>
    </xf>
    <xf numFmtId="44" fontId="254" fillId="0" borderId="138" xfId="0" applyNumberFormat="1" applyFont="1" applyBorder="1" applyAlignment="1">
      <alignment horizontal="center" vertical="center"/>
    </xf>
    <xf numFmtId="175" fontId="254" fillId="53" borderId="131" xfId="0" applyNumberFormat="1" applyFont="1" applyFill="1" applyBorder="1" applyAlignment="1">
      <alignment horizontal="center" vertical="center"/>
    </xf>
    <xf numFmtId="175" fontId="254" fillId="53" borderId="922" xfId="0" applyNumberFormat="1" applyFont="1" applyFill="1" applyBorder="1" applyAlignment="1">
      <alignment horizontal="center" vertical="center"/>
    </xf>
    <xf numFmtId="175" fontId="254" fillId="53" borderId="66" xfId="0" applyNumberFormat="1" applyFont="1" applyFill="1" applyBorder="1" applyAlignment="1">
      <alignment horizontal="center" vertical="center"/>
    </xf>
    <xf numFmtId="175" fontId="254" fillId="53" borderId="970" xfId="0" applyNumberFormat="1" applyFont="1" applyFill="1" applyBorder="1" applyAlignment="1">
      <alignment horizontal="center" vertical="center"/>
    </xf>
    <xf numFmtId="175" fontId="254" fillId="53" borderId="960" xfId="0" applyNumberFormat="1" applyFont="1" applyFill="1" applyBorder="1" applyAlignment="1">
      <alignment horizontal="center" vertical="center"/>
    </xf>
    <xf numFmtId="175" fontId="254" fillId="53" borderId="921" xfId="0" applyNumberFormat="1" applyFont="1" applyFill="1" applyBorder="1" applyAlignment="1">
      <alignment horizontal="center" vertical="center"/>
    </xf>
    <xf numFmtId="175" fontId="254" fillId="53" borderId="104" xfId="0" applyNumberFormat="1" applyFont="1" applyFill="1" applyBorder="1" applyAlignment="1">
      <alignment horizontal="center" vertical="center"/>
    </xf>
    <xf numFmtId="175" fontId="254" fillId="53" borderId="26" xfId="0" applyNumberFormat="1" applyFont="1" applyFill="1" applyBorder="1" applyAlignment="1">
      <alignment horizontal="center" vertical="center"/>
    </xf>
    <xf numFmtId="0" fontId="254" fillId="53" borderId="959" xfId="0" applyFont="1" applyFill="1" applyBorder="1" applyAlignment="1">
      <alignment horizontal="center" vertical="center"/>
    </xf>
    <xf numFmtId="0" fontId="254" fillId="53" borderId="15" xfId="0" applyFont="1" applyFill="1" applyBorder="1" applyAlignment="1">
      <alignment horizontal="center" vertical="center"/>
    </xf>
    <xf numFmtId="0" fontId="254" fillId="53" borderId="34" xfId="0" applyFont="1" applyFill="1" applyBorder="1" applyAlignment="1">
      <alignment horizontal="center" vertical="center"/>
    </xf>
    <xf numFmtId="0" fontId="254" fillId="53" borderId="988" xfId="0" applyFont="1" applyFill="1" applyBorder="1" applyAlignment="1">
      <alignment horizontal="center" vertical="center"/>
    </xf>
    <xf numFmtId="0" fontId="254" fillId="53" borderId="976" xfId="0" applyFont="1" applyFill="1" applyBorder="1" applyAlignment="1">
      <alignment horizontal="center" vertical="center"/>
    </xf>
    <xf numFmtId="0" fontId="254" fillId="53" borderId="989" xfId="0" applyFont="1" applyFill="1" applyBorder="1" applyAlignment="1">
      <alignment horizontal="center" vertical="center"/>
    </xf>
    <xf numFmtId="0" fontId="254" fillId="0" borderId="971" xfId="0" applyFont="1" applyBorder="1" applyAlignment="1">
      <alignment horizontal="left" vertical="center"/>
    </xf>
    <xf numFmtId="0" fontId="254" fillId="0" borderId="922" xfId="0" applyFont="1" applyBorder="1" applyAlignment="1">
      <alignment horizontal="left" vertical="center"/>
    </xf>
    <xf numFmtId="0" fontId="254" fillId="0" borderId="978" xfId="0" applyFont="1" applyBorder="1" applyAlignment="1">
      <alignment horizontal="center" vertical="center"/>
    </xf>
    <xf numFmtId="44" fontId="254" fillId="0" borderId="24" xfId="0" applyNumberFormat="1" applyFont="1" applyBorder="1" applyAlignment="1">
      <alignment horizontal="center" vertical="center"/>
    </xf>
    <xf numFmtId="10" fontId="254" fillId="0" borderId="0" xfId="725" applyNumberFormat="1" applyFont="1" applyFill="1" applyBorder="1" applyAlignment="1">
      <alignment vertical="center"/>
    </xf>
    <xf numFmtId="44" fontId="254" fillId="0" borderId="35" xfId="0" applyNumberFormat="1" applyFont="1" applyBorder="1" applyAlignment="1">
      <alignment horizontal="center" vertical="center"/>
    </xf>
    <xf numFmtId="203" fontId="251" fillId="41" borderId="26" xfId="2305" applyNumberFormat="1" applyFont="1" applyFill="1" applyBorder="1" applyAlignment="1">
      <alignment horizontal="center" vertical="center"/>
    </xf>
    <xf numFmtId="203" fontId="260" fillId="41" borderId="26" xfId="3405" applyNumberFormat="1" applyFont="1" applyFill="1" applyBorder="1" applyAlignment="1">
      <alignment horizontal="center" vertical="center" wrapText="1"/>
    </xf>
    <xf numFmtId="0" fontId="254" fillId="0" borderId="69" xfId="0" applyFont="1" applyBorder="1" applyAlignment="1">
      <alignment horizontal="center" vertical="center"/>
    </xf>
    <xf numFmtId="0" fontId="254" fillId="0" borderId="74" xfId="0" applyFont="1" applyBorder="1" applyAlignment="1">
      <alignment horizontal="center" vertical="center"/>
    </xf>
    <xf numFmtId="10" fontId="254" fillId="0" borderId="613" xfId="725" applyNumberFormat="1" applyFont="1" applyFill="1" applyBorder="1" applyAlignment="1">
      <alignment vertical="center"/>
    </xf>
    <xf numFmtId="203" fontId="251" fillId="41" borderId="138" xfId="2305" applyNumberFormat="1" applyFont="1" applyFill="1" applyBorder="1" applyAlignment="1">
      <alignment horizontal="center" vertical="center"/>
    </xf>
    <xf numFmtId="203" fontId="260" fillId="41" borderId="138" xfId="3405" applyNumberFormat="1" applyFont="1" applyFill="1" applyBorder="1" applyAlignment="1">
      <alignment horizontal="center" vertical="center" wrapText="1"/>
    </xf>
    <xf numFmtId="0" fontId="254" fillId="0" borderId="76" xfId="0" applyFont="1" applyBorder="1" applyAlignment="1">
      <alignment horizontal="center" vertical="center"/>
    </xf>
    <xf numFmtId="0" fontId="254" fillId="0" borderId="966" xfId="0" applyFont="1" applyBorder="1" applyAlignment="1">
      <alignment horizontal="center" vertical="center"/>
    </xf>
    <xf numFmtId="0" fontId="249" fillId="0" borderId="956" xfId="0" applyFont="1" applyBorder="1" applyAlignment="1">
      <alignment horizontal="center" vertical="center" wrapText="1"/>
    </xf>
    <xf numFmtId="44" fontId="254" fillId="0" borderId="981" xfId="0" applyNumberFormat="1" applyFont="1" applyBorder="1" applyAlignment="1">
      <alignment horizontal="center" vertical="center"/>
    </xf>
    <xf numFmtId="10" fontId="254" fillId="0" borderId="992" xfId="725" applyNumberFormat="1" applyFont="1" applyFill="1" applyBorder="1" applyAlignment="1">
      <alignment vertical="center"/>
    </xf>
    <xf numFmtId="44" fontId="254" fillId="0" borderId="980" xfId="0" applyNumberFormat="1" applyFont="1" applyBorder="1" applyAlignment="1">
      <alignment horizontal="center" vertical="center"/>
    </xf>
    <xf numFmtId="203" fontId="251" fillId="41" borderId="980" xfId="2305" applyNumberFormat="1" applyFont="1" applyFill="1" applyBorder="1" applyAlignment="1">
      <alignment horizontal="center" vertical="center"/>
    </xf>
    <xf numFmtId="203" fontId="260" fillId="41" borderId="980" xfId="3405" applyNumberFormat="1" applyFont="1" applyFill="1" applyBorder="1" applyAlignment="1">
      <alignment horizontal="center" vertical="center" wrapText="1"/>
    </xf>
    <xf numFmtId="0" fontId="254" fillId="0" borderId="967" xfId="0" applyFont="1" applyBorder="1" applyAlignment="1">
      <alignment horizontal="center" vertical="center"/>
    </xf>
    <xf numFmtId="0" fontId="254" fillId="0" borderId="73" xfId="0" applyFont="1" applyBorder="1" applyAlignment="1">
      <alignment horizontal="center" vertical="center"/>
    </xf>
    <xf numFmtId="2" fontId="258" fillId="0" borderId="104" xfId="0" applyNumberFormat="1" applyFont="1" applyBorder="1" applyAlignment="1">
      <alignment horizontal="center" vertical="center"/>
    </xf>
    <xf numFmtId="10" fontId="258" fillId="0" borderId="104" xfId="725" applyNumberFormat="1" applyFont="1" applyBorder="1" applyAlignment="1">
      <alignment horizontal="center" vertical="center"/>
    </xf>
    <xf numFmtId="10" fontId="259" fillId="0" borderId="78" xfId="725" applyNumberFormat="1" applyFont="1" applyFill="1" applyBorder="1" applyAlignment="1">
      <alignment horizontal="center" vertical="center"/>
    </xf>
    <xf numFmtId="2" fontId="258" fillId="0" borderId="972" xfId="0" applyNumberFormat="1" applyFont="1" applyBorder="1" applyAlignment="1">
      <alignment horizontal="center" vertical="center"/>
    </xf>
    <xf numFmtId="0" fontId="258" fillId="0" borderId="104" xfId="0" applyFont="1" applyBorder="1" applyAlignment="1">
      <alignment horizontal="center" vertical="center"/>
    </xf>
    <xf numFmtId="0" fontId="258" fillId="0" borderId="105" xfId="0" applyFont="1" applyBorder="1" applyAlignment="1">
      <alignment horizontal="center" vertical="center"/>
    </xf>
    <xf numFmtId="0" fontId="249" fillId="0" borderId="104" xfId="0" applyFont="1" applyBorder="1" applyAlignment="1">
      <alignment horizontal="center" vertical="center" wrapText="1"/>
    </xf>
    <xf numFmtId="9" fontId="252" fillId="41" borderId="104" xfId="3405" applyFont="1" applyFill="1" applyBorder="1" applyAlignment="1">
      <alignment horizontal="center" vertical="center" wrapText="1"/>
    </xf>
    <xf numFmtId="10" fontId="254" fillId="0" borderId="450" xfId="725" applyNumberFormat="1" applyFont="1" applyFill="1" applyBorder="1" applyAlignment="1">
      <alignment vertical="center"/>
    </xf>
    <xf numFmtId="44" fontId="254" fillId="0" borderId="972" xfId="0" applyNumberFormat="1" applyFont="1" applyBorder="1" applyAlignment="1">
      <alignment horizontal="center" vertical="center"/>
    </xf>
    <xf numFmtId="203" fontId="251" fillId="41" borderId="972" xfId="2305" applyNumberFormat="1" applyFont="1" applyFill="1" applyBorder="1" applyAlignment="1">
      <alignment horizontal="center" vertical="center"/>
    </xf>
    <xf numFmtId="203" fontId="260" fillId="41" borderId="972" xfId="3405" applyNumberFormat="1" applyFont="1" applyFill="1" applyBorder="1" applyAlignment="1">
      <alignment horizontal="center" vertical="center" wrapText="1"/>
    </xf>
    <xf numFmtId="250" fontId="255" fillId="0" borderId="66" xfId="2306" applyNumberFormat="1" applyFont="1" applyFill="1" applyBorder="1" applyAlignment="1">
      <alignment horizontal="center" vertical="center" wrapText="1"/>
    </xf>
    <xf numFmtId="175" fontId="255" fillId="0" borderId="66" xfId="2306" applyNumberFormat="1" applyFont="1" applyFill="1" applyBorder="1" applyAlignment="1">
      <alignment horizontal="center" vertical="center" wrapText="1"/>
    </xf>
    <xf numFmtId="0" fontId="254" fillId="0" borderId="91" xfId="0" applyFont="1" applyBorder="1" applyAlignment="1">
      <alignment horizontal="center" vertical="center"/>
    </xf>
    <xf numFmtId="0" fontId="254" fillId="42" borderId="91" xfId="0" applyFont="1" applyFill="1" applyBorder="1" applyAlignment="1">
      <alignment horizontal="center" vertical="center"/>
    </xf>
    <xf numFmtId="0" fontId="254" fillId="0" borderId="104" xfId="0" applyFont="1" applyFill="1" applyBorder="1" applyAlignment="1">
      <alignment horizontal="center"/>
    </xf>
    <xf numFmtId="0" fontId="0" fillId="42" borderId="74" xfId="0" applyFill="1" applyBorder="1"/>
    <xf numFmtId="0" fontId="262" fillId="0" borderId="0" xfId="7845" applyFill="1" applyBorder="1" applyAlignment="1">
      <alignment horizontal="center" vertical="center"/>
    </xf>
    <xf numFmtId="0" fontId="258" fillId="0" borderId="73" xfId="0" applyFont="1" applyBorder="1" applyAlignment="1">
      <alignment horizontal="center" vertical="center"/>
    </xf>
    <xf numFmtId="0" fontId="258" fillId="0" borderId="613" xfId="0" applyFont="1" applyBorder="1" applyAlignment="1">
      <alignment horizontal="center" vertical="center"/>
    </xf>
    <xf numFmtId="0" fontId="258" fillId="0" borderId="138" xfId="0" applyFont="1" applyBorder="1" applyAlignment="1">
      <alignment horizontal="center" vertical="center"/>
    </xf>
    <xf numFmtId="0" fontId="254" fillId="42" borderId="993" xfId="0" applyFont="1" applyFill="1" applyBorder="1" applyAlignment="1">
      <alignment horizontal="center" vertical="center"/>
    </xf>
    <xf numFmtId="0" fontId="254" fillId="42" borderId="968" xfId="0" applyFont="1" applyFill="1" applyBorder="1" applyAlignment="1">
      <alignment horizontal="center" vertical="center"/>
    </xf>
    <xf numFmtId="0" fontId="254" fillId="53" borderId="994" xfId="0" applyFont="1" applyFill="1" applyBorder="1" applyAlignment="1">
      <alignment horizontal="center" vertical="center"/>
    </xf>
    <xf numFmtId="0" fontId="254" fillId="53" borderId="977" xfId="0" applyFont="1" applyFill="1" applyBorder="1" applyAlignment="1">
      <alignment horizontal="center" vertical="center"/>
    </xf>
    <xf numFmtId="0" fontId="249" fillId="2" borderId="967" xfId="1" applyFont="1" applyFill="1" applyBorder="1" applyAlignment="1">
      <alignment horizontal="center" vertical="center" wrapText="1"/>
    </xf>
    <xf numFmtId="0" fontId="249" fillId="2" borderId="69" xfId="1" applyFont="1" applyFill="1" applyBorder="1" applyAlignment="1">
      <alignment horizontal="center" vertical="center" wrapText="1"/>
    </xf>
    <xf numFmtId="0" fontId="249" fillId="2" borderId="956" xfId="1" applyFont="1" applyFill="1" applyBorder="1" applyAlignment="1">
      <alignment horizontal="center" vertical="center" wrapText="1"/>
    </xf>
    <xf numFmtId="0" fontId="249" fillId="2" borderId="26" xfId="1" applyFont="1" applyFill="1" applyBorder="1" applyAlignment="1">
      <alignment horizontal="center" vertical="center" wrapText="1"/>
    </xf>
    <xf numFmtId="0" fontId="249" fillId="2" borderId="973" xfId="1" applyFont="1" applyFill="1" applyBorder="1" applyAlignment="1">
      <alignment horizontal="center" vertical="center" wrapText="1"/>
    </xf>
    <xf numFmtId="0" fontId="249" fillId="2" borderId="974" xfId="1" applyFont="1" applyFill="1" applyBorder="1" applyAlignment="1">
      <alignment horizontal="center" vertical="center" wrapText="1"/>
    </xf>
    <xf numFmtId="0" fontId="249" fillId="2" borderId="968" xfId="1" applyFont="1" applyFill="1" applyBorder="1" applyAlignment="1">
      <alignment horizontal="center" vertical="center" wrapText="1"/>
    </xf>
    <xf numFmtId="0" fontId="256" fillId="2" borderId="956" xfId="1" applyFont="1" applyFill="1" applyBorder="1" applyAlignment="1">
      <alignment horizontal="center" vertical="center" wrapText="1"/>
    </xf>
    <xf numFmtId="0" fontId="256" fillId="2" borderId="26" xfId="1" applyFont="1" applyFill="1" applyBorder="1" applyAlignment="1">
      <alignment horizontal="center" vertical="center" wrapText="1"/>
    </xf>
    <xf numFmtId="0" fontId="249" fillId="2" borderId="973" xfId="0" applyFont="1" applyFill="1" applyBorder="1" applyAlignment="1">
      <alignment horizontal="center" vertical="center" wrapText="1"/>
    </xf>
    <xf numFmtId="0" fontId="249" fillId="2" borderId="974" xfId="0" applyFont="1" applyFill="1" applyBorder="1" applyAlignment="1">
      <alignment horizontal="center" vertical="center" wrapText="1"/>
    </xf>
    <xf numFmtId="0" fontId="249" fillId="2" borderId="968" xfId="0" applyFont="1" applyFill="1" applyBorder="1" applyAlignment="1">
      <alignment horizontal="center" vertical="center" wrapText="1"/>
    </xf>
    <xf numFmtId="0" fontId="249" fillId="2" borderId="966" xfId="1" applyFont="1" applyFill="1" applyBorder="1" applyAlignment="1">
      <alignment horizontal="center" vertical="center" wrapText="1"/>
    </xf>
    <xf numFmtId="0" fontId="249" fillId="2" borderId="110" xfId="1" applyFont="1" applyFill="1" applyBorder="1" applyAlignment="1">
      <alignment horizontal="center" vertical="center" wrapText="1"/>
    </xf>
    <xf numFmtId="1" fontId="249" fillId="2" borderId="956" xfId="1" applyNumberFormat="1" applyFont="1" applyFill="1" applyBorder="1" applyAlignment="1">
      <alignment horizontal="center" vertical="center" wrapText="1"/>
    </xf>
    <xf numFmtId="1" fontId="249" fillId="2" borderId="26" xfId="1" applyNumberFormat="1" applyFont="1" applyFill="1" applyBorder="1" applyAlignment="1">
      <alignment horizontal="center" vertical="center" wrapText="1"/>
    </xf>
    <xf numFmtId="0" fontId="249" fillId="2" borderId="969" xfId="1" applyFont="1" applyFill="1" applyBorder="1" applyAlignment="1">
      <alignment horizontal="center" vertical="center" wrapText="1"/>
    </xf>
    <xf numFmtId="0" fontId="249" fillId="2" borderId="322" xfId="1" applyFont="1" applyFill="1" applyBorder="1" applyAlignment="1">
      <alignment horizontal="center" vertical="center" wrapText="1"/>
    </xf>
    <xf numFmtId="0" fontId="249" fillId="2" borderId="970" xfId="1" applyFont="1" applyFill="1" applyBorder="1" applyAlignment="1">
      <alignment horizontal="center" vertical="center" wrapText="1"/>
    </xf>
    <xf numFmtId="0" fontId="249" fillId="2" borderId="921" xfId="1" applyFont="1" applyFill="1" applyBorder="1" applyAlignment="1">
      <alignment horizontal="center" vertical="center" wrapText="1"/>
    </xf>
    <xf numFmtId="0" fontId="256" fillId="2" borderId="970" xfId="1" applyFont="1" applyFill="1" applyBorder="1" applyAlignment="1">
      <alignment horizontal="center" vertical="center" wrapText="1"/>
    </xf>
    <xf numFmtId="0" fontId="256" fillId="2" borderId="921" xfId="1" applyFont="1" applyFill="1" applyBorder="1" applyAlignment="1">
      <alignment horizontal="center" vertical="center" wrapText="1"/>
    </xf>
    <xf numFmtId="0" fontId="249" fillId="2" borderId="971" xfId="1" applyFont="1" applyFill="1" applyBorder="1" applyAlignment="1">
      <alignment horizontal="center" vertical="center" wrapText="1"/>
    </xf>
    <xf numFmtId="0" fontId="249" fillId="2" borderId="922" xfId="1" applyFont="1" applyFill="1" applyBorder="1" applyAlignment="1">
      <alignment horizontal="center" vertical="center" wrapText="1"/>
    </xf>
    <xf numFmtId="0" fontId="249" fillId="0" borderId="73" xfId="0" applyFont="1" applyBorder="1" applyAlignment="1">
      <alignment horizontal="left" vertical="center"/>
    </xf>
    <xf numFmtId="0" fontId="249" fillId="0" borderId="613" xfId="0" applyFont="1" applyBorder="1" applyAlignment="1">
      <alignment horizontal="left" vertical="center"/>
    </xf>
    <xf numFmtId="0" fontId="249" fillId="0" borderId="75" xfId="0" applyFont="1" applyBorder="1" applyAlignment="1">
      <alignment horizontal="left" vertical="center"/>
    </xf>
    <xf numFmtId="1" fontId="249" fillId="2" borderId="970" xfId="1" applyNumberFormat="1" applyFont="1" applyFill="1" applyBorder="1" applyAlignment="1">
      <alignment horizontal="center" vertical="center" wrapText="1"/>
    </xf>
    <xf numFmtId="1" fontId="249" fillId="2" borderId="921" xfId="1" applyNumberFormat="1" applyFont="1" applyFill="1" applyBorder="1" applyAlignment="1">
      <alignment horizontal="center" vertical="center" wrapText="1"/>
    </xf>
    <xf numFmtId="14" fontId="255" fillId="0" borderId="970" xfId="0" applyNumberFormat="1" applyFont="1" applyBorder="1" applyAlignment="1">
      <alignment horizontal="center" vertical="center"/>
    </xf>
    <xf numFmtId="0" fontId="255" fillId="0" borderId="960" xfId="0" applyFont="1" applyBorder="1" applyAlignment="1">
      <alignment horizontal="center" vertical="center"/>
    </xf>
    <xf numFmtId="0" fontId="255" fillId="0" borderId="921" xfId="0" applyFont="1" applyBorder="1" applyAlignment="1">
      <alignment horizontal="center" vertical="center"/>
    </xf>
    <xf numFmtId="0" fontId="258" fillId="0" borderId="108" xfId="0" applyFont="1" applyBorder="1" applyAlignment="1">
      <alignment horizontal="center" vertical="center"/>
    </xf>
    <xf numFmtId="0" fontId="258" fillId="0" borderId="104" xfId="0" applyFont="1" applyBorder="1" applyAlignment="1">
      <alignment horizontal="center" vertical="center"/>
    </xf>
    <xf numFmtId="0" fontId="88" fillId="0" borderId="966" xfId="0" applyFont="1" applyBorder="1" applyAlignment="1">
      <alignment horizontal="center" vertical="center"/>
    </xf>
    <xf numFmtId="0" fontId="88" fillId="0" borderId="108" xfId="0" applyFont="1" applyBorder="1" applyAlignment="1">
      <alignment horizontal="center" vertical="center"/>
    </xf>
    <xf numFmtId="0" fontId="88" fillId="0" borderId="110" xfId="0" applyFont="1" applyBorder="1" applyAlignment="1">
      <alignment horizontal="center" vertical="center"/>
    </xf>
    <xf numFmtId="0" fontId="157" fillId="0" borderId="889" xfId="0" applyFont="1" applyBorder="1" applyAlignment="1">
      <alignment horizontal="center" vertical="center"/>
    </xf>
    <xf numFmtId="0" fontId="157" fillId="0" borderId="26" xfId="0" applyFont="1" applyBorder="1" applyAlignment="1">
      <alignment horizontal="center" vertical="center"/>
    </xf>
    <xf numFmtId="0" fontId="157" fillId="0" borderId="15" xfId="0" applyFont="1" applyBorder="1" applyAlignment="1">
      <alignment horizontal="center" vertical="center"/>
    </xf>
    <xf numFmtId="17" fontId="160" fillId="45" borderId="131" xfId="0" applyNumberFormat="1" applyFont="1" applyFill="1" applyBorder="1" applyAlignment="1">
      <alignment horizontal="center" vertical="center" wrapText="1"/>
    </xf>
    <xf numFmtId="0" fontId="160" fillId="45" borderId="961" xfId="0" applyFont="1" applyFill="1" applyBorder="1" applyAlignment="1">
      <alignment horizontal="center" vertical="center" wrapText="1"/>
    </xf>
    <xf numFmtId="0" fontId="160" fillId="45" borderId="922" xfId="0" applyFont="1" applyFill="1" applyBorder="1" applyAlignment="1">
      <alignment horizontal="center" vertical="center" wrapText="1"/>
    </xf>
    <xf numFmtId="0" fontId="157" fillId="45" borderId="63" xfId="0" applyFont="1" applyFill="1" applyBorder="1" applyAlignment="1">
      <alignment horizontal="center" vertical="center"/>
    </xf>
    <xf numFmtId="0" fontId="157" fillId="45" borderId="960" xfId="0" applyFont="1" applyFill="1" applyBorder="1" applyAlignment="1">
      <alignment horizontal="center" vertical="center"/>
    </xf>
    <xf numFmtId="0" fontId="157" fillId="45" borderId="921" xfId="0" applyFont="1" applyFill="1" applyBorder="1" applyAlignment="1">
      <alignment horizontal="center" vertical="center"/>
    </xf>
    <xf numFmtId="0" fontId="157" fillId="45" borderId="63" xfId="0" applyFont="1" applyFill="1" applyBorder="1" applyAlignment="1">
      <alignment horizontal="left" vertical="center" wrapText="1"/>
    </xf>
    <xf numFmtId="0" fontId="157" fillId="45" borderId="960" xfId="0" applyFont="1" applyFill="1" applyBorder="1" applyAlignment="1">
      <alignment horizontal="left" vertical="center"/>
    </xf>
    <xf numFmtId="0" fontId="157" fillId="45" borderId="921" xfId="0" applyFont="1" applyFill="1" applyBorder="1" applyAlignment="1">
      <alignment horizontal="left" vertical="center"/>
    </xf>
    <xf numFmtId="14" fontId="157" fillId="45" borderId="131" xfId="0" applyNumberFormat="1" applyFont="1" applyFill="1" applyBorder="1" applyAlignment="1">
      <alignment horizontal="center" vertical="center"/>
    </xf>
    <xf numFmtId="0" fontId="157" fillId="45" borderId="961" xfId="0" applyFont="1" applyFill="1" applyBorder="1" applyAlignment="1">
      <alignment horizontal="center" vertical="center"/>
    </xf>
    <xf numFmtId="0" fontId="157" fillId="45" borderId="922" xfId="0" applyFont="1" applyFill="1" applyBorder="1" applyAlignment="1">
      <alignment horizontal="center" vertical="center"/>
    </xf>
    <xf numFmtId="0" fontId="157" fillId="45" borderId="120" xfId="0" applyFont="1" applyFill="1" applyBorder="1" applyAlignment="1">
      <alignment horizontal="center" vertical="center"/>
    </xf>
    <xf numFmtId="0" fontId="157" fillId="45" borderId="957" xfId="0" applyFont="1" applyFill="1" applyBorder="1" applyAlignment="1">
      <alignment horizontal="center" vertical="center"/>
    </xf>
    <xf numFmtId="0" fontId="157" fillId="45" borderId="322" xfId="0" applyFont="1" applyFill="1" applyBorder="1" applyAlignment="1">
      <alignment horizontal="center" vertical="center"/>
    </xf>
    <xf numFmtId="0" fontId="160" fillId="45" borderId="63" xfId="0" applyFont="1" applyFill="1" applyBorder="1" applyAlignment="1">
      <alignment horizontal="center" vertical="center"/>
    </xf>
    <xf numFmtId="0" fontId="160" fillId="45" borderId="960" xfId="0" applyFont="1" applyFill="1" applyBorder="1" applyAlignment="1">
      <alignment horizontal="center" vertical="center"/>
    </xf>
    <xf numFmtId="0" fontId="160" fillId="45" borderId="921" xfId="0" applyFont="1" applyFill="1" applyBorder="1" applyAlignment="1">
      <alignment horizontal="center" vertical="center"/>
    </xf>
    <xf numFmtId="0" fontId="160" fillId="45" borderId="63" xfId="0" applyFont="1" applyFill="1" applyBorder="1" applyAlignment="1">
      <alignment horizontal="center" vertical="center" wrapText="1"/>
    </xf>
    <xf numFmtId="0" fontId="160" fillId="45" borderId="960" xfId="0" applyFont="1" applyFill="1" applyBorder="1" applyAlignment="1">
      <alignment horizontal="center" vertical="center" wrapText="1"/>
    </xf>
    <xf numFmtId="0" fontId="160" fillId="45" borderId="921" xfId="0" applyFont="1" applyFill="1" applyBorder="1" applyAlignment="1">
      <alignment horizontal="center" vertical="center" wrapText="1"/>
    </xf>
    <xf numFmtId="0" fontId="160" fillId="45" borderId="120" xfId="0" applyFont="1" applyFill="1" applyBorder="1" applyAlignment="1">
      <alignment horizontal="center" vertical="center" wrapText="1"/>
    </xf>
    <xf numFmtId="0" fontId="160" fillId="45" borderId="957" xfId="0" applyFont="1" applyFill="1" applyBorder="1" applyAlignment="1">
      <alignment horizontal="center" vertical="center" wrapText="1"/>
    </xf>
    <xf numFmtId="0" fontId="160" fillId="45" borderId="322" xfId="0" applyFont="1" applyFill="1" applyBorder="1" applyAlignment="1">
      <alignment horizontal="center" vertical="center" wrapText="1"/>
    </xf>
    <xf numFmtId="0" fontId="160" fillId="45" borderId="63" xfId="0" applyFont="1" applyFill="1" applyBorder="1" applyAlignment="1">
      <alignment horizontal="left" vertical="center" wrapText="1"/>
    </xf>
    <xf numFmtId="0" fontId="160" fillId="45" borderId="960" xfId="0" applyFont="1" applyFill="1" applyBorder="1" applyAlignment="1">
      <alignment horizontal="left" vertical="center" wrapText="1"/>
    </xf>
    <xf numFmtId="0" fontId="160" fillId="45" borderId="921" xfId="0" applyFont="1" applyFill="1" applyBorder="1" applyAlignment="1">
      <alignment horizontal="left" vertical="center" wrapText="1"/>
    </xf>
    <xf numFmtId="0" fontId="163" fillId="2" borderId="63" xfId="1" applyFont="1" applyFill="1" applyBorder="1" applyAlignment="1">
      <alignment horizontal="center" vertical="center" wrapText="1"/>
    </xf>
    <xf numFmtId="0" fontId="163" fillId="2" borderId="534" xfId="1" applyFont="1" applyFill="1" applyBorder="1" applyAlignment="1">
      <alignment horizontal="center" vertical="center" wrapText="1"/>
    </xf>
    <xf numFmtId="2" fontId="160" fillId="45" borderId="103" xfId="0" applyNumberFormat="1" applyFont="1" applyFill="1" applyBorder="1" applyAlignment="1">
      <alignment horizontal="center" vertical="center" wrapText="1"/>
    </xf>
    <xf numFmtId="2" fontId="160" fillId="45" borderId="69" xfId="0" applyNumberFormat="1" applyFont="1" applyFill="1" applyBorder="1" applyAlignment="1">
      <alignment horizontal="center" vertical="center" wrapText="1"/>
    </xf>
    <xf numFmtId="2" fontId="160" fillId="45" borderId="105" xfId="0" applyNumberFormat="1" applyFont="1" applyFill="1" applyBorder="1" applyAlignment="1">
      <alignment horizontal="center" vertical="center" wrapText="1"/>
    </xf>
    <xf numFmtId="14" fontId="160" fillId="45" borderId="63" xfId="0" applyNumberFormat="1" applyFont="1" applyFill="1" applyBorder="1" applyAlignment="1">
      <alignment horizontal="center" vertical="center"/>
    </xf>
    <xf numFmtId="0" fontId="163" fillId="2" borderId="24" xfId="1" applyFont="1" applyFill="1" applyBorder="1" applyAlignment="1">
      <alignment horizontal="center" vertical="center" wrapText="1"/>
    </xf>
    <xf numFmtId="0" fontId="163" fillId="2" borderId="0" xfId="1" applyFont="1" applyFill="1" applyAlignment="1">
      <alignment horizontal="center" vertical="center" wrapText="1"/>
    </xf>
    <xf numFmtId="0" fontId="163" fillId="2" borderId="131" xfId="1" applyFont="1" applyFill="1" applyBorder="1" applyAlignment="1">
      <alignment horizontal="center" vertical="center" wrapText="1"/>
    </xf>
    <xf numFmtId="0" fontId="163" fillId="2" borderId="544" xfId="1" applyFont="1" applyFill="1" applyBorder="1" applyAlignment="1">
      <alignment horizontal="center" vertical="center" wrapText="1"/>
    </xf>
    <xf numFmtId="0" fontId="163" fillId="2" borderId="63" xfId="0" applyFont="1" applyFill="1" applyBorder="1" applyAlignment="1">
      <alignment horizontal="center" vertical="center" wrapText="1"/>
    </xf>
    <xf numFmtId="0" fontId="157" fillId="0" borderId="662" xfId="0" applyFont="1" applyBorder="1" applyAlignment="1">
      <alignment horizontal="left" vertical="center"/>
    </xf>
    <xf numFmtId="0" fontId="157" fillId="0" borderId="15" xfId="0" applyFont="1" applyBorder="1" applyAlignment="1">
      <alignment horizontal="left" vertical="center"/>
    </xf>
    <xf numFmtId="0" fontId="163" fillId="2" borderId="120" xfId="1" applyFont="1" applyFill="1" applyBorder="1" applyAlignment="1">
      <alignment horizontal="center" vertical="center" wrapText="1"/>
    </xf>
    <xf numFmtId="0" fontId="163" fillId="2" borderId="537" xfId="1" applyFont="1" applyFill="1" applyBorder="1" applyAlignment="1">
      <alignment horizontal="center" vertical="center" wrapText="1"/>
    </xf>
    <xf numFmtId="0" fontId="157" fillId="0" borderId="672" xfId="0" applyFont="1" applyBorder="1" applyAlignment="1">
      <alignment horizontal="center" vertical="center"/>
    </xf>
    <xf numFmtId="0" fontId="157" fillId="0" borderId="883" xfId="0" applyFont="1" applyBorder="1" applyAlignment="1">
      <alignment horizontal="left" vertical="center"/>
    </xf>
    <xf numFmtId="0" fontId="157" fillId="0" borderId="26" xfId="0" applyFont="1" applyBorder="1" applyAlignment="1">
      <alignment horizontal="left" vertical="center"/>
    </xf>
    <xf numFmtId="0" fontId="157" fillId="0" borderId="676" xfId="0" applyFont="1" applyBorder="1" applyAlignment="1">
      <alignment horizontal="left" vertical="center"/>
    </xf>
    <xf numFmtId="0" fontId="157" fillId="0" borderId="715" xfId="0" applyFont="1" applyBorder="1" applyAlignment="1">
      <alignment horizontal="left" vertical="center"/>
    </xf>
    <xf numFmtId="0" fontId="157" fillId="0" borderId="102" xfId="0" applyFont="1" applyBorder="1" applyAlignment="1">
      <alignment horizontal="center" vertical="center" wrapText="1"/>
    </xf>
    <xf numFmtId="0" fontId="157" fillId="0" borderId="26" xfId="0" applyFont="1" applyBorder="1" applyAlignment="1">
      <alignment horizontal="center" vertical="center" wrapText="1"/>
    </xf>
    <xf numFmtId="0" fontId="157" fillId="0" borderId="102" xfId="0" applyFont="1" applyBorder="1" applyAlignment="1">
      <alignment horizontal="center" vertical="center"/>
    </xf>
    <xf numFmtId="0" fontId="157" fillId="0" borderId="104" xfId="0" applyFont="1" applyBorder="1" applyAlignment="1">
      <alignment horizontal="center" vertical="center"/>
    </xf>
    <xf numFmtId="0" fontId="160" fillId="0" borderId="102" xfId="0" applyFont="1" applyBorder="1" applyAlignment="1">
      <alignment horizontal="center" vertical="center"/>
    </xf>
    <xf numFmtId="0" fontId="160" fillId="0" borderId="26" xfId="0" applyFont="1" applyBorder="1" applyAlignment="1">
      <alignment horizontal="center" vertical="center"/>
    </xf>
    <xf numFmtId="0" fontId="160" fillId="0" borderId="104" xfId="0" applyFont="1" applyBorder="1" applyAlignment="1">
      <alignment horizontal="center" vertical="center"/>
    </xf>
    <xf numFmtId="0" fontId="157" fillId="0" borderId="120" xfId="0" applyFont="1" applyBorder="1" applyAlignment="1">
      <alignment horizontal="center" vertical="center"/>
    </xf>
    <xf numFmtId="0" fontId="157" fillId="0" borderId="319" xfId="0" applyFont="1" applyBorder="1" applyAlignment="1">
      <alignment horizontal="center" vertical="center"/>
    </xf>
    <xf numFmtId="0" fontId="157" fillId="0" borderId="322" xfId="0" applyFont="1" applyBorder="1" applyAlignment="1">
      <alignment horizontal="center" vertical="center"/>
    </xf>
    <xf numFmtId="0" fontId="157" fillId="0" borderId="63" xfId="0" applyFont="1" applyBorder="1" applyAlignment="1">
      <alignment horizontal="center" vertical="center"/>
    </xf>
    <xf numFmtId="0" fontId="157" fillId="0" borderId="169" xfId="0" applyFont="1" applyBorder="1" applyAlignment="1">
      <alignment horizontal="center" vertical="center"/>
    </xf>
    <xf numFmtId="0" fontId="157" fillId="0" borderId="357" xfId="0" applyFont="1" applyBorder="1" applyAlignment="1">
      <alignment horizontal="center" vertical="center"/>
    </xf>
    <xf numFmtId="0" fontId="157" fillId="0" borderId="139" xfId="0" applyFont="1" applyBorder="1" applyAlignment="1">
      <alignment horizontal="center" vertical="center" wrapText="1"/>
    </xf>
    <xf numFmtId="0" fontId="157" fillId="0" borderId="76" xfId="0" applyFont="1" applyBorder="1" applyAlignment="1">
      <alignment horizontal="center" vertical="center" wrapText="1"/>
    </xf>
    <xf numFmtId="0" fontId="157" fillId="0" borderId="78" xfId="0" applyFont="1" applyBorder="1" applyAlignment="1">
      <alignment horizontal="center" vertical="center" wrapText="1"/>
    </xf>
    <xf numFmtId="14" fontId="157" fillId="0" borderId="63" xfId="0" applyNumberFormat="1" applyFont="1" applyBorder="1" applyAlignment="1">
      <alignment horizontal="center" vertical="center"/>
    </xf>
    <xf numFmtId="168" fontId="157" fillId="0" borderId="102" xfId="724" applyFont="1" applyBorder="1" applyAlignment="1">
      <alignment horizontal="center" vertical="center"/>
    </xf>
    <xf numFmtId="168" fontId="157" fillId="0" borderId="26" xfId="724" applyFont="1" applyBorder="1" applyAlignment="1">
      <alignment horizontal="center" vertical="center"/>
    </xf>
    <xf numFmtId="0" fontId="157" fillId="45" borderId="169" xfId="0" applyFont="1" applyFill="1" applyBorder="1" applyAlignment="1">
      <alignment horizontal="center" vertical="center"/>
    </xf>
    <xf numFmtId="0" fontId="157" fillId="45" borderId="357" xfId="0" applyFont="1" applyFill="1" applyBorder="1" applyAlignment="1">
      <alignment horizontal="center" vertical="center"/>
    </xf>
    <xf numFmtId="168" fontId="157" fillId="0" borderId="104" xfId="724" applyFont="1" applyBorder="1" applyAlignment="1">
      <alignment horizontal="center" vertical="center"/>
    </xf>
    <xf numFmtId="0" fontId="157" fillId="0" borderId="107" xfId="0" applyFont="1" applyBorder="1" applyAlignment="1">
      <alignment horizontal="center" vertical="center"/>
    </xf>
    <xf numFmtId="0" fontId="157" fillId="0" borderId="110" xfId="0" applyFont="1" applyBorder="1" applyAlignment="1">
      <alignment horizontal="center" vertical="center"/>
    </xf>
    <xf numFmtId="17" fontId="157" fillId="45" borderId="103" xfId="0" applyNumberFormat="1" applyFont="1" applyFill="1" applyBorder="1" applyAlignment="1">
      <alignment horizontal="center" vertical="center"/>
    </xf>
    <xf numFmtId="0" fontId="157" fillId="45" borderId="69" xfId="0" applyFont="1" applyFill="1" applyBorder="1" applyAlignment="1">
      <alignment horizontal="center" vertical="center"/>
    </xf>
    <xf numFmtId="17" fontId="157" fillId="45" borderId="131" xfId="0" applyNumberFormat="1" applyFont="1" applyFill="1" applyBorder="1" applyAlignment="1">
      <alignment horizontal="center" vertical="center"/>
    </xf>
    <xf numFmtId="0" fontId="157" fillId="45" borderId="320" xfId="0" applyFont="1" applyFill="1" applyBorder="1" applyAlignment="1">
      <alignment horizontal="center" vertical="center"/>
    </xf>
    <xf numFmtId="0" fontId="157" fillId="45" borderId="321" xfId="0" applyFont="1" applyFill="1" applyBorder="1" applyAlignment="1">
      <alignment horizontal="center" vertical="center"/>
    </xf>
    <xf numFmtId="17" fontId="157" fillId="0" borderId="131" xfId="0" applyNumberFormat="1" applyFont="1" applyBorder="1" applyAlignment="1">
      <alignment horizontal="center" vertical="center"/>
    </xf>
    <xf numFmtId="0" fontId="157" fillId="0" borderId="321" xfId="0" applyFont="1" applyBorder="1" applyAlignment="1">
      <alignment horizontal="center" vertical="center"/>
    </xf>
    <xf numFmtId="17" fontId="157" fillId="0" borderId="112" xfId="0" applyNumberFormat="1" applyFont="1" applyBorder="1" applyAlignment="1">
      <alignment horizontal="center" vertical="center"/>
    </xf>
    <xf numFmtId="15" fontId="157" fillId="45" borderId="63" xfId="0" applyNumberFormat="1" applyFont="1" applyFill="1" applyBorder="1" applyAlignment="1">
      <alignment horizontal="center" vertical="center" wrapText="1"/>
    </xf>
    <xf numFmtId="15" fontId="157" fillId="45" borderId="169" xfId="0" applyNumberFormat="1" applyFont="1" applyFill="1" applyBorder="1" applyAlignment="1">
      <alignment horizontal="center" vertical="center" wrapText="1"/>
    </xf>
    <xf numFmtId="15" fontId="157" fillId="45" borderId="357" xfId="0" applyNumberFormat="1" applyFont="1" applyFill="1" applyBorder="1" applyAlignment="1">
      <alignment horizontal="center" vertical="center" wrapText="1"/>
    </xf>
    <xf numFmtId="15" fontId="157" fillId="0" borderId="63" xfId="0" applyNumberFormat="1" applyFont="1" applyBorder="1" applyAlignment="1">
      <alignment horizontal="center" vertical="center"/>
    </xf>
    <xf numFmtId="15" fontId="157" fillId="0" borderId="357" xfId="0" applyNumberFormat="1" applyFont="1" applyBorder="1" applyAlignment="1">
      <alignment horizontal="center" vertical="center"/>
    </xf>
    <xf numFmtId="15" fontId="157" fillId="45" borderId="63" xfId="0" applyNumberFormat="1" applyFont="1" applyFill="1" applyBorder="1" applyAlignment="1">
      <alignment horizontal="center" vertical="center"/>
    </xf>
    <xf numFmtId="15" fontId="157" fillId="45" borderId="357" xfId="0" applyNumberFormat="1" applyFont="1" applyFill="1" applyBorder="1" applyAlignment="1">
      <alignment horizontal="center" vertical="center"/>
    </xf>
    <xf numFmtId="15" fontId="157" fillId="0" borderId="15" xfId="0" applyNumberFormat="1" applyFont="1" applyBorder="1" applyAlignment="1">
      <alignment horizontal="center" vertical="center"/>
    </xf>
    <xf numFmtId="0" fontId="157" fillId="45" borderId="319" xfId="0" applyFont="1" applyFill="1" applyBorder="1" applyAlignment="1">
      <alignment horizontal="center" vertical="center"/>
    </xf>
    <xf numFmtId="0" fontId="157" fillId="0" borderId="109" xfId="0" applyFont="1" applyBorder="1" applyAlignment="1">
      <alignment horizontal="center" vertical="center"/>
    </xf>
    <xf numFmtId="246" fontId="157" fillId="45" borderId="434" xfId="0" applyNumberFormat="1" applyFont="1" applyFill="1" applyBorder="1" applyAlignment="1">
      <alignment horizontal="center" vertical="center"/>
    </xf>
    <xf numFmtId="246" fontId="157" fillId="45" borderId="438" xfId="0" applyNumberFormat="1" applyFont="1" applyFill="1" applyBorder="1" applyAlignment="1">
      <alignment horizontal="center" vertical="center"/>
    </xf>
    <xf numFmtId="14" fontId="157" fillId="45" borderId="102" xfId="0" applyNumberFormat="1" applyFont="1" applyFill="1" applyBorder="1" applyAlignment="1">
      <alignment horizontal="center" vertical="center" wrapText="1"/>
    </xf>
    <xf numFmtId="14" fontId="157" fillId="45" borderId="104" xfId="0" applyNumberFormat="1" applyFont="1" applyFill="1" applyBorder="1" applyAlignment="1">
      <alignment horizontal="center" vertical="center" wrapText="1"/>
    </xf>
    <xf numFmtId="0" fontId="157" fillId="45" borderId="104" xfId="0" applyFont="1" applyFill="1" applyBorder="1" applyAlignment="1">
      <alignment horizontal="center" vertical="center" wrapText="1"/>
    </xf>
    <xf numFmtId="17" fontId="157" fillId="0" borderId="103" xfId="0" applyNumberFormat="1" applyFont="1" applyBorder="1" applyAlignment="1">
      <alignment horizontal="center" vertical="center"/>
    </xf>
    <xf numFmtId="0" fontId="157" fillId="0" borderId="69" xfId="0" applyFont="1" applyBorder="1" applyAlignment="1">
      <alignment horizontal="center" vertical="center"/>
    </xf>
    <xf numFmtId="14" fontId="157" fillId="0" borderId="102" xfId="0" applyNumberFormat="1" applyFont="1" applyBorder="1" applyAlignment="1">
      <alignment horizontal="center" vertical="center"/>
    </xf>
    <xf numFmtId="14" fontId="157" fillId="0" borderId="26" xfId="0" applyNumberFormat="1" applyFont="1" applyBorder="1" applyAlignment="1">
      <alignment horizontal="center" vertical="center"/>
    </xf>
    <xf numFmtId="0" fontId="157" fillId="0" borderId="426" xfId="0" applyFont="1" applyBorder="1" applyAlignment="1">
      <alignment horizontal="center" vertical="center"/>
    </xf>
    <xf numFmtId="17" fontId="157" fillId="0" borderId="320" xfId="0" applyNumberFormat="1" applyFont="1" applyBorder="1" applyAlignment="1">
      <alignment horizontal="center" vertical="center"/>
    </xf>
    <xf numFmtId="17" fontId="157" fillId="0" borderId="429" xfId="0" applyNumberFormat="1" applyFont="1" applyBorder="1" applyAlignment="1">
      <alignment horizontal="center" vertical="center"/>
    </xf>
    <xf numFmtId="0" fontId="157" fillId="45" borderId="102" xfId="0" applyFont="1" applyFill="1" applyBorder="1" applyAlignment="1">
      <alignment horizontal="center" vertical="center" wrapText="1"/>
    </xf>
    <xf numFmtId="0" fontId="157" fillId="45" borderId="63" xfId="0" applyFont="1" applyFill="1" applyBorder="1" applyAlignment="1">
      <alignment horizontal="center" vertical="center" wrapText="1"/>
    </xf>
    <xf numFmtId="0" fontId="157" fillId="45" borderId="357" xfId="0" applyFont="1" applyFill="1" applyBorder="1" applyAlignment="1">
      <alignment horizontal="center" vertical="center" wrapText="1"/>
    </xf>
    <xf numFmtId="0" fontId="163" fillId="2" borderId="322" xfId="1" applyFont="1" applyFill="1" applyBorder="1" applyAlignment="1">
      <alignment horizontal="center" vertical="center" wrapText="1"/>
    </xf>
    <xf numFmtId="0" fontId="163" fillId="2" borderId="357" xfId="1" applyFont="1" applyFill="1" applyBorder="1" applyAlignment="1">
      <alignment horizontal="center" vertical="center" wrapText="1"/>
    </xf>
    <xf numFmtId="0" fontId="162" fillId="0" borderId="63" xfId="0" applyFont="1" applyBorder="1" applyAlignment="1">
      <alignment horizontal="center" vertical="center" wrapText="1"/>
    </xf>
    <xf numFmtId="0" fontId="162" fillId="0" borderId="426" xfId="0" applyFont="1" applyBorder="1" applyAlignment="1">
      <alignment horizontal="center" vertical="center" wrapText="1"/>
    </xf>
    <xf numFmtId="0" fontId="157" fillId="0" borderId="107" xfId="0" applyFont="1" applyBorder="1" applyAlignment="1">
      <alignment horizontal="center" vertical="center" wrapText="1"/>
    </xf>
    <xf numFmtId="0" fontId="157" fillId="0" borderId="110" xfId="0" applyFont="1" applyBorder="1" applyAlignment="1">
      <alignment horizontal="center" vertical="center" wrapText="1"/>
    </xf>
    <xf numFmtId="0" fontId="157" fillId="45" borderId="107" xfId="0" applyFont="1" applyFill="1" applyBorder="1" applyAlignment="1">
      <alignment horizontal="center" vertical="center" wrapText="1"/>
    </xf>
    <xf numFmtId="0" fontId="157" fillId="45" borderId="108" xfId="0" applyFont="1" applyFill="1" applyBorder="1" applyAlignment="1">
      <alignment horizontal="center" vertical="center" wrapText="1"/>
    </xf>
    <xf numFmtId="246" fontId="157" fillId="0" borderId="103" xfId="0" applyNumberFormat="1" applyFont="1" applyBorder="1" applyAlignment="1">
      <alignment horizontal="center" vertical="center"/>
    </xf>
    <xf numFmtId="246" fontId="157" fillId="0" borderId="69" xfId="0" applyNumberFormat="1" applyFont="1" applyBorder="1" applyAlignment="1">
      <alignment horizontal="center" vertical="center"/>
    </xf>
    <xf numFmtId="14" fontId="157" fillId="0" borderId="102" xfId="0" applyNumberFormat="1" applyFont="1" applyBorder="1" applyAlignment="1">
      <alignment horizontal="center" vertical="center" wrapText="1"/>
    </xf>
    <xf numFmtId="14" fontId="157" fillId="0" borderId="26" xfId="0" applyNumberFormat="1" applyFont="1" applyBorder="1" applyAlignment="1">
      <alignment horizontal="center" vertical="center" wrapText="1"/>
    </xf>
    <xf numFmtId="0" fontId="163" fillId="2" borderId="321" xfId="1" applyFont="1" applyFill="1" applyBorder="1" applyAlignment="1">
      <alignment horizontal="center" vertical="center" wrapText="1"/>
    </xf>
    <xf numFmtId="0" fontId="157" fillId="0" borderId="104" xfId="0" applyFont="1" applyBorder="1" applyAlignment="1">
      <alignment horizontal="center" vertical="center" wrapText="1"/>
    </xf>
    <xf numFmtId="246" fontId="157" fillId="45" borderId="131" xfId="0" applyNumberFormat="1" applyFont="1" applyFill="1" applyBorder="1" applyAlignment="1">
      <alignment horizontal="center" vertical="center"/>
    </xf>
    <xf numFmtId="246" fontId="157" fillId="45" borderId="437" xfId="0" applyNumberFormat="1" applyFont="1" applyFill="1" applyBorder="1" applyAlignment="1">
      <alignment horizontal="center" vertical="center"/>
    </xf>
    <xf numFmtId="0" fontId="157" fillId="45" borderId="110" xfId="0" applyFont="1" applyFill="1" applyBorder="1" applyAlignment="1">
      <alignment horizontal="center" vertical="center" wrapText="1"/>
    </xf>
    <xf numFmtId="0" fontId="157" fillId="45" borderId="102" xfId="0" applyFont="1" applyFill="1" applyBorder="1" applyAlignment="1">
      <alignment horizontal="center" vertical="center"/>
    </xf>
    <xf numFmtId="0" fontId="157" fillId="45" borderId="26" xfId="0" applyFont="1" applyFill="1" applyBorder="1" applyAlignment="1">
      <alignment horizontal="center" vertical="center"/>
    </xf>
    <xf numFmtId="0" fontId="157" fillId="45" borderId="26" xfId="0" applyFont="1" applyFill="1" applyBorder="1" applyAlignment="1">
      <alignment horizontal="center" vertical="center" wrapText="1"/>
    </xf>
    <xf numFmtId="14" fontId="157" fillId="45" borderId="26" xfId="0" applyNumberFormat="1" applyFont="1" applyFill="1" applyBorder="1" applyAlignment="1">
      <alignment horizontal="center" vertical="center" wrapText="1"/>
    </xf>
    <xf numFmtId="0" fontId="157" fillId="45" borderId="436" xfId="0" applyFont="1" applyFill="1" applyBorder="1" applyAlignment="1">
      <alignment horizontal="center" vertical="center" wrapText="1"/>
    </xf>
    <xf numFmtId="0" fontId="157" fillId="0" borderId="63" xfId="0" applyFont="1" applyBorder="1" applyAlignment="1">
      <alignment horizontal="center" vertical="center" wrapText="1"/>
    </xf>
    <xf numFmtId="0" fontId="157" fillId="0" borderId="426" xfId="0" applyFont="1" applyBorder="1" applyAlignment="1">
      <alignment horizontal="center" vertical="center" wrapText="1"/>
    </xf>
    <xf numFmtId="0" fontId="157" fillId="0" borderId="427" xfId="0" applyFont="1" applyBorder="1" applyAlignment="1">
      <alignment horizontal="center" vertical="center"/>
    </xf>
    <xf numFmtId="0" fontId="157" fillId="45" borderId="104" xfId="0" applyFont="1" applyFill="1" applyBorder="1" applyAlignment="1">
      <alignment horizontal="center" vertical="center"/>
    </xf>
    <xf numFmtId="0" fontId="157" fillId="0" borderId="108" xfId="0" applyFont="1" applyBorder="1" applyAlignment="1">
      <alignment horizontal="center" vertical="center"/>
    </xf>
    <xf numFmtId="14" fontId="157" fillId="0" borderId="104" xfId="0" applyNumberFormat="1" applyFont="1" applyBorder="1" applyAlignment="1">
      <alignment horizontal="center" vertical="center"/>
    </xf>
    <xf numFmtId="17" fontId="157" fillId="0" borderId="105" xfId="0" applyNumberFormat="1" applyFont="1" applyBorder="1" applyAlignment="1">
      <alignment horizontal="center" vertical="center"/>
    </xf>
    <xf numFmtId="0" fontId="157" fillId="0" borderId="131" xfId="0" applyFont="1" applyBorder="1" applyAlignment="1">
      <alignment horizontal="center" vertical="center"/>
    </xf>
    <xf numFmtId="245" fontId="157" fillId="0" borderId="102" xfId="724" applyNumberFormat="1" applyFont="1" applyBorder="1" applyAlignment="1">
      <alignment horizontal="center" vertical="center"/>
    </xf>
    <xf numFmtId="245" fontId="157" fillId="0" borderId="26" xfId="724" applyNumberFormat="1" applyFont="1" applyBorder="1" applyAlignment="1">
      <alignment horizontal="center" vertical="center"/>
    </xf>
    <xf numFmtId="245" fontId="157" fillId="0" borderId="104" xfId="724" applyNumberFormat="1" applyFont="1" applyBorder="1" applyAlignment="1">
      <alignment horizontal="center" vertical="center"/>
    </xf>
    <xf numFmtId="2" fontId="157" fillId="0" borderId="102" xfId="0" applyNumberFormat="1" applyFont="1" applyBorder="1" applyAlignment="1">
      <alignment horizontal="center" vertical="center" wrapText="1"/>
    </xf>
    <xf numFmtId="2" fontId="157" fillId="0" borderId="26" xfId="0" applyNumberFormat="1" applyFont="1" applyBorder="1" applyAlignment="1">
      <alignment horizontal="center" vertical="center" wrapText="1"/>
    </xf>
    <xf numFmtId="2" fontId="157" fillId="0" borderId="104" xfId="0" applyNumberFormat="1" applyFont="1" applyBorder="1" applyAlignment="1">
      <alignment horizontal="center" vertical="center" wrapText="1"/>
    </xf>
    <xf numFmtId="15" fontId="157" fillId="45" borderId="436" xfId="0" applyNumberFormat="1" applyFont="1" applyFill="1" applyBorder="1" applyAlignment="1">
      <alignment horizontal="center" vertical="center" wrapText="1"/>
    </xf>
    <xf numFmtId="0" fontId="157" fillId="0" borderId="63" xfId="0" applyFont="1" applyBorder="1" applyAlignment="1">
      <alignment horizontal="left" vertical="center"/>
    </xf>
    <xf numFmtId="0" fontId="157" fillId="0" borderId="169" xfId="0" applyFont="1" applyBorder="1" applyAlignment="1">
      <alignment horizontal="left" vertical="center"/>
    </xf>
    <xf numFmtId="0" fontId="157" fillId="0" borderId="426" xfId="0" applyFont="1" applyBorder="1" applyAlignment="1">
      <alignment horizontal="left" vertical="center"/>
    </xf>
    <xf numFmtId="0" fontId="157" fillId="45" borderId="436" xfId="0" applyFont="1" applyFill="1" applyBorder="1" applyAlignment="1">
      <alignment horizontal="center" vertical="center"/>
    </xf>
    <xf numFmtId="14" fontId="157" fillId="45" borderId="102" xfId="0" applyNumberFormat="1" applyFont="1" applyFill="1" applyBorder="1" applyAlignment="1">
      <alignment horizontal="center" vertical="center"/>
    </xf>
    <xf numFmtId="14" fontId="157" fillId="0" borderId="169" xfId="0" applyNumberFormat="1" applyFont="1" applyBorder="1" applyAlignment="1">
      <alignment horizontal="center" vertical="center"/>
    </xf>
    <xf numFmtId="14" fontId="157" fillId="0" borderId="426" xfId="0" applyNumberFormat="1" applyFont="1" applyBorder="1" applyAlignment="1">
      <alignment horizontal="center" vertical="center"/>
    </xf>
    <xf numFmtId="0" fontId="157" fillId="42" borderId="120" xfId="0" applyFont="1" applyFill="1" applyBorder="1" applyAlignment="1">
      <alignment horizontal="center" vertical="center"/>
    </xf>
    <xf numFmtId="0" fontId="157" fillId="42" borderId="322" xfId="0" applyFont="1" applyFill="1" applyBorder="1" applyAlignment="1">
      <alignment horizontal="center" vertical="center"/>
    </xf>
    <xf numFmtId="0" fontId="157" fillId="42" borderId="102" xfId="0" applyFont="1" applyFill="1" applyBorder="1" applyAlignment="1">
      <alignment horizontal="center" vertical="center" wrapText="1"/>
    </xf>
    <xf numFmtId="0" fontId="157" fillId="42" borderId="104" xfId="0" applyFont="1" applyFill="1" applyBorder="1" applyAlignment="1">
      <alignment horizontal="center" vertical="center" wrapText="1"/>
    </xf>
    <xf numFmtId="0" fontId="157" fillId="42" borderId="102" xfId="0" applyFont="1" applyFill="1" applyBorder="1" applyAlignment="1">
      <alignment horizontal="center" vertical="center"/>
    </xf>
    <xf numFmtId="0" fontId="157" fillId="42" borderId="104" xfId="0" applyFont="1" applyFill="1" applyBorder="1" applyAlignment="1">
      <alignment horizontal="center" vertical="center"/>
    </xf>
    <xf numFmtId="0" fontId="157" fillId="0" borderId="436" xfId="0" applyFont="1" applyBorder="1" applyAlignment="1">
      <alignment horizontal="center" vertical="center"/>
    </xf>
    <xf numFmtId="0" fontId="157" fillId="45" borderId="107" xfId="0" applyFont="1" applyFill="1" applyBorder="1" applyAlignment="1">
      <alignment horizontal="center" vertical="center"/>
    </xf>
    <xf numFmtId="0" fontId="157" fillId="45" borderId="110" xfId="0" applyFont="1" applyFill="1" applyBorder="1" applyAlignment="1">
      <alignment horizontal="center" vertical="center"/>
    </xf>
    <xf numFmtId="0" fontId="157" fillId="45" borderId="108" xfId="0" applyFont="1" applyFill="1" applyBorder="1" applyAlignment="1">
      <alignment horizontal="center" vertical="center"/>
    </xf>
    <xf numFmtId="14" fontId="157" fillId="45" borderId="26" xfId="0" applyNumberFormat="1" applyFont="1" applyFill="1" applyBorder="1" applyAlignment="1">
      <alignment horizontal="center" vertical="center"/>
    </xf>
    <xf numFmtId="14" fontId="157" fillId="45" borderId="104" xfId="0" applyNumberFormat="1" applyFont="1" applyFill="1" applyBorder="1" applyAlignment="1">
      <alignment horizontal="center" vertical="center"/>
    </xf>
    <xf numFmtId="0" fontId="157" fillId="0" borderId="103" xfId="0" applyFont="1" applyBorder="1" applyAlignment="1">
      <alignment horizontal="center" vertical="center"/>
    </xf>
    <xf numFmtId="0" fontId="157" fillId="0" borderId="105" xfId="0" applyFont="1" applyBorder="1" applyAlignment="1">
      <alignment horizontal="center" vertical="center"/>
    </xf>
    <xf numFmtId="14" fontId="157" fillId="42" borderId="102" xfId="0" applyNumberFormat="1" applyFont="1" applyFill="1" applyBorder="1" applyAlignment="1">
      <alignment horizontal="center" vertical="center"/>
    </xf>
    <xf numFmtId="0" fontId="160" fillId="45" borderId="15" xfId="0" applyFont="1" applyFill="1" applyBorder="1" applyAlignment="1">
      <alignment horizontal="center" vertical="center" wrapText="1"/>
    </xf>
    <xf numFmtId="0" fontId="160" fillId="45" borderId="169" xfId="0" applyFont="1" applyFill="1" applyBorder="1" applyAlignment="1">
      <alignment horizontal="center" vertical="center" wrapText="1"/>
    </xf>
    <xf numFmtId="0" fontId="160" fillId="45" borderId="357" xfId="0" applyFont="1" applyFill="1" applyBorder="1" applyAlignment="1">
      <alignment horizontal="center" vertical="center" wrapText="1"/>
    </xf>
    <xf numFmtId="0" fontId="160" fillId="45" borderId="15" xfId="0" applyFont="1" applyFill="1" applyBorder="1" applyAlignment="1">
      <alignment horizontal="left" vertical="center" wrapText="1"/>
    </xf>
    <xf numFmtId="0" fontId="160" fillId="45" borderId="169" xfId="0" applyFont="1" applyFill="1" applyBorder="1" applyAlignment="1">
      <alignment horizontal="left" vertical="center" wrapText="1"/>
    </xf>
    <xf numFmtId="0" fontId="160" fillId="45" borderId="357" xfId="0" applyFont="1" applyFill="1" applyBorder="1" applyAlignment="1">
      <alignment horizontal="left" vertical="center" wrapText="1"/>
    </xf>
    <xf numFmtId="0" fontId="160" fillId="0" borderId="63" xfId="0" applyFont="1" applyBorder="1" applyAlignment="1">
      <alignment horizontal="left" vertical="center" wrapText="1"/>
    </xf>
    <xf numFmtId="0" fontId="160" fillId="0" borderId="169" xfId="0" applyFont="1" applyBorder="1" applyAlignment="1">
      <alignment horizontal="left" vertical="center" wrapText="1"/>
    </xf>
    <xf numFmtId="0" fontId="160" fillId="0" borderId="357" xfId="0" applyFont="1" applyBorder="1" applyAlignment="1">
      <alignment horizontal="left" vertical="center" wrapText="1"/>
    </xf>
    <xf numFmtId="0" fontId="160" fillId="0" borderId="63" xfId="0" applyFont="1" applyBorder="1" applyAlignment="1">
      <alignment horizontal="center" vertical="center" wrapText="1"/>
    </xf>
    <xf numFmtId="0" fontId="160" fillId="0" borderId="169" xfId="0" applyFont="1" applyBorder="1" applyAlignment="1">
      <alignment horizontal="center" vertical="center" wrapText="1"/>
    </xf>
    <xf numFmtId="0" fontId="160" fillId="0" borderId="357" xfId="0" applyFont="1" applyBorder="1" applyAlignment="1">
      <alignment horizontal="center" vertical="center" wrapText="1"/>
    </xf>
    <xf numFmtId="14" fontId="160" fillId="45" borderId="63" xfId="0" applyNumberFormat="1" applyFont="1" applyFill="1" applyBorder="1" applyAlignment="1">
      <alignment horizontal="center" vertical="center" wrapText="1"/>
    </xf>
    <xf numFmtId="0" fontId="160" fillId="0" borderId="63" xfId="0" applyFont="1" applyBorder="1" applyAlignment="1">
      <alignment horizontal="center" vertical="center"/>
    </xf>
    <xf numFmtId="0" fontId="160" fillId="0" borderId="169" xfId="0" applyFont="1" applyBorder="1" applyAlignment="1">
      <alignment horizontal="center" vertical="center"/>
    </xf>
    <xf numFmtId="0" fontId="160" fillId="0" borderId="357" xfId="0" applyFont="1" applyBorder="1" applyAlignment="1">
      <alignment horizontal="center" vertical="center"/>
    </xf>
    <xf numFmtId="14" fontId="160" fillId="0" borderId="63" xfId="0" applyNumberFormat="1" applyFont="1" applyBorder="1" applyAlignment="1">
      <alignment horizontal="center" vertical="center"/>
    </xf>
    <xf numFmtId="0" fontId="160" fillId="45" borderId="109" xfId="0" applyFont="1" applyFill="1" applyBorder="1" applyAlignment="1">
      <alignment horizontal="center" vertical="center" wrapText="1"/>
    </xf>
    <xf numFmtId="0" fontId="160" fillId="45" borderId="319" xfId="0" applyFont="1" applyFill="1" applyBorder="1" applyAlignment="1">
      <alignment horizontal="center" vertical="center" wrapText="1"/>
    </xf>
    <xf numFmtId="0" fontId="160" fillId="0" borderId="120" xfId="0" applyFont="1" applyBorder="1" applyAlignment="1">
      <alignment horizontal="center" vertical="center" wrapText="1"/>
    </xf>
    <xf numFmtId="0" fontId="160" fillId="0" borderId="319" xfId="0" applyFont="1" applyBorder="1" applyAlignment="1">
      <alignment horizontal="center" vertical="center" wrapText="1"/>
    </xf>
    <xf numFmtId="0" fontId="160" fillId="0" borderId="322" xfId="0" applyFont="1" applyBorder="1" applyAlignment="1">
      <alignment horizontal="center" vertical="center" wrapText="1"/>
    </xf>
    <xf numFmtId="17" fontId="160" fillId="45" borderId="112" xfId="0" applyNumberFormat="1" applyFont="1" applyFill="1" applyBorder="1" applyAlignment="1">
      <alignment horizontal="center" vertical="center" wrapText="1"/>
    </xf>
    <xf numFmtId="0" fontId="160" fillId="45" borderId="320" xfId="0" applyFont="1" applyFill="1" applyBorder="1" applyAlignment="1">
      <alignment horizontal="center" vertical="center" wrapText="1"/>
    </xf>
    <xf numFmtId="0" fontId="160" fillId="45" borderId="321" xfId="0" applyFont="1" applyFill="1" applyBorder="1" applyAlignment="1">
      <alignment horizontal="center" vertical="center" wrapText="1"/>
    </xf>
    <xf numFmtId="17" fontId="160" fillId="0" borderId="131" xfId="0" applyNumberFormat="1" applyFont="1" applyBorder="1" applyAlignment="1">
      <alignment horizontal="center" vertical="center" wrapText="1"/>
    </xf>
    <xf numFmtId="0" fontId="160" fillId="0" borderId="320" xfId="0" applyFont="1" applyBorder="1" applyAlignment="1">
      <alignment horizontal="center" vertical="center" wrapText="1"/>
    </xf>
    <xf numFmtId="0" fontId="160" fillId="0" borderId="321" xfId="0" applyFont="1" applyBorder="1" applyAlignment="1">
      <alignment horizontal="center" vertical="center" wrapText="1"/>
    </xf>
    <xf numFmtId="0" fontId="160" fillId="0" borderId="102" xfId="0" applyFont="1" applyBorder="1" applyAlignment="1">
      <alignment horizontal="center" vertical="center" wrapText="1"/>
    </xf>
    <xf numFmtId="0" fontId="160" fillId="0" borderId="26" xfId="0" applyFont="1" applyBorder="1" applyAlignment="1">
      <alignment horizontal="center" vertical="center" wrapText="1"/>
    </xf>
    <xf numFmtId="0" fontId="160" fillId="0" borderId="104" xfId="0" applyFont="1" applyBorder="1" applyAlignment="1">
      <alignment horizontal="center" vertical="center" wrapText="1"/>
    </xf>
    <xf numFmtId="14" fontId="160" fillId="45" borderId="15" xfId="0" applyNumberFormat="1" applyFont="1" applyFill="1" applyBorder="1" applyAlignment="1">
      <alignment horizontal="center" vertical="center" wrapText="1"/>
    </xf>
    <xf numFmtId="0" fontId="160" fillId="45" borderId="102" xfId="0" applyFont="1" applyFill="1" applyBorder="1" applyAlignment="1">
      <alignment horizontal="center" vertical="center" wrapText="1"/>
    </xf>
    <xf numFmtId="0" fontId="160" fillId="45" borderId="26" xfId="0" applyFont="1" applyFill="1" applyBorder="1" applyAlignment="1">
      <alignment horizontal="center" vertical="center" wrapText="1"/>
    </xf>
    <xf numFmtId="0" fontId="160" fillId="45" borderId="104" xfId="0" applyFont="1" applyFill="1" applyBorder="1" applyAlignment="1">
      <alignment horizontal="center" vertical="center" wrapText="1"/>
    </xf>
    <xf numFmtId="0" fontId="160" fillId="45" borderId="169" xfId="0" applyFont="1" applyFill="1" applyBorder="1" applyAlignment="1">
      <alignment horizontal="center" vertical="center"/>
    </xf>
    <xf numFmtId="0" fontId="160" fillId="45" borderId="357" xfId="0" applyFont="1" applyFill="1" applyBorder="1" applyAlignment="1">
      <alignment horizontal="center" vertical="center"/>
    </xf>
    <xf numFmtId="0" fontId="160" fillId="45" borderId="15" xfId="0" applyFont="1" applyFill="1" applyBorder="1" applyAlignment="1">
      <alignment horizontal="center" vertical="center"/>
    </xf>
    <xf numFmtId="14" fontId="160" fillId="45" borderId="15" xfId="0" applyNumberFormat="1" applyFont="1" applyFill="1" applyBorder="1" applyAlignment="1">
      <alignment horizontal="center" vertical="center"/>
    </xf>
    <xf numFmtId="0" fontId="157" fillId="0" borderId="947" xfId="0" applyFont="1" applyBorder="1" applyAlignment="1">
      <alignment horizontal="center" vertical="center"/>
    </xf>
    <xf numFmtId="0" fontId="157" fillId="0" borderId="957" xfId="0" applyFont="1" applyBorder="1" applyAlignment="1">
      <alignment horizontal="center" vertical="center"/>
    </xf>
    <xf numFmtId="0" fontId="157" fillId="0" borderId="948" xfId="0" applyFont="1" applyBorder="1" applyAlignment="1">
      <alignment horizontal="center" vertical="center"/>
    </xf>
    <xf numFmtId="0" fontId="157" fillId="0" borderId="942" xfId="0" applyFont="1" applyBorder="1" applyAlignment="1">
      <alignment horizontal="center" vertical="center"/>
    </xf>
    <xf numFmtId="0" fontId="157" fillId="0" borderId="921" xfId="0" applyFont="1" applyBorder="1" applyAlignment="1">
      <alignment horizontal="center" vertical="center"/>
    </xf>
    <xf numFmtId="17" fontId="160" fillId="0" borderId="949" xfId="0" applyNumberFormat="1" applyFont="1" applyBorder="1" applyAlignment="1">
      <alignment horizontal="center" vertical="center" wrapText="1"/>
    </xf>
    <xf numFmtId="0" fontId="160" fillId="0" borderId="943" xfId="0" applyFont="1" applyBorder="1" applyAlignment="1">
      <alignment horizontal="center" vertical="center" wrapText="1"/>
    </xf>
    <xf numFmtId="0" fontId="160" fillId="0" borderId="922" xfId="0" applyFont="1" applyBorder="1" applyAlignment="1">
      <alignment horizontal="center" vertical="center" wrapText="1"/>
    </xf>
    <xf numFmtId="0" fontId="157" fillId="0" borderId="956" xfId="0" applyFont="1" applyBorder="1" applyAlignment="1">
      <alignment horizontal="center" vertical="center"/>
    </xf>
    <xf numFmtId="0" fontId="157" fillId="0" borderId="15" xfId="0" applyFont="1" applyBorder="1" applyAlignment="1">
      <alignment horizontal="left" vertical="center" wrapText="1"/>
    </xf>
    <xf numFmtId="0" fontId="157" fillId="0" borderId="357" xfId="0" applyFont="1" applyBorder="1" applyAlignment="1">
      <alignment horizontal="left" vertical="center" wrapText="1"/>
    </xf>
    <xf numFmtId="14" fontId="157" fillId="0" borderId="63" xfId="0" applyNumberFormat="1" applyFont="1" applyBorder="1" applyAlignment="1">
      <alignment horizontal="left" vertical="center" wrapText="1"/>
    </xf>
    <xf numFmtId="14" fontId="157" fillId="0" borderId="357" xfId="0" applyNumberFormat="1" applyFont="1" applyBorder="1" applyAlignment="1">
      <alignment horizontal="left" vertical="center" wrapText="1"/>
    </xf>
    <xf numFmtId="0" fontId="157" fillId="0" borderId="63" xfId="0" applyFont="1" applyBorder="1" applyAlignment="1">
      <alignment horizontal="left" vertical="center" wrapText="1"/>
    </xf>
    <xf numFmtId="14" fontId="157" fillId="0" borderId="15" xfId="0" applyNumberFormat="1" applyFont="1" applyBorder="1" applyAlignment="1">
      <alignment horizontal="left" vertical="center" wrapText="1"/>
    </xf>
    <xf numFmtId="14" fontId="157" fillId="0" borderId="104" xfId="0" applyNumberFormat="1" applyFont="1" applyBorder="1" applyAlignment="1">
      <alignment horizontal="center" vertical="center" wrapText="1"/>
    </xf>
    <xf numFmtId="0" fontId="157" fillId="0" borderId="107" xfId="0" applyFont="1" applyBorder="1" applyAlignment="1">
      <alignment horizontal="left" vertical="center" wrapText="1"/>
    </xf>
    <xf numFmtId="0" fontId="157" fillId="0" borderId="110" xfId="0" applyFont="1" applyBorder="1" applyAlignment="1">
      <alignment horizontal="left" vertical="center" wrapText="1"/>
    </xf>
    <xf numFmtId="0" fontId="157" fillId="0" borderId="102" xfId="0" applyFont="1" applyBorder="1" applyAlignment="1">
      <alignment horizontal="left" vertical="center" wrapText="1"/>
    </xf>
    <xf numFmtId="0" fontId="157" fillId="0" borderId="26" xfId="0" applyFont="1" applyBorder="1" applyAlignment="1">
      <alignment horizontal="left" vertical="center" wrapText="1"/>
    </xf>
    <xf numFmtId="0" fontId="157" fillId="0" borderId="104" xfId="0" applyFont="1" applyBorder="1" applyAlignment="1">
      <alignment horizontal="left" vertical="center" wrapText="1"/>
    </xf>
    <xf numFmtId="0" fontId="157" fillId="0" borderId="120" xfId="0" applyFont="1" applyBorder="1" applyAlignment="1">
      <alignment horizontal="left" vertical="center" wrapText="1"/>
    </xf>
    <xf numFmtId="0" fontId="157" fillId="0" borderId="322" xfId="0" applyFont="1" applyBorder="1" applyAlignment="1">
      <alignment horizontal="left" vertical="center" wrapText="1"/>
    </xf>
    <xf numFmtId="0" fontId="157" fillId="0" borderId="109" xfId="0" applyFont="1" applyBorder="1" applyAlignment="1">
      <alignment horizontal="left" vertical="center" wrapText="1"/>
    </xf>
    <xf numFmtId="0" fontId="157" fillId="0" borderId="108" xfId="0" applyFont="1" applyBorder="1" applyAlignment="1">
      <alignment horizontal="left" vertical="center" wrapText="1"/>
    </xf>
    <xf numFmtId="0" fontId="157" fillId="0" borderId="319" xfId="0" applyFont="1" applyBorder="1" applyAlignment="1">
      <alignment horizontal="left" vertical="center" wrapText="1"/>
    </xf>
    <xf numFmtId="0" fontId="157" fillId="0" borderId="169" xfId="0" applyFont="1" applyBorder="1" applyAlignment="1">
      <alignment horizontal="left" vertical="center" wrapText="1"/>
    </xf>
    <xf numFmtId="14" fontId="157" fillId="0" borderId="26" xfId="0" applyNumberFormat="1" applyFont="1" applyBorder="1" applyAlignment="1">
      <alignment horizontal="left" vertical="center" wrapText="1"/>
    </xf>
    <xf numFmtId="14" fontId="157" fillId="0" borderId="104" xfId="0" applyNumberFormat="1" applyFont="1" applyBorder="1" applyAlignment="1">
      <alignment horizontal="left" vertical="center" wrapText="1"/>
    </xf>
    <xf numFmtId="0" fontId="157" fillId="0" borderId="426" xfId="0" applyFont="1" applyBorder="1" applyAlignment="1">
      <alignment horizontal="left" vertical="center" wrapText="1"/>
    </xf>
    <xf numFmtId="246" fontId="157" fillId="0" borderId="103" xfId="0" applyNumberFormat="1" applyFont="1" applyBorder="1" applyAlignment="1">
      <alignment horizontal="left" vertical="center"/>
    </xf>
    <xf numFmtId="246" fontId="157" fillId="0" borderId="69" xfId="0" applyNumberFormat="1" applyFont="1" applyBorder="1" applyAlignment="1">
      <alignment horizontal="left" vertical="center"/>
    </xf>
    <xf numFmtId="246" fontId="157" fillId="0" borderId="105" xfId="0" applyNumberFormat="1" applyFont="1" applyBorder="1" applyAlignment="1">
      <alignment horizontal="left" vertical="center"/>
    </xf>
    <xf numFmtId="2" fontId="157" fillId="0" borderId="102" xfId="2305" applyNumberFormat="1" applyFont="1" applyBorder="1" applyAlignment="1">
      <alignment horizontal="left" vertical="center"/>
    </xf>
    <xf numFmtId="2" fontId="157" fillId="0" borderId="26" xfId="2305" applyNumberFormat="1" applyFont="1" applyBorder="1" applyAlignment="1">
      <alignment horizontal="left" vertical="center"/>
    </xf>
    <xf numFmtId="2" fontId="157" fillId="0" borderId="15" xfId="2305" applyNumberFormat="1" applyFont="1" applyBorder="1" applyAlignment="1">
      <alignment horizontal="left" vertical="center"/>
    </xf>
    <xf numFmtId="2" fontId="157" fillId="0" borderId="426" xfId="2305" applyNumberFormat="1" applyFont="1" applyBorder="1" applyAlignment="1">
      <alignment horizontal="left" vertical="center"/>
    </xf>
    <xf numFmtId="2" fontId="157" fillId="0" borderId="104" xfId="2305" applyNumberFormat="1" applyFont="1" applyBorder="1" applyAlignment="1">
      <alignment horizontal="left" vertical="center"/>
    </xf>
    <xf numFmtId="0" fontId="157" fillId="0" borderId="169" xfId="0" applyFont="1" applyBorder="1" applyAlignment="1">
      <alignment horizontal="center" vertical="center" wrapText="1"/>
    </xf>
    <xf numFmtId="0" fontId="157" fillId="0" borderId="357" xfId="0" applyFont="1" applyBorder="1" applyAlignment="1">
      <alignment horizontal="center" vertical="center" wrapText="1"/>
    </xf>
    <xf numFmtId="14" fontId="157" fillId="0" borderId="102" xfId="0" applyNumberFormat="1" applyFont="1" applyBorder="1" applyAlignment="1">
      <alignment horizontal="left" vertical="center" wrapText="1"/>
    </xf>
    <xf numFmtId="9" fontId="157" fillId="0" borderId="102" xfId="0" applyNumberFormat="1" applyFont="1" applyBorder="1" applyAlignment="1">
      <alignment horizontal="left" vertical="center" wrapText="1"/>
    </xf>
    <xf numFmtId="9" fontId="157" fillId="0" borderId="26" xfId="0" applyNumberFormat="1" applyFont="1" applyBorder="1" applyAlignment="1">
      <alignment horizontal="left" vertical="center" wrapText="1"/>
    </xf>
    <xf numFmtId="9" fontId="157" fillId="0" borderId="104" xfId="0" applyNumberFormat="1" applyFont="1" applyBorder="1" applyAlignment="1">
      <alignment horizontal="left" vertical="center" wrapText="1"/>
    </xf>
    <xf numFmtId="246" fontId="157" fillId="0" borderId="131" xfId="0" applyNumberFormat="1" applyFont="1" applyBorder="1" applyAlignment="1">
      <alignment horizontal="left" vertical="center"/>
    </xf>
    <xf numFmtId="246" fontId="157" fillId="0" borderId="321" xfId="0" applyNumberFormat="1" applyFont="1" applyBorder="1" applyAlignment="1">
      <alignment horizontal="left" vertical="center"/>
    </xf>
    <xf numFmtId="14" fontId="163" fillId="2" borderId="63" xfId="1" applyNumberFormat="1" applyFont="1" applyFill="1" applyBorder="1" applyAlignment="1">
      <alignment horizontal="center" vertical="center" wrapText="1"/>
    </xf>
    <xf numFmtId="14" fontId="163" fillId="2" borderId="357" xfId="1" applyNumberFormat="1" applyFont="1" applyFill="1" applyBorder="1" applyAlignment="1">
      <alignment horizontal="center" vertical="center" wrapText="1"/>
    </xf>
    <xf numFmtId="0" fontId="157" fillId="45" borderId="169" xfId="0" applyFont="1" applyFill="1" applyBorder="1" applyAlignment="1">
      <alignment horizontal="left" vertical="center" wrapText="1"/>
    </xf>
    <xf numFmtId="0" fontId="163" fillId="2" borderId="430" xfId="1" applyFont="1" applyFill="1" applyBorder="1" applyAlignment="1">
      <alignment horizontal="center" vertical="center" wrapText="1"/>
    </xf>
    <xf numFmtId="0" fontId="163" fillId="2" borderId="435" xfId="1" applyFont="1" applyFill="1" applyBorder="1" applyAlignment="1">
      <alignment horizontal="center" vertical="center" wrapText="1"/>
    </xf>
    <xf numFmtId="0" fontId="163" fillId="2" borderId="136" xfId="1" applyFont="1" applyFill="1" applyBorder="1" applyAlignment="1">
      <alignment horizontal="center" vertical="center" wrapText="1"/>
    </xf>
    <xf numFmtId="0" fontId="163" fillId="2" borderId="63" xfId="1" applyFont="1" applyFill="1" applyBorder="1" applyAlignment="1">
      <alignment horizontal="left" vertical="center" wrapText="1"/>
    </xf>
    <xf numFmtId="0" fontId="163" fillId="2" borderId="357" xfId="1" applyFont="1" applyFill="1" applyBorder="1" applyAlignment="1">
      <alignment horizontal="left" vertical="center" wrapText="1"/>
    </xf>
    <xf numFmtId="1" fontId="157" fillId="0" borderId="107" xfId="0" applyNumberFormat="1" applyFont="1" applyBorder="1" applyAlignment="1">
      <alignment horizontal="left" vertical="center" wrapText="1"/>
    </xf>
    <xf numFmtId="1" fontId="157" fillId="0" borderId="110" xfId="0" applyNumberFormat="1" applyFont="1" applyBorder="1" applyAlignment="1">
      <alignment horizontal="left" vertical="center" wrapText="1"/>
    </xf>
    <xf numFmtId="1" fontId="157" fillId="0" borderId="108" xfId="0" applyNumberFormat="1" applyFont="1" applyBorder="1" applyAlignment="1">
      <alignment horizontal="left" vertical="center" wrapText="1"/>
    </xf>
    <xf numFmtId="2" fontId="157" fillId="0" borderId="102" xfId="0" applyNumberFormat="1" applyFont="1" applyBorder="1" applyAlignment="1">
      <alignment horizontal="left" vertical="center" wrapText="1"/>
    </xf>
    <xf numFmtId="2" fontId="157" fillId="0" borderId="26" xfId="0" applyNumberFormat="1" applyFont="1" applyBorder="1" applyAlignment="1">
      <alignment horizontal="left" vertical="center" wrapText="1"/>
    </xf>
    <xf numFmtId="2" fontId="157" fillId="0" borderId="104" xfId="0" applyNumberFormat="1" applyFont="1" applyBorder="1" applyAlignment="1">
      <alignment horizontal="left" vertical="center" wrapText="1"/>
    </xf>
    <xf numFmtId="2" fontId="157" fillId="0" borderId="103" xfId="0" applyNumberFormat="1" applyFont="1" applyBorder="1" applyAlignment="1">
      <alignment horizontal="center" vertical="center"/>
    </xf>
    <xf numFmtId="2" fontId="157" fillId="0" borderId="69" xfId="0" applyNumberFormat="1" applyFont="1" applyBorder="1" applyAlignment="1">
      <alignment horizontal="center" vertical="center"/>
    </xf>
    <xf numFmtId="2" fontId="157" fillId="0" borderId="105" xfId="0" applyNumberFormat="1" applyFont="1" applyBorder="1" applyAlignment="1">
      <alignment horizontal="center" vertical="center"/>
    </xf>
    <xf numFmtId="2" fontId="162" fillId="0" borderId="102" xfId="0" applyNumberFormat="1" applyFont="1" applyBorder="1" applyAlignment="1">
      <alignment horizontal="left" vertical="center" wrapText="1"/>
    </xf>
    <xf numFmtId="2" fontId="162" fillId="0" borderId="26" xfId="0" applyNumberFormat="1" applyFont="1" applyBorder="1" applyAlignment="1">
      <alignment horizontal="left" vertical="center" wrapText="1"/>
    </xf>
    <xf numFmtId="2" fontId="162" fillId="0" borderId="104" xfId="0" applyNumberFormat="1" applyFont="1" applyBorder="1" applyAlignment="1">
      <alignment horizontal="left" vertical="center" wrapText="1"/>
    </xf>
    <xf numFmtId="0" fontId="157" fillId="0" borderId="24" xfId="0" applyFont="1" applyBorder="1" applyAlignment="1">
      <alignment horizontal="center" vertical="center" wrapText="1"/>
    </xf>
    <xf numFmtId="0" fontId="157" fillId="0" borderId="142" xfId="0" applyFont="1" applyBorder="1" applyAlignment="1">
      <alignment horizontal="center" vertical="center" wrapText="1"/>
    </xf>
    <xf numFmtId="246" fontId="157" fillId="0" borderId="112" xfId="0" applyNumberFormat="1" applyFont="1" applyBorder="1" applyAlignment="1">
      <alignment horizontal="left" vertical="center"/>
    </xf>
    <xf numFmtId="1" fontId="157" fillId="0" borderId="107" xfId="0" applyNumberFormat="1" applyFont="1" applyBorder="1" applyAlignment="1">
      <alignment horizontal="center" vertical="center" wrapText="1"/>
    </xf>
    <xf numFmtId="1" fontId="157" fillId="0" borderId="110" xfId="0" applyNumberFormat="1" applyFont="1" applyBorder="1" applyAlignment="1">
      <alignment horizontal="center" vertical="center" wrapText="1"/>
    </xf>
    <xf numFmtId="1" fontId="157" fillId="0" borderId="108" xfId="0" applyNumberFormat="1" applyFont="1" applyBorder="1" applyAlignment="1">
      <alignment horizontal="center" vertical="center" wrapText="1"/>
    </xf>
    <xf numFmtId="0" fontId="0" fillId="0" borderId="212" xfId="0" applyBorder="1" applyAlignment="1">
      <alignment horizontal="center" vertical="center" wrapText="1"/>
    </xf>
    <xf numFmtId="0" fontId="0" fillId="0" borderId="26" xfId="0" applyBorder="1" applyAlignment="1">
      <alignment horizontal="center" vertical="center" wrapText="1"/>
    </xf>
    <xf numFmtId="0" fontId="0" fillId="0" borderId="15" xfId="0" applyBorder="1" applyAlignment="1">
      <alignment horizontal="center" vertical="center" wrapText="1"/>
    </xf>
    <xf numFmtId="17" fontId="0" fillId="0" borderId="212" xfId="0" applyNumberFormat="1" applyBorder="1" applyAlignment="1">
      <alignment horizontal="center" vertical="center" wrapText="1"/>
    </xf>
    <xf numFmtId="17" fontId="0" fillId="0" borderId="26" xfId="0" applyNumberFormat="1" applyBorder="1" applyAlignment="1">
      <alignment horizontal="center" vertical="center" wrapText="1"/>
    </xf>
    <xf numFmtId="17" fontId="0" fillId="0" borderId="15" xfId="0" applyNumberFormat="1" applyBorder="1" applyAlignment="1">
      <alignment horizontal="center" vertical="center" wrapText="1"/>
    </xf>
    <xf numFmtId="17" fontId="0" fillId="45" borderId="212" xfId="0" applyNumberFormat="1" applyFill="1" applyBorder="1" applyAlignment="1">
      <alignment horizontal="center" vertical="center" wrapText="1"/>
    </xf>
    <xf numFmtId="17" fontId="0" fillId="45" borderId="26" xfId="0" applyNumberFormat="1" applyFill="1" applyBorder="1" applyAlignment="1">
      <alignment horizontal="center" vertical="center" wrapText="1"/>
    </xf>
    <xf numFmtId="17" fontId="0" fillId="45" borderId="15" xfId="0" applyNumberFormat="1" applyFill="1" applyBorder="1" applyAlignment="1">
      <alignment horizontal="center" vertical="center" wrapText="1"/>
    </xf>
    <xf numFmtId="0" fontId="0" fillId="45" borderId="169" xfId="0" applyFill="1" applyBorder="1" applyAlignment="1">
      <alignment horizontal="center" vertical="center" wrapText="1"/>
    </xf>
    <xf numFmtId="2" fontId="0" fillId="45" borderId="169" xfId="0" applyNumberFormat="1" applyFill="1" applyBorder="1" applyAlignment="1">
      <alignment horizontal="center" vertical="center" wrapText="1"/>
    </xf>
    <xf numFmtId="0" fontId="0" fillId="0" borderId="169" xfId="0" applyBorder="1" applyAlignment="1">
      <alignment horizontal="center" vertical="center" wrapText="1"/>
    </xf>
    <xf numFmtId="168" fontId="0" fillId="0" borderId="169" xfId="0" applyNumberFormat="1" applyBorder="1" applyAlignment="1">
      <alignment horizontal="center" vertical="center" wrapText="1"/>
    </xf>
    <xf numFmtId="0" fontId="0" fillId="0" borderId="169" xfId="0" applyBorder="1" applyAlignment="1">
      <alignment horizontal="left" vertical="center" wrapText="1"/>
    </xf>
    <xf numFmtId="14" fontId="0" fillId="45" borderId="169" xfId="0" applyNumberFormat="1" applyFill="1" applyBorder="1" applyAlignment="1">
      <alignment horizontal="center" vertical="center" wrapText="1"/>
    </xf>
    <xf numFmtId="14" fontId="0" fillId="0" borderId="169" xfId="0" applyNumberFormat="1" applyBorder="1" applyAlignment="1">
      <alignment horizontal="center" vertical="center" wrapText="1"/>
    </xf>
    <xf numFmtId="0" fontId="157" fillId="45" borderId="169" xfId="0" applyFont="1" applyFill="1" applyBorder="1" applyAlignment="1">
      <alignment horizontal="center" vertical="center" wrapText="1"/>
    </xf>
    <xf numFmtId="9" fontId="0" fillId="0" borderId="169" xfId="0" applyNumberFormat="1" applyBorder="1" applyAlignment="1">
      <alignment horizontal="center" vertical="center" wrapText="1"/>
    </xf>
    <xf numFmtId="0" fontId="87" fillId="2" borderId="63" xfId="1" applyFont="1" applyFill="1" applyBorder="1" applyAlignment="1">
      <alignment horizontal="center" vertical="center" wrapText="1"/>
    </xf>
    <xf numFmtId="0" fontId="87" fillId="2" borderId="64" xfId="1" applyFont="1" applyFill="1" applyBorder="1" applyAlignment="1">
      <alignment horizontal="center" vertical="center" wrapText="1"/>
    </xf>
    <xf numFmtId="17" fontId="0" fillId="0" borderId="102" xfId="0" applyNumberFormat="1" applyBorder="1" applyAlignment="1">
      <alignment horizontal="center" vertical="center" wrapText="1"/>
    </xf>
    <xf numFmtId="0" fontId="87" fillId="2" borderId="131" xfId="1" applyFont="1" applyFill="1" applyBorder="1" applyAlignment="1">
      <alignment horizontal="center" vertical="center" wrapText="1"/>
    </xf>
    <xf numFmtId="0" fontId="87" fillId="2" borderId="133" xfId="1" applyFont="1" applyFill="1" applyBorder="1" applyAlignment="1">
      <alignment horizontal="center" vertical="center" wrapText="1"/>
    </xf>
    <xf numFmtId="14" fontId="87" fillId="2" borderId="63" xfId="1" applyNumberFormat="1" applyFont="1" applyFill="1" applyBorder="1" applyAlignment="1">
      <alignment horizontal="center" vertical="center" wrapText="1"/>
    </xf>
    <xf numFmtId="14" fontId="87" fillId="2" borderId="64" xfId="1" applyNumberFormat="1" applyFont="1" applyFill="1" applyBorder="1" applyAlignment="1">
      <alignment horizontal="center" vertical="center" wrapText="1"/>
    </xf>
    <xf numFmtId="0" fontId="90" fillId="2" borderId="63" xfId="0" applyFont="1" applyFill="1" applyBorder="1" applyAlignment="1">
      <alignment horizontal="center" vertical="center" wrapText="1"/>
    </xf>
    <xf numFmtId="168" fontId="0" fillId="0" borderId="15" xfId="0" applyNumberFormat="1" applyBorder="1" applyAlignment="1">
      <alignment horizontal="center" vertical="center" wrapText="1"/>
    </xf>
    <xf numFmtId="14" fontId="0" fillId="0" borderId="15" xfId="0" applyNumberFormat="1" applyBorder="1" applyAlignment="1">
      <alignment horizontal="center" vertical="center" wrapText="1"/>
    </xf>
    <xf numFmtId="14" fontId="0" fillId="0" borderId="426" xfId="0" applyNumberFormat="1" applyBorder="1" applyAlignment="1">
      <alignment horizontal="center" vertical="center" wrapText="1"/>
    </xf>
    <xf numFmtId="0" fontId="87" fillId="2" borderId="120" xfId="1" applyFont="1" applyFill="1" applyBorder="1" applyAlignment="1">
      <alignment horizontal="center" vertical="center" wrapText="1"/>
    </xf>
    <xf numFmtId="0" fontId="87" fillId="2" borderId="122" xfId="1" applyFont="1" applyFill="1" applyBorder="1" applyAlignment="1">
      <alignment horizontal="center" vertical="center" wrapText="1"/>
    </xf>
    <xf numFmtId="0" fontId="163" fillId="0" borderId="960" xfId="0" applyFont="1" applyBorder="1" applyAlignment="1">
      <alignment horizontal="center"/>
    </xf>
    <xf numFmtId="0" fontId="163" fillId="2" borderId="960" xfId="1" applyFont="1" applyFill="1" applyBorder="1" applyAlignment="1">
      <alignment horizontal="center" vertical="center" wrapText="1"/>
    </xf>
    <xf numFmtId="0" fontId="163" fillId="2" borderId="960" xfId="0" applyFont="1" applyFill="1" applyBorder="1" applyAlignment="1">
      <alignment horizontal="center" vertical="center" wrapText="1"/>
    </xf>
    <xf numFmtId="10" fontId="157" fillId="0" borderId="960" xfId="0" applyNumberFormat="1" applyFont="1" applyBorder="1" applyAlignment="1">
      <alignment horizontal="center" vertical="center"/>
    </xf>
    <xf numFmtId="10" fontId="157" fillId="0" borderId="960" xfId="725" applyNumberFormat="1" applyFont="1" applyFill="1" applyBorder="1" applyAlignment="1">
      <alignment horizontal="center" vertical="center"/>
    </xf>
    <xf numFmtId="168" fontId="165" fillId="0" borderId="103" xfId="724" applyFont="1" applyBorder="1" applyAlignment="1">
      <alignment horizontal="center" vertical="center" wrapText="1"/>
    </xf>
    <xf numFmtId="168" fontId="165" fillId="0" borderId="69" xfId="724" applyFont="1" applyBorder="1" applyAlignment="1">
      <alignment horizontal="center" vertical="center" wrapText="1"/>
    </xf>
    <xf numFmtId="168" fontId="165" fillId="0" borderId="105" xfId="724" applyFont="1" applyBorder="1" applyAlignment="1">
      <alignment horizontal="center" vertical="center" wrapText="1"/>
    </xf>
    <xf numFmtId="0" fontId="165" fillId="0" borderId="120" xfId="0" applyFont="1" applyBorder="1" applyAlignment="1">
      <alignment horizontal="center" vertical="center" wrapText="1"/>
    </xf>
    <xf numFmtId="0" fontId="165" fillId="0" borderId="319" xfId="0" applyFont="1" applyBorder="1" applyAlignment="1">
      <alignment horizontal="center" vertical="center" wrapText="1"/>
    </xf>
    <xf numFmtId="0" fontId="165" fillId="0" borderId="322" xfId="0" applyFont="1" applyBorder="1" applyAlignment="1">
      <alignment horizontal="center" vertical="center" wrapText="1"/>
    </xf>
    <xf numFmtId="0" fontId="165" fillId="0" borderId="65" xfId="0" applyFont="1" applyBorder="1" applyAlignment="1">
      <alignment horizontal="center"/>
    </xf>
    <xf numFmtId="0" fontId="165" fillId="0" borderId="66" xfId="0" applyFont="1" applyBorder="1" applyAlignment="1">
      <alignment horizontal="center"/>
    </xf>
    <xf numFmtId="0" fontId="165" fillId="0" borderId="67" xfId="0" applyFont="1" applyBorder="1" applyAlignment="1">
      <alignment horizontal="center"/>
    </xf>
    <xf numFmtId="168" fontId="165" fillId="0" borderId="131" xfId="724" applyFont="1" applyBorder="1" applyAlignment="1">
      <alignment horizontal="center" vertical="center" wrapText="1"/>
    </xf>
    <xf numFmtId="168" fontId="165" fillId="0" borderId="320" xfId="724" applyFont="1" applyBorder="1" applyAlignment="1">
      <alignment horizontal="center" vertical="center" wrapText="1"/>
    </xf>
    <xf numFmtId="168" fontId="165" fillId="0" borderId="321" xfId="724" applyFont="1" applyBorder="1" applyAlignment="1">
      <alignment horizontal="center" vertical="center" wrapText="1"/>
    </xf>
    <xf numFmtId="15" fontId="165" fillId="0" borderId="63" xfId="0" applyNumberFormat="1" applyFont="1" applyBorder="1" applyAlignment="1">
      <alignment horizontal="left" vertical="center" wrapText="1"/>
    </xf>
    <xf numFmtId="15" fontId="165" fillId="0" borderId="169" xfId="0" applyNumberFormat="1" applyFont="1" applyBorder="1" applyAlignment="1">
      <alignment horizontal="left" vertical="center" wrapText="1"/>
    </xf>
    <xf numFmtId="15" fontId="165" fillId="0" borderId="357" xfId="0" applyNumberFormat="1" applyFont="1" applyBorder="1" applyAlignment="1">
      <alignment horizontal="left" vertical="center" wrapText="1"/>
    </xf>
    <xf numFmtId="0" fontId="165" fillId="0" borderId="63" xfId="0" applyFont="1" applyBorder="1" applyAlignment="1">
      <alignment horizontal="left" vertical="center" wrapText="1"/>
    </xf>
    <xf numFmtId="0" fontId="165" fillId="0" borderId="169" xfId="0" applyFont="1" applyBorder="1" applyAlignment="1">
      <alignment horizontal="left" vertical="center" wrapText="1"/>
    </xf>
    <xf numFmtId="0" fontId="165" fillId="0" borderId="357" xfId="0" applyFont="1" applyBorder="1" applyAlignment="1">
      <alignment horizontal="left" vertical="center" wrapText="1"/>
    </xf>
    <xf numFmtId="0" fontId="165" fillId="0" borderId="65" xfId="0" applyFont="1" applyBorder="1" applyAlignment="1">
      <alignment horizontal="center" vertical="center"/>
    </xf>
    <xf numFmtId="0" fontId="165" fillId="0" borderId="66" xfId="0" applyFont="1" applyBorder="1" applyAlignment="1">
      <alignment horizontal="center" vertical="center"/>
    </xf>
    <xf numFmtId="0" fontId="165" fillId="0" borderId="67" xfId="0" applyFont="1" applyBorder="1" applyAlignment="1">
      <alignment horizontal="center" vertical="center"/>
    </xf>
    <xf numFmtId="0" fontId="165" fillId="0" borderId="120" xfId="0" applyFont="1" applyBorder="1" applyAlignment="1">
      <alignment horizontal="center" vertical="center"/>
    </xf>
    <xf numFmtId="0" fontId="165" fillId="0" borderId="319" xfId="0" applyFont="1" applyBorder="1" applyAlignment="1">
      <alignment horizontal="center" vertical="center"/>
    </xf>
    <xf numFmtId="0" fontId="165" fillId="0" borderId="322" xfId="0" applyFont="1" applyBorder="1" applyAlignment="1">
      <alignment horizontal="center" vertical="center"/>
    </xf>
    <xf numFmtId="0" fontId="250" fillId="2" borderId="947" xfId="1" applyFont="1" applyFill="1" applyBorder="1" applyAlignment="1">
      <alignment horizontal="center" vertical="center" wrapText="1"/>
    </xf>
    <xf numFmtId="0" fontId="250" fillId="2" borderId="965" xfId="1" applyFont="1" applyFill="1" applyBorder="1" applyAlignment="1">
      <alignment horizontal="center" vertical="center" wrapText="1"/>
    </xf>
    <xf numFmtId="0" fontId="250" fillId="2" borderId="968" xfId="1" applyFont="1" applyFill="1" applyBorder="1" applyAlignment="1">
      <alignment horizontal="center" vertical="center" wrapText="1"/>
    </xf>
    <xf numFmtId="0" fontId="250" fillId="2" borderId="963" xfId="1" applyFont="1" applyFill="1" applyBorder="1" applyAlignment="1">
      <alignment horizontal="center" vertical="center" wrapText="1"/>
    </xf>
    <xf numFmtId="0" fontId="250" fillId="2" borderId="948" xfId="1" applyFont="1" applyFill="1" applyBorder="1" applyAlignment="1">
      <alignment horizontal="center" vertical="center" wrapText="1"/>
    </xf>
    <xf numFmtId="0" fontId="250" fillId="2" borderId="959" xfId="1" applyFont="1" applyFill="1" applyBorder="1" applyAlignment="1">
      <alignment horizontal="center" vertical="center" wrapText="1"/>
    </xf>
    <xf numFmtId="0" fontId="250" fillId="0" borderId="104" xfId="0" applyFont="1" applyBorder="1" applyAlignment="1">
      <alignment horizontal="center" vertical="center"/>
    </xf>
    <xf numFmtId="0" fontId="250" fillId="2" borderId="949" xfId="1" applyFont="1" applyFill="1" applyBorder="1" applyAlignment="1">
      <alignment horizontal="center" vertical="center" wrapText="1"/>
    </xf>
    <xf numFmtId="0" fontId="250" fillId="2" borderId="964" xfId="1" applyFont="1" applyFill="1" applyBorder="1" applyAlignment="1">
      <alignment horizontal="center" vertical="center" wrapText="1"/>
    </xf>
    <xf numFmtId="0" fontId="250" fillId="2" borderId="948" xfId="0" applyFont="1" applyFill="1" applyBorder="1" applyAlignment="1">
      <alignment horizontal="center" vertical="center" wrapText="1"/>
    </xf>
    <xf numFmtId="0" fontId="90" fillId="0" borderId="962" xfId="0" applyFont="1" applyBorder="1" applyAlignment="1">
      <alignment horizontal="center"/>
    </xf>
    <xf numFmtId="0" fontId="90" fillId="0" borderId="958" xfId="0" applyFont="1" applyBorder="1" applyAlignment="1">
      <alignment horizontal="center"/>
    </xf>
    <xf numFmtId="0" fontId="87" fillId="0" borderId="63" xfId="1" applyFont="1" applyBorder="1" applyAlignment="1">
      <alignment horizontal="center" wrapText="1"/>
    </xf>
    <xf numFmtId="0" fontId="87" fillId="0" borderId="143" xfId="1" applyFont="1" applyBorder="1" applyAlignment="1">
      <alignment horizontal="center" wrapText="1"/>
    </xf>
    <xf numFmtId="0" fontId="87" fillId="0" borderId="120" xfId="1" applyFont="1" applyBorder="1" applyAlignment="1">
      <alignment horizontal="center" wrapText="1"/>
    </xf>
    <xf numFmtId="0" fontId="87" fillId="0" borderId="141" xfId="1" applyFont="1" applyBorder="1" applyAlignment="1">
      <alignment horizontal="center" wrapText="1"/>
    </xf>
    <xf numFmtId="0" fontId="87" fillId="0" borderId="102" xfId="1" applyFont="1" applyBorder="1" applyAlignment="1">
      <alignment horizontal="center" wrapText="1"/>
    </xf>
    <xf numFmtId="0" fontId="87" fillId="0" borderId="26" xfId="1" applyFont="1" applyBorder="1" applyAlignment="1">
      <alignment horizontal="center" wrapText="1"/>
    </xf>
    <xf numFmtId="0" fontId="90" fillId="0" borderId="63" xfId="0" applyFont="1" applyBorder="1" applyAlignment="1">
      <alignment horizontal="center"/>
    </xf>
    <xf numFmtId="168" fontId="0" fillId="0" borderId="139" xfId="0" applyNumberFormat="1" applyBorder="1" applyAlignment="1">
      <alignment horizontal="center"/>
    </xf>
    <xf numFmtId="168" fontId="0" fillId="0" borderId="76" xfId="0" applyNumberFormat="1" applyBorder="1" applyAlignment="1">
      <alignment horizontal="center"/>
    </xf>
    <xf numFmtId="168" fontId="0" fillId="0" borderId="78" xfId="0" applyNumberFormat="1" applyBorder="1" applyAlignment="1">
      <alignment horizontal="center"/>
    </xf>
    <xf numFmtId="0" fontId="0" fillId="0" borderId="102" xfId="0" applyBorder="1" applyAlignment="1">
      <alignment horizontal="center"/>
    </xf>
    <xf numFmtId="0" fontId="0" fillId="0" borderId="26" xfId="0" applyBorder="1" applyAlignment="1">
      <alignment horizontal="center"/>
    </xf>
    <xf numFmtId="0" fontId="0" fillId="0" borderId="104" xfId="0" applyBorder="1" applyAlignment="1">
      <alignment horizontal="center"/>
    </xf>
    <xf numFmtId="0" fontId="0" fillId="0" borderId="120" xfId="0" applyBorder="1" applyAlignment="1">
      <alignment horizontal="center"/>
    </xf>
    <xf numFmtId="0" fontId="0" fillId="0" borderId="121" xfId="0" applyBorder="1" applyAlignment="1">
      <alignment horizontal="center"/>
    </xf>
    <xf numFmtId="0" fontId="0" fillId="0" borderId="122" xfId="0" applyBorder="1" applyAlignment="1">
      <alignment horizontal="center"/>
    </xf>
    <xf numFmtId="0" fontId="0" fillId="0" borderId="63" xfId="0" applyBorder="1" applyAlignment="1">
      <alignment horizontal="center"/>
    </xf>
    <xf numFmtId="0" fontId="0" fillId="0" borderId="1" xfId="0" applyBorder="1" applyAlignment="1">
      <alignment horizontal="center"/>
    </xf>
    <xf numFmtId="0" fontId="0" fillId="0" borderId="64" xfId="0" applyBorder="1" applyAlignment="1">
      <alignment horizontal="center"/>
    </xf>
    <xf numFmtId="0" fontId="0" fillId="45" borderId="63" xfId="0" applyFill="1" applyBorder="1" applyAlignment="1">
      <alignment horizontal="center"/>
    </xf>
    <xf numFmtId="0" fontId="0" fillId="45" borderId="1" xfId="0" applyFill="1" applyBorder="1" applyAlignment="1">
      <alignment horizontal="center"/>
    </xf>
    <xf numFmtId="0" fontId="0" fillId="45" borderId="64" xfId="0" applyFill="1" applyBorder="1" applyAlignment="1">
      <alignment horizontal="center"/>
    </xf>
    <xf numFmtId="0" fontId="0" fillId="0" borderId="110" xfId="0" applyBorder="1" applyAlignment="1">
      <alignment horizontal="center"/>
    </xf>
    <xf numFmtId="0" fontId="0" fillId="0" borderId="108" xfId="0" applyBorder="1" applyAlignment="1">
      <alignment horizontal="center"/>
    </xf>
    <xf numFmtId="0" fontId="0" fillId="45" borderId="26" xfId="0" applyFill="1" applyBorder="1" applyAlignment="1">
      <alignment horizontal="center"/>
    </xf>
    <xf numFmtId="0" fontId="0" fillId="0" borderId="103" xfId="0" applyBorder="1" applyAlignment="1">
      <alignment horizontal="center" wrapText="1"/>
    </xf>
    <xf numFmtId="0" fontId="0" fillId="0" borderId="69" xfId="0" applyBorder="1" applyAlignment="1">
      <alignment horizontal="center" wrapText="1"/>
    </xf>
    <xf numFmtId="0" fontId="0" fillId="0" borderId="105" xfId="0" applyBorder="1" applyAlignment="1">
      <alignment horizontal="center" wrapText="1"/>
    </xf>
    <xf numFmtId="0" fontId="0" fillId="0" borderId="107" xfId="0" applyBorder="1" applyAlignment="1">
      <alignment horizontal="center"/>
    </xf>
    <xf numFmtId="0" fontId="0" fillId="45" borderId="102" xfId="0" applyFill="1" applyBorder="1" applyAlignment="1">
      <alignment horizontal="center"/>
    </xf>
    <xf numFmtId="0" fontId="0" fillId="0" borderId="103" xfId="0" applyBorder="1" applyAlignment="1">
      <alignment horizontal="center"/>
    </xf>
    <xf numFmtId="0" fontId="0" fillId="0" borderId="69" xfId="0" applyBorder="1" applyAlignment="1">
      <alignment horizontal="center"/>
    </xf>
    <xf numFmtId="0" fontId="0" fillId="0" borderId="105" xfId="0" applyBorder="1" applyAlignment="1">
      <alignment horizontal="center"/>
    </xf>
    <xf numFmtId="0" fontId="0" fillId="0" borderId="15" xfId="0" applyBorder="1" applyAlignment="1">
      <alignment horizontal="center"/>
    </xf>
    <xf numFmtId="0" fontId="0" fillId="0" borderId="113" xfId="0" applyBorder="1" applyAlignment="1">
      <alignment horizontal="center"/>
    </xf>
    <xf numFmtId="0" fontId="0" fillId="0" borderId="24" xfId="0" applyBorder="1" applyAlignment="1">
      <alignment horizontal="center"/>
    </xf>
    <xf numFmtId="0" fontId="0" fillId="0" borderId="142" xfId="0" applyBorder="1" applyAlignment="1">
      <alignment horizontal="center"/>
    </xf>
    <xf numFmtId="0" fontId="0" fillId="0" borderId="118" xfId="0" applyBorder="1" applyAlignment="1">
      <alignment horizontal="center"/>
    </xf>
    <xf numFmtId="0" fontId="0" fillId="0" borderId="77" xfId="0" applyBorder="1" applyAlignment="1">
      <alignment horizontal="center"/>
    </xf>
    <xf numFmtId="0" fontId="0" fillId="0" borderId="119" xfId="0" applyBorder="1" applyAlignment="1">
      <alignment horizontal="center"/>
    </xf>
    <xf numFmtId="0" fontId="90" fillId="60" borderId="5" xfId="0" applyFont="1" applyFill="1" applyBorder="1" applyAlignment="1">
      <alignment horizontal="center"/>
    </xf>
    <xf numFmtId="0" fontId="0" fillId="58" borderId="120" xfId="0" applyFill="1" applyBorder="1" applyAlignment="1">
      <alignment horizontal="center" vertical="center"/>
    </xf>
    <xf numFmtId="0" fontId="0" fillId="58" borderId="122" xfId="0" applyFill="1" applyBorder="1" applyAlignment="1">
      <alignment horizontal="center" vertical="center"/>
    </xf>
    <xf numFmtId="0" fontId="0" fillId="58" borderId="121" xfId="0" applyFill="1" applyBorder="1" applyAlignment="1">
      <alignment horizontal="center" vertical="center"/>
    </xf>
    <xf numFmtId="0" fontId="0" fillId="0" borderId="63" xfId="0" applyBorder="1" applyAlignment="1">
      <alignment horizontal="center" vertical="center"/>
    </xf>
    <xf numFmtId="0" fontId="0" fillId="0" borderId="64" xfId="0" applyBorder="1" applyAlignment="1">
      <alignment horizontal="center" vertical="center"/>
    </xf>
    <xf numFmtId="0" fontId="0" fillId="0" borderId="102" xfId="0" applyBorder="1" applyAlignment="1">
      <alignment horizontal="center" vertical="center" wrapText="1"/>
    </xf>
    <xf numFmtId="0" fontId="0" fillId="0" borderId="104" xfId="0" applyBorder="1" applyAlignment="1">
      <alignment horizontal="center" vertical="center" wrapText="1"/>
    </xf>
    <xf numFmtId="0" fontId="0" fillId="0" borderId="120" xfId="0" applyBorder="1" applyAlignment="1">
      <alignment horizontal="center" vertical="center"/>
    </xf>
    <xf numFmtId="0" fontId="0" fillId="0" borderId="122" xfId="0" applyBorder="1" applyAlignment="1">
      <alignment horizontal="center" vertical="center"/>
    </xf>
    <xf numFmtId="0" fontId="0" fillId="58" borderId="63" xfId="0" applyFill="1" applyBorder="1" applyAlignment="1">
      <alignment horizontal="center" vertical="center"/>
    </xf>
    <xf numFmtId="0" fontId="0" fillId="58" borderId="1" xfId="0" applyFill="1" applyBorder="1" applyAlignment="1">
      <alignment horizontal="center" vertical="center"/>
    </xf>
    <xf numFmtId="0" fontId="0" fillId="58" borderId="64" xfId="0" applyFill="1" applyBorder="1" applyAlignment="1">
      <alignment horizontal="center" vertical="center"/>
    </xf>
    <xf numFmtId="0" fontId="98" fillId="58" borderId="63" xfId="0" applyFont="1" applyFill="1" applyBorder="1" applyAlignment="1">
      <alignment horizontal="center" vertical="center" wrapText="1"/>
    </xf>
    <xf numFmtId="0" fontId="98" fillId="58" borderId="1" xfId="0" applyFont="1" applyFill="1" applyBorder="1" applyAlignment="1">
      <alignment horizontal="center" vertical="center" wrapText="1"/>
    </xf>
    <xf numFmtId="0" fontId="98" fillId="58" borderId="64" xfId="0" applyFont="1" applyFill="1" applyBorder="1" applyAlignment="1">
      <alignment horizontal="center" vertical="center" wrapText="1"/>
    </xf>
    <xf numFmtId="0" fontId="0" fillId="0" borderId="130" xfId="0" applyBorder="1" applyAlignment="1">
      <alignment horizontal="center"/>
    </xf>
    <xf numFmtId="0" fontId="0" fillId="0" borderId="1" xfId="0" applyBorder="1" applyAlignment="1">
      <alignment horizontal="center" vertical="center"/>
    </xf>
    <xf numFmtId="0" fontId="0" fillId="0" borderId="130" xfId="0" applyBorder="1" applyAlignment="1">
      <alignment horizontal="center" vertical="center"/>
    </xf>
    <xf numFmtId="0" fontId="0" fillId="0" borderId="126" xfId="0" applyBorder="1" applyAlignment="1">
      <alignment horizontal="center"/>
    </xf>
    <xf numFmtId="0" fontId="0" fillId="0" borderId="126" xfId="0" applyBorder="1" applyAlignment="1">
      <alignment horizontal="center" vertical="center"/>
    </xf>
    <xf numFmtId="0" fontId="0" fillId="0" borderId="15" xfId="0" applyBorder="1" applyAlignment="1">
      <alignment horizontal="center" vertical="center"/>
    </xf>
    <xf numFmtId="0" fontId="0" fillId="0" borderId="125" xfId="0" applyBorder="1" applyAlignment="1">
      <alignment horizontal="center"/>
    </xf>
    <xf numFmtId="0" fontId="98" fillId="0" borderId="1" xfId="0" applyFont="1" applyBorder="1" applyAlignment="1">
      <alignment horizontal="center" vertical="center"/>
    </xf>
    <xf numFmtId="0" fontId="98" fillId="0" borderId="1" xfId="0" applyFont="1" applyBorder="1" applyAlignment="1">
      <alignment horizontal="center" vertical="center" wrapText="1"/>
    </xf>
    <xf numFmtId="0" fontId="96" fillId="0" borderId="1" xfId="0" applyFont="1" applyBorder="1" applyAlignment="1">
      <alignment horizontal="center" vertical="center"/>
    </xf>
    <xf numFmtId="0" fontId="0" fillId="0" borderId="26" xfId="0" applyBorder="1" applyAlignment="1">
      <alignment horizontal="center" vertical="center"/>
    </xf>
    <xf numFmtId="0" fontId="87" fillId="2" borderId="1" xfId="1" applyFont="1" applyFill="1" applyBorder="1" applyAlignment="1">
      <alignment horizontal="center" vertical="center" wrapText="1"/>
    </xf>
    <xf numFmtId="0" fontId="90" fillId="42" borderId="1" xfId="0" applyFont="1" applyFill="1" applyBorder="1" applyAlignment="1">
      <alignment horizontal="center" vertical="center"/>
    </xf>
    <xf numFmtId="0" fontId="87" fillId="42" borderId="1" xfId="1" applyFont="1" applyFill="1" applyBorder="1" applyAlignment="1">
      <alignment horizontal="center" vertical="center" wrapText="1"/>
    </xf>
    <xf numFmtId="0" fontId="0" fillId="0" borderId="1" xfId="0" applyBorder="1" applyAlignment="1">
      <alignment horizontal="center" vertical="center" wrapText="1"/>
    </xf>
    <xf numFmtId="168" fontId="0" fillId="58" borderId="102" xfId="724" applyFont="1" applyFill="1" applyBorder="1" applyAlignment="1">
      <alignment horizontal="center" vertical="center"/>
    </xf>
    <xf numFmtId="168" fontId="0" fillId="58" borderId="26" xfId="724" applyFont="1" applyFill="1" applyBorder="1" applyAlignment="1">
      <alignment horizontal="center" vertical="center"/>
    </xf>
    <xf numFmtId="168" fontId="0" fillId="58" borderId="104" xfId="724" applyFont="1" applyFill="1" applyBorder="1" applyAlignment="1">
      <alignment horizontal="center" vertical="center"/>
    </xf>
    <xf numFmtId="168" fontId="0" fillId="0" borderId="102" xfId="724" applyFont="1" applyFill="1" applyBorder="1" applyAlignment="1">
      <alignment horizontal="center" vertical="center"/>
    </xf>
    <xf numFmtId="168" fontId="0" fillId="0" borderId="104" xfId="724" applyFont="1" applyFill="1" applyBorder="1" applyAlignment="1">
      <alignment horizontal="center" vertical="center"/>
    </xf>
    <xf numFmtId="0" fontId="0" fillId="42" borderId="1" xfId="0" applyFill="1" applyBorder="1" applyAlignment="1">
      <alignment horizontal="center"/>
    </xf>
    <xf numFmtId="0" fontId="0" fillId="53" borderId="1" xfId="0" applyFill="1" applyBorder="1" applyAlignment="1">
      <alignment horizontal="center"/>
    </xf>
    <xf numFmtId="0" fontId="0" fillId="0" borderId="116" xfId="0" applyBorder="1" applyAlignment="1">
      <alignment horizontal="center"/>
    </xf>
    <xf numFmtId="0" fontId="0" fillId="0" borderId="121" xfId="0" applyBorder="1" applyAlignment="1">
      <alignment horizontal="center" vertical="center"/>
    </xf>
    <xf numFmtId="0" fontId="0" fillId="0" borderId="61" xfId="0" applyBorder="1" applyAlignment="1">
      <alignment horizontal="center" vertical="center"/>
    </xf>
    <xf numFmtId="0" fontId="0" fillId="0" borderId="62" xfId="0" applyBorder="1" applyAlignment="1">
      <alignment horizontal="center" vertical="center"/>
    </xf>
    <xf numFmtId="0" fontId="98" fillId="42" borderId="1" xfId="0" applyFont="1" applyFill="1" applyBorder="1" applyAlignment="1">
      <alignment horizontal="center" vertical="center"/>
    </xf>
    <xf numFmtId="0" fontId="0" fillId="0" borderId="101" xfId="0" applyBorder="1" applyAlignment="1">
      <alignment horizontal="center"/>
    </xf>
    <xf numFmtId="0" fontId="0" fillId="0" borderId="111" xfId="0" applyBorder="1" applyAlignment="1">
      <alignment horizontal="center" vertical="center"/>
    </xf>
    <xf numFmtId="0" fontId="0" fillId="0" borderId="99" xfId="0" applyBorder="1" applyAlignment="1">
      <alignment horizontal="center" vertical="center"/>
    </xf>
    <xf numFmtId="0" fontId="0" fillId="42" borderId="1" xfId="0" applyFill="1" applyBorder="1" applyAlignment="1">
      <alignment horizontal="center" vertical="center"/>
    </xf>
    <xf numFmtId="0" fontId="0" fillId="0" borderId="101" xfId="0" applyBorder="1" applyAlignment="1">
      <alignment horizontal="center" vertical="center"/>
    </xf>
    <xf numFmtId="0" fontId="0" fillId="0" borderId="128" xfId="0" applyBorder="1" applyAlignment="1">
      <alignment horizontal="center"/>
    </xf>
    <xf numFmtId="0" fontId="0" fillId="0" borderId="0" xfId="0" applyAlignment="1">
      <alignment horizontal="center"/>
    </xf>
    <xf numFmtId="0" fontId="0" fillId="0" borderId="129" xfId="0" applyBorder="1" applyAlignment="1">
      <alignment horizontal="center" vertical="center"/>
    </xf>
    <xf numFmtId="0" fontId="0" fillId="0" borderId="24" xfId="0" applyBorder="1" applyAlignment="1">
      <alignment horizontal="center" vertical="center"/>
    </xf>
    <xf numFmtId="0" fontId="116" fillId="0" borderId="117" xfId="0" applyFont="1" applyBorder="1" applyAlignment="1">
      <alignment horizontal="center" vertical="center"/>
    </xf>
    <xf numFmtId="0" fontId="116" fillId="0" borderId="106" xfId="0" applyFont="1" applyBorder="1" applyAlignment="1">
      <alignment horizontal="center" vertical="center"/>
    </xf>
    <xf numFmtId="0" fontId="116" fillId="0" borderId="118" xfId="0" applyFont="1" applyBorder="1" applyAlignment="1">
      <alignment horizontal="center" vertical="center"/>
    </xf>
    <xf numFmtId="0" fontId="116" fillId="0" borderId="115" xfId="0" applyFont="1" applyBorder="1" applyAlignment="1">
      <alignment horizontal="center" vertical="center"/>
    </xf>
    <xf numFmtId="0" fontId="116" fillId="0" borderId="0" xfId="0" applyFont="1" applyAlignment="1">
      <alignment horizontal="center" vertical="center"/>
    </xf>
    <xf numFmtId="0" fontId="116" fillId="0" borderId="77" xfId="0" applyFont="1" applyBorder="1" applyAlignment="1">
      <alignment horizontal="center" vertical="center"/>
    </xf>
    <xf numFmtId="0" fontId="116" fillId="0" borderId="91" xfId="0" applyFont="1" applyBorder="1" applyAlignment="1">
      <alignment horizontal="center" vertical="center"/>
    </xf>
    <xf numFmtId="0" fontId="116" fillId="0" borderId="13" xfId="0" applyFont="1" applyBorder="1" applyAlignment="1">
      <alignment horizontal="center" vertical="center"/>
    </xf>
    <xf numFmtId="0" fontId="116" fillId="0" borderId="119" xfId="0" applyFont="1" applyBorder="1" applyAlignment="1">
      <alignment horizontal="center" vertical="center"/>
    </xf>
    <xf numFmtId="0" fontId="0" fillId="42" borderId="1" xfId="0" applyFill="1" applyBorder="1" applyAlignment="1">
      <alignment horizontal="center" vertical="center" wrapText="1"/>
    </xf>
    <xf numFmtId="0" fontId="0" fillId="0" borderId="57" xfId="0" applyBorder="1" applyAlignment="1">
      <alignment horizontal="center" vertical="center"/>
    </xf>
    <xf numFmtId="0" fontId="0" fillId="41" borderId="50" xfId="0" applyFill="1" applyBorder="1" applyAlignment="1">
      <alignment horizontal="center" vertical="center"/>
    </xf>
    <xf numFmtId="0" fontId="0" fillId="41" borderId="15" xfId="0" applyFill="1" applyBorder="1" applyAlignment="1">
      <alignment horizontal="center" vertical="center"/>
    </xf>
    <xf numFmtId="0" fontId="0" fillId="0" borderId="50" xfId="0" applyBorder="1" applyAlignment="1">
      <alignment horizontal="center" vertical="center"/>
    </xf>
    <xf numFmtId="15" fontId="0" fillId="0" borderId="47" xfId="0" applyNumberFormat="1" applyBorder="1" applyAlignment="1">
      <alignment horizontal="center" vertical="center"/>
    </xf>
    <xf numFmtId="15" fontId="0" fillId="0" borderId="15" xfId="0" applyNumberFormat="1" applyBorder="1" applyAlignment="1">
      <alignment horizontal="center" vertical="center"/>
    </xf>
    <xf numFmtId="15" fontId="0" fillId="41" borderId="47" xfId="0" applyNumberFormat="1" applyFill="1" applyBorder="1" applyAlignment="1">
      <alignment horizontal="center" vertical="center"/>
    </xf>
    <xf numFmtId="15" fontId="0" fillId="41" borderId="15" xfId="0" applyNumberFormat="1" applyFill="1" applyBorder="1" applyAlignment="1">
      <alignment horizontal="center" vertical="center"/>
    </xf>
    <xf numFmtId="15" fontId="0" fillId="0" borderId="44" xfId="0" applyNumberFormat="1" applyBorder="1" applyAlignment="1">
      <alignment horizontal="center" vertical="center"/>
    </xf>
    <xf numFmtId="15" fontId="0" fillId="41" borderId="44" xfId="0" applyNumberFormat="1" applyFill="1" applyBorder="1" applyAlignment="1">
      <alignment horizontal="center" vertical="center"/>
    </xf>
    <xf numFmtId="15" fontId="0" fillId="0" borderId="49" xfId="0" applyNumberFormat="1" applyBorder="1" applyAlignment="1">
      <alignment horizontal="center" vertical="center"/>
    </xf>
    <xf numFmtId="0" fontId="0" fillId="0" borderId="49" xfId="0" applyBorder="1" applyAlignment="1">
      <alignment horizontal="center" vertical="center"/>
    </xf>
    <xf numFmtId="0" fontId="95" fillId="0" borderId="49" xfId="0" applyFont="1" applyBorder="1" applyAlignment="1">
      <alignment horizontal="center" vertical="center"/>
    </xf>
    <xf numFmtId="0" fontId="95" fillId="0" borderId="15" xfId="0" applyFont="1" applyBorder="1" applyAlignment="1">
      <alignment horizontal="center" vertical="center"/>
    </xf>
    <xf numFmtId="0" fontId="0" fillId="0" borderId="49" xfId="1" applyFont="1" applyBorder="1" applyAlignment="1">
      <alignment horizontal="center" vertical="center"/>
    </xf>
    <xf numFmtId="0" fontId="0" fillId="0" borderId="15" xfId="1" applyFont="1" applyBorder="1" applyAlignment="1">
      <alignment horizontal="center" vertical="center"/>
    </xf>
    <xf numFmtId="15" fontId="0" fillId="0" borderId="1" xfId="0" applyNumberFormat="1" applyBorder="1" applyAlignment="1">
      <alignment horizontal="center" vertical="center"/>
    </xf>
    <xf numFmtId="0" fontId="0" fillId="0" borderId="56" xfId="0" applyBorder="1" applyAlignment="1">
      <alignment horizontal="center" vertical="center"/>
    </xf>
    <xf numFmtId="0" fontId="0" fillId="0" borderId="48" xfId="0" applyBorder="1" applyAlignment="1">
      <alignment horizontal="center" vertical="center"/>
    </xf>
    <xf numFmtId="0" fontId="95" fillId="0" borderId="48" xfId="0" applyFont="1" applyBorder="1" applyAlignment="1">
      <alignment horizontal="center" vertical="center"/>
    </xf>
    <xf numFmtId="0" fontId="0" fillId="0" borderId="48" xfId="1" applyFont="1" applyBorder="1" applyAlignment="1">
      <alignment horizontal="center" vertical="center"/>
    </xf>
    <xf numFmtId="0" fontId="95" fillId="0" borderId="1" xfId="0" applyFont="1" applyBorder="1" applyAlignment="1">
      <alignment horizontal="center" vertical="center"/>
    </xf>
    <xf numFmtId="0" fontId="0" fillId="0" borderId="46" xfId="0" applyBorder="1" applyAlignment="1">
      <alignment horizontal="center" vertical="center"/>
    </xf>
    <xf numFmtId="0" fontId="0" fillId="41" borderId="52" xfId="0" applyFill="1" applyBorder="1" applyAlignment="1">
      <alignment horizontal="center" vertical="center"/>
    </xf>
    <xf numFmtId="0" fontId="88" fillId="41" borderId="53" xfId="0" applyFont="1" applyFill="1" applyBorder="1" applyAlignment="1">
      <alignment vertical="center" wrapText="1"/>
    </xf>
    <xf numFmtId="0" fontId="88" fillId="41" borderId="15" xfId="0" applyFont="1" applyFill="1" applyBorder="1" applyAlignment="1">
      <alignment vertical="center" wrapText="1"/>
    </xf>
    <xf numFmtId="15" fontId="0" fillId="41" borderId="1" xfId="0" applyNumberFormat="1" applyFill="1" applyBorder="1" applyAlignment="1">
      <alignment horizontal="center" vertical="center"/>
    </xf>
    <xf numFmtId="0" fontId="0" fillId="41" borderId="43" xfId="0" applyFill="1" applyBorder="1" applyAlignment="1">
      <alignment horizontal="center" vertical="center"/>
    </xf>
    <xf numFmtId="0" fontId="0" fillId="41" borderId="1" xfId="0" applyFill="1" applyBorder="1" applyAlignment="1">
      <alignment horizontal="center" vertical="center"/>
    </xf>
    <xf numFmtId="0" fontId="0" fillId="41" borderId="27" xfId="0" applyFill="1" applyBorder="1" applyAlignment="1">
      <alignment horizontal="center" vertical="center"/>
    </xf>
    <xf numFmtId="15" fontId="0" fillId="41" borderId="43" xfId="0" applyNumberFormat="1" applyFill="1" applyBorder="1" applyAlignment="1">
      <alignment horizontal="center" vertical="center"/>
    </xf>
    <xf numFmtId="0" fontId="0" fillId="0" borderId="32" xfId="0" applyBorder="1" applyAlignment="1">
      <alignment horizontal="center" vertical="center"/>
    </xf>
    <xf numFmtId="0" fontId="0" fillId="41" borderId="32" xfId="0" applyFill="1" applyBorder="1" applyAlignment="1">
      <alignment horizontal="center"/>
    </xf>
    <xf numFmtId="0" fontId="0" fillId="41" borderId="15" xfId="0" applyFill="1" applyBorder="1" applyAlignment="1">
      <alignment horizontal="center"/>
    </xf>
    <xf numFmtId="0" fontId="0" fillId="0" borderId="33" xfId="0" applyBorder="1" applyAlignment="1">
      <alignment horizontal="center" vertical="center"/>
    </xf>
    <xf numFmtId="0" fontId="0" fillId="41" borderId="32" xfId="1" applyFont="1" applyFill="1" applyBorder="1" applyAlignment="1">
      <alignment horizontal="center" vertical="center"/>
    </xf>
    <xf numFmtId="0" fontId="0" fillId="41" borderId="15" xfId="1" applyFont="1" applyFill="1" applyBorder="1" applyAlignment="1">
      <alignment horizontal="center" vertical="center"/>
    </xf>
    <xf numFmtId="0" fontId="0" fillId="41" borderId="32" xfId="0" applyFill="1" applyBorder="1" applyAlignment="1">
      <alignment horizontal="center" vertical="center"/>
    </xf>
    <xf numFmtId="0" fontId="89" fillId="0" borderId="31" xfId="0" applyFont="1" applyBorder="1" applyAlignment="1">
      <alignment horizontal="center" vertical="center"/>
    </xf>
    <xf numFmtId="0" fontId="89" fillId="0" borderId="0" xfId="0" applyFont="1" applyAlignment="1">
      <alignment horizontal="center" vertical="center"/>
    </xf>
    <xf numFmtId="0" fontId="0" fillId="41" borderId="30" xfId="0" applyFill="1" applyBorder="1" applyAlignment="1">
      <alignment horizontal="center"/>
    </xf>
    <xf numFmtId="0" fontId="0" fillId="41" borderId="30" xfId="0" applyFill="1" applyBorder="1" applyAlignment="1">
      <alignment horizontal="center" vertical="center"/>
    </xf>
    <xf numFmtId="0" fontId="0" fillId="41" borderId="26" xfId="0" applyFill="1" applyBorder="1" applyAlignment="1">
      <alignment horizontal="center" vertical="center"/>
    </xf>
    <xf numFmtId="0" fontId="0" fillId="0" borderId="18" xfId="0" applyBorder="1" applyAlignment="1">
      <alignment horizontal="center" vertical="center"/>
    </xf>
    <xf numFmtId="0" fontId="0" fillId="0" borderId="17" xfId="0" applyBorder="1" applyAlignment="1">
      <alignment horizontal="center" vertical="center"/>
    </xf>
    <xf numFmtId="0" fontId="0" fillId="0" borderId="27" xfId="0" applyBorder="1" applyAlignment="1">
      <alignment horizontal="center" vertical="center"/>
    </xf>
    <xf numFmtId="0" fontId="89" fillId="41" borderId="23" xfId="0" applyFont="1" applyFill="1" applyBorder="1" applyAlignment="1">
      <alignment horizontal="center" vertical="center"/>
    </xf>
    <xf numFmtId="0" fontId="89" fillId="41" borderId="24" xfId="0" applyFont="1" applyFill="1" applyBorder="1" applyAlignment="1">
      <alignment horizontal="center" vertical="center"/>
    </xf>
    <xf numFmtId="0" fontId="89" fillId="41" borderId="1" xfId="0" applyFont="1" applyFill="1" applyBorder="1" applyAlignment="1">
      <alignment horizontal="center" vertical="center"/>
    </xf>
    <xf numFmtId="0" fontId="89" fillId="41" borderId="22" xfId="0" applyFont="1" applyFill="1" applyBorder="1" applyAlignment="1">
      <alignment horizontal="center" vertical="center"/>
    </xf>
    <xf numFmtId="0" fontId="0" fillId="41" borderId="29" xfId="0" applyFill="1" applyBorder="1" applyAlignment="1">
      <alignment horizontal="center" vertical="center"/>
    </xf>
    <xf numFmtId="0" fontId="89" fillId="41" borderId="21" xfId="0" applyFont="1" applyFill="1" applyBorder="1" applyAlignment="1">
      <alignment horizontal="center" vertical="center"/>
    </xf>
    <xf numFmtId="0" fontId="89" fillId="0" borderId="33" xfId="0" applyFont="1" applyBorder="1" applyAlignment="1">
      <alignment horizontal="center" vertical="center"/>
    </xf>
    <xf numFmtId="0" fontId="89" fillId="0" borderId="34" xfId="0" applyFont="1" applyBorder="1" applyAlignment="1">
      <alignment horizontal="center" vertical="center"/>
    </xf>
    <xf numFmtId="0" fontId="0" fillId="41" borderId="1" xfId="0" applyFill="1" applyBorder="1" applyAlignment="1">
      <alignment horizontal="center" vertical="center" wrapText="1"/>
    </xf>
    <xf numFmtId="0" fontId="0" fillId="41" borderId="25" xfId="0" applyFill="1" applyBorder="1" applyAlignment="1">
      <alignment horizontal="center" vertical="center"/>
    </xf>
    <xf numFmtId="1" fontId="1" fillId="41" borderId="16" xfId="1" applyNumberFormat="1" applyFill="1" applyBorder="1" applyAlignment="1">
      <alignment horizontal="center" vertical="center"/>
    </xf>
    <xf numFmtId="1" fontId="1" fillId="41" borderId="15" xfId="1" applyNumberFormat="1" applyFill="1" applyBorder="1" applyAlignment="1">
      <alignment horizontal="center" vertical="center"/>
    </xf>
    <xf numFmtId="0" fontId="0" fillId="0" borderId="16" xfId="1" applyFont="1" applyBorder="1" applyAlignment="1">
      <alignment horizontal="center" vertical="center" wrapText="1"/>
    </xf>
    <xf numFmtId="0" fontId="1" fillId="0" borderId="15" xfId="1" applyBorder="1" applyAlignment="1">
      <alignment horizontal="center" vertical="center" wrapText="1"/>
    </xf>
    <xf numFmtId="0" fontId="1" fillId="41" borderId="1" xfId="1" applyFill="1" applyBorder="1" applyAlignment="1">
      <alignment horizontal="center" vertical="center"/>
    </xf>
    <xf numFmtId="0" fontId="0" fillId="0" borderId="1" xfId="1" applyFont="1" applyBorder="1" applyAlignment="1">
      <alignment horizontal="center" vertical="center"/>
    </xf>
    <xf numFmtId="0" fontId="1" fillId="0" borderId="1" xfId="1" applyBorder="1" applyAlignment="1">
      <alignment horizontal="center" vertical="center"/>
    </xf>
    <xf numFmtId="0" fontId="0" fillId="41" borderId="1" xfId="1" applyFont="1" applyFill="1" applyBorder="1" applyAlignment="1">
      <alignment horizontal="center" vertical="center"/>
    </xf>
    <xf numFmtId="15" fontId="1" fillId="41" borderId="1" xfId="1" applyNumberFormat="1" applyFill="1" applyBorder="1" applyAlignment="1">
      <alignment horizontal="center" vertical="center"/>
    </xf>
    <xf numFmtId="1" fontId="1" fillId="41" borderId="1" xfId="1" applyNumberFormat="1" applyFill="1" applyBorder="1" applyAlignment="1">
      <alignment horizontal="center" vertical="center"/>
    </xf>
    <xf numFmtId="0" fontId="0" fillId="41" borderId="42" xfId="0" applyFill="1" applyBorder="1" applyAlignment="1">
      <alignment horizontal="center" vertical="center"/>
    </xf>
    <xf numFmtId="0" fontId="0" fillId="0" borderId="42" xfId="0" applyBorder="1" applyAlignment="1">
      <alignment horizontal="center" vertical="center"/>
    </xf>
    <xf numFmtId="0" fontId="0" fillId="41" borderId="28" xfId="0" applyFill="1" applyBorder="1" applyAlignment="1">
      <alignment horizontal="center" vertical="center" wrapText="1"/>
    </xf>
    <xf numFmtId="0" fontId="0" fillId="41" borderId="15" xfId="0" applyFill="1" applyBorder="1" applyAlignment="1">
      <alignment horizontal="center" vertical="center" wrapText="1"/>
    </xf>
    <xf numFmtId="0" fontId="0" fillId="0" borderId="51" xfId="0" applyBorder="1" applyAlignment="1">
      <alignment horizontal="center" vertical="center"/>
    </xf>
    <xf numFmtId="15" fontId="0" fillId="0" borderId="51" xfId="0" applyNumberFormat="1" applyBorder="1" applyAlignment="1">
      <alignment horizontal="center" vertical="center"/>
    </xf>
    <xf numFmtId="15" fontId="0" fillId="0" borderId="55" xfId="0" applyNumberFormat="1" applyBorder="1" applyAlignment="1">
      <alignment horizontal="center" vertical="center"/>
    </xf>
    <xf numFmtId="15" fontId="0" fillId="0" borderId="50" xfId="0" applyNumberFormat="1" applyBorder="1" applyAlignment="1">
      <alignment horizontal="center" vertical="center"/>
    </xf>
    <xf numFmtId="0" fontId="0" fillId="42" borderId="52" xfId="0" applyFill="1" applyBorder="1" applyAlignment="1">
      <alignment horizontal="center" vertical="center"/>
    </xf>
    <xf numFmtId="0" fontId="0" fillId="42" borderId="26" xfId="0" applyFill="1" applyBorder="1" applyAlignment="1">
      <alignment horizontal="center" vertical="center"/>
    </xf>
    <xf numFmtId="0" fontId="0" fillId="42" borderId="15" xfId="0" applyFill="1" applyBorder="1" applyAlignment="1">
      <alignment horizontal="center" vertical="center"/>
    </xf>
    <xf numFmtId="0" fontId="0" fillId="42" borderId="58" xfId="0" applyFill="1" applyBorder="1" applyAlignment="1">
      <alignment horizontal="center" vertical="center"/>
    </xf>
    <xf numFmtId="0" fontId="88" fillId="0" borderId="60" xfId="0" applyFont="1" applyBorder="1" applyAlignment="1">
      <alignment horizontal="left" vertical="center" wrapText="1"/>
    </xf>
    <xf numFmtId="0" fontId="88" fillId="0" borderId="15" xfId="0" applyFont="1" applyBorder="1" applyAlignment="1">
      <alignment horizontal="left" vertical="center" wrapText="1"/>
    </xf>
    <xf numFmtId="0" fontId="88" fillId="0" borderId="53" xfId="0" applyFont="1" applyBorder="1" applyAlignment="1">
      <alignment vertical="center" wrapText="1"/>
    </xf>
    <xf numFmtId="0" fontId="88" fillId="0" borderId="15" xfId="0" applyFont="1" applyBorder="1" applyAlignment="1">
      <alignment vertical="center" wrapText="1"/>
    </xf>
    <xf numFmtId="0" fontId="88" fillId="0" borderId="26" xfId="0" applyFont="1" applyBorder="1" applyAlignment="1">
      <alignment vertical="center" wrapText="1"/>
    </xf>
    <xf numFmtId="0" fontId="88" fillId="41" borderId="53" xfId="0" applyFont="1" applyFill="1" applyBorder="1" applyAlignment="1">
      <alignment horizontal="left" vertical="center" wrapText="1"/>
    </xf>
    <xf numFmtId="0" fontId="88" fillId="41" borderId="15" xfId="0" applyFont="1" applyFill="1" applyBorder="1" applyAlignment="1">
      <alignment horizontal="left" vertical="center" wrapText="1"/>
    </xf>
    <xf numFmtId="0" fontId="88" fillId="0" borderId="54" xfId="0" applyFont="1" applyBorder="1" applyAlignment="1">
      <alignment horizontal="left" vertical="center" wrapText="1"/>
    </xf>
    <xf numFmtId="15" fontId="0" fillId="0" borderId="26" xfId="0" applyNumberFormat="1" applyBorder="1" applyAlignment="1">
      <alignment horizontal="center" vertical="center"/>
    </xf>
    <xf numFmtId="15" fontId="0" fillId="0" borderId="51" xfId="0" applyNumberFormat="1" applyBorder="1" applyAlignment="1">
      <alignment horizontal="right" vertical="center"/>
    </xf>
    <xf numFmtId="15" fontId="0" fillId="0" borderId="26" xfId="0" applyNumberFormat="1" applyBorder="1" applyAlignment="1">
      <alignment horizontal="right" vertical="center"/>
    </xf>
    <xf numFmtId="15" fontId="0" fillId="0" borderId="15" xfId="0" applyNumberFormat="1" applyBorder="1" applyAlignment="1">
      <alignment horizontal="right" vertical="center"/>
    </xf>
    <xf numFmtId="0" fontId="0" fillId="41" borderId="1" xfId="0" applyFill="1" applyBorder="1" applyAlignment="1">
      <alignment horizontal="center"/>
    </xf>
    <xf numFmtId="0" fontId="88" fillId="40" borderId="1" xfId="0" applyFont="1" applyFill="1" applyBorder="1" applyAlignment="1">
      <alignment horizontal="center" vertical="center" wrapText="1"/>
    </xf>
    <xf numFmtId="0" fontId="90" fillId="40" borderId="36" xfId="0" applyFont="1" applyFill="1" applyBorder="1" applyAlignment="1">
      <alignment horizontal="center"/>
    </xf>
    <xf numFmtId="0" fontId="90" fillId="40" borderId="15" xfId="0" applyFont="1" applyFill="1" applyBorder="1" applyAlignment="1">
      <alignment horizontal="center"/>
    </xf>
    <xf numFmtId="2" fontId="0" fillId="0" borderId="37" xfId="0" applyNumberFormat="1" applyBorder="1" applyAlignment="1">
      <alignment horizontal="center"/>
    </xf>
    <xf numFmtId="2" fontId="0" fillId="0" borderId="38" xfId="0" applyNumberFormat="1" applyBorder="1" applyAlignment="1">
      <alignment horizontal="center"/>
    </xf>
    <xf numFmtId="2" fontId="0" fillId="0" borderId="39" xfId="0" applyNumberFormat="1" applyBorder="1" applyAlignment="1">
      <alignment horizontal="center"/>
    </xf>
    <xf numFmtId="2" fontId="0" fillId="0" borderId="24" xfId="0" applyNumberFormat="1" applyBorder="1" applyAlignment="1">
      <alignment horizontal="center"/>
    </xf>
    <xf numFmtId="2" fontId="0" fillId="0" borderId="0" xfId="0" applyNumberFormat="1" applyAlignment="1">
      <alignment horizontal="center"/>
    </xf>
    <xf numFmtId="2" fontId="0" fillId="0" borderId="35" xfId="0" applyNumberFormat="1" applyBorder="1" applyAlignment="1">
      <alignment horizontal="center"/>
    </xf>
    <xf numFmtId="2" fontId="0" fillId="0" borderId="34" xfId="0" applyNumberFormat="1" applyBorder="1" applyAlignment="1">
      <alignment horizontal="center"/>
    </xf>
    <xf numFmtId="2" fontId="0" fillId="0" borderId="40" xfId="0" applyNumberFormat="1" applyBorder="1" applyAlignment="1">
      <alignment horizontal="center"/>
    </xf>
    <xf numFmtId="2" fontId="0" fillId="0" borderId="41" xfId="0" applyNumberFormat="1" applyBorder="1" applyAlignment="1">
      <alignment horizontal="center"/>
    </xf>
    <xf numFmtId="0" fontId="0" fillId="0" borderId="36" xfId="0" applyBorder="1" applyAlignment="1">
      <alignment horizontal="center" vertical="center"/>
    </xf>
    <xf numFmtId="0" fontId="0" fillId="2" borderId="24" xfId="0" applyFill="1" applyBorder="1" applyAlignment="1">
      <alignment horizontal="center" vertical="center"/>
    </xf>
    <xf numFmtId="0" fontId="90" fillId="2" borderId="45" xfId="0" applyFont="1" applyFill="1" applyBorder="1" applyAlignment="1">
      <alignment horizontal="center" vertical="center" wrapText="1"/>
    </xf>
    <xf numFmtId="0" fontId="90" fillId="2" borderId="15" xfId="0" applyFont="1" applyFill="1" applyBorder="1" applyAlignment="1">
      <alignment horizontal="center" vertical="center" wrapText="1"/>
    </xf>
    <xf numFmtId="0" fontId="90" fillId="2" borderId="1" xfId="0" applyFont="1" applyFill="1" applyBorder="1" applyAlignment="1">
      <alignment horizontal="center" vertical="center"/>
    </xf>
    <xf numFmtId="0" fontId="91" fillId="2" borderId="1" xfId="0" applyFont="1" applyFill="1" applyBorder="1" applyAlignment="1">
      <alignment horizontal="center" vertical="center" wrapText="1"/>
    </xf>
    <xf numFmtId="2" fontId="92" fillId="2" borderId="45" xfId="0" applyNumberFormat="1" applyFont="1" applyFill="1" applyBorder="1" applyAlignment="1">
      <alignment horizontal="center" vertical="center" wrapText="1"/>
    </xf>
    <xf numFmtId="2" fontId="92" fillId="2" borderId="15" xfId="0" applyNumberFormat="1" applyFont="1" applyFill="1" applyBorder="1" applyAlignment="1">
      <alignment horizontal="center" vertical="center" wrapText="1"/>
    </xf>
    <xf numFmtId="0" fontId="0" fillId="41" borderId="111" xfId="0" applyFill="1" applyBorder="1" applyAlignment="1">
      <alignment horizontal="center" vertical="center" wrapText="1"/>
    </xf>
    <xf numFmtId="0" fontId="90" fillId="0" borderId="115" xfId="0" applyFont="1" applyBorder="1" applyAlignment="1">
      <alignment horizontal="center" vertical="center"/>
    </xf>
    <xf numFmtId="0" fontId="98" fillId="53" borderId="107" xfId="0" applyFont="1" applyFill="1" applyBorder="1" applyAlignment="1">
      <alignment horizontal="center" vertical="center"/>
    </xf>
    <xf numFmtId="0" fontId="98" fillId="53" borderId="108" xfId="0" applyFont="1" applyFill="1" applyBorder="1" applyAlignment="1">
      <alignment horizontal="center" vertical="center"/>
    </xf>
    <xf numFmtId="0" fontId="98" fillId="53" borderId="102" xfId="0" applyFont="1" applyFill="1" applyBorder="1" applyAlignment="1">
      <alignment horizontal="center" vertical="center" wrapText="1"/>
    </xf>
    <xf numFmtId="0" fontId="98" fillId="53" borderId="104" xfId="0" applyFont="1" applyFill="1" applyBorder="1" applyAlignment="1">
      <alignment horizontal="center" vertical="center" wrapText="1"/>
    </xf>
    <xf numFmtId="0" fontId="0" fillId="53" borderId="102" xfId="0" applyFill="1" applyBorder="1" applyAlignment="1">
      <alignment horizontal="center" vertical="center"/>
    </xf>
    <xf numFmtId="0" fontId="0" fillId="53" borderId="104" xfId="0" applyFill="1" applyBorder="1" applyAlignment="1">
      <alignment horizontal="center" vertical="center"/>
    </xf>
    <xf numFmtId="0" fontId="98" fillId="53" borderId="102" xfId="0" applyFont="1" applyFill="1" applyBorder="1" applyAlignment="1">
      <alignment horizontal="center" vertical="center"/>
    </xf>
    <xf numFmtId="0" fontId="98" fillId="53" borderId="104" xfId="0" applyFont="1" applyFill="1" applyBorder="1" applyAlignment="1">
      <alignment horizontal="center" vertical="center"/>
    </xf>
    <xf numFmtId="0" fontId="0" fillId="53" borderId="102" xfId="0" applyFill="1" applyBorder="1" applyAlignment="1">
      <alignment horizontal="center" vertical="center" wrapText="1"/>
    </xf>
    <xf numFmtId="0" fontId="0" fillId="53" borderId="104" xfId="0" applyFill="1" applyBorder="1" applyAlignment="1">
      <alignment horizontal="center" vertical="center" wrapText="1"/>
    </xf>
    <xf numFmtId="0" fontId="0" fillId="53" borderId="26" xfId="0" applyFill="1" applyBorder="1" applyAlignment="1">
      <alignment horizontal="center" vertical="center"/>
    </xf>
    <xf numFmtId="0" fontId="98" fillId="53" borderId="110" xfId="0" applyFont="1" applyFill="1" applyBorder="1" applyAlignment="1">
      <alignment horizontal="center" vertical="center"/>
    </xf>
    <xf numFmtId="0" fontId="98" fillId="53" borderId="26" xfId="0" applyFont="1" applyFill="1" applyBorder="1" applyAlignment="1">
      <alignment horizontal="center" vertical="center" wrapText="1"/>
    </xf>
    <xf numFmtId="0" fontId="98" fillId="53" borderId="103" xfId="0" applyFont="1" applyFill="1" applyBorder="1" applyAlignment="1">
      <alignment horizontal="center" vertical="center" wrapText="1"/>
    </xf>
    <xf numFmtId="0" fontId="98" fillId="53" borderId="105" xfId="0" applyFont="1" applyFill="1" applyBorder="1" applyAlignment="1">
      <alignment horizontal="center" vertical="center" wrapText="1"/>
    </xf>
    <xf numFmtId="0" fontId="98" fillId="53" borderId="26" xfId="0" applyFont="1" applyFill="1" applyBorder="1" applyAlignment="1">
      <alignment horizontal="center" vertical="center"/>
    </xf>
    <xf numFmtId="0" fontId="98" fillId="53" borderId="69" xfId="0" applyFont="1" applyFill="1" applyBorder="1" applyAlignment="1">
      <alignment horizontal="center" vertical="center" wrapText="1"/>
    </xf>
    <xf numFmtId="0" fontId="98" fillId="55" borderId="102" xfId="0" applyFont="1" applyFill="1" applyBorder="1" applyAlignment="1">
      <alignment horizontal="center" vertical="center"/>
    </xf>
    <xf numFmtId="0" fontId="98" fillId="55" borderId="104" xfId="0" applyFont="1" applyFill="1" applyBorder="1" applyAlignment="1">
      <alignment horizontal="center" vertical="center"/>
    </xf>
    <xf numFmtId="0" fontId="0" fillId="53" borderId="26" xfId="0" applyFill="1" applyBorder="1" applyAlignment="1">
      <alignment horizontal="center"/>
    </xf>
    <xf numFmtId="0" fontId="0" fillId="53" borderId="104" xfId="0" applyFill="1" applyBorder="1" applyAlignment="1">
      <alignment horizontal="center"/>
    </xf>
    <xf numFmtId="0" fontId="0" fillId="55" borderId="1" xfId="0" applyFill="1" applyBorder="1" applyAlignment="1">
      <alignment horizontal="center" vertical="center" wrapText="1"/>
    </xf>
    <xf numFmtId="0" fontId="88" fillId="55" borderId="1" xfId="0" applyFont="1" applyFill="1" applyBorder="1" applyAlignment="1">
      <alignment horizontal="center" vertical="center" wrapText="1"/>
    </xf>
    <xf numFmtId="0" fontId="98" fillId="53" borderId="103" xfId="0" applyFont="1" applyFill="1" applyBorder="1" applyAlignment="1">
      <alignment horizontal="center" vertical="center"/>
    </xf>
    <xf numFmtId="0" fontId="98" fillId="53" borderId="105" xfId="0" applyFont="1" applyFill="1" applyBorder="1" applyAlignment="1">
      <alignment horizontal="center" vertical="center"/>
    </xf>
    <xf numFmtId="0" fontId="98" fillId="55" borderId="103" xfId="0" applyFont="1" applyFill="1" applyBorder="1" applyAlignment="1">
      <alignment horizontal="center" vertical="center" wrapText="1"/>
    </xf>
    <xf numFmtId="0" fontId="98" fillId="55" borderId="105" xfId="0" applyFont="1" applyFill="1" applyBorder="1" applyAlignment="1">
      <alignment horizontal="center" vertical="center" wrapText="1"/>
    </xf>
    <xf numFmtId="0" fontId="0" fillId="55" borderId="111" xfId="0" applyFill="1" applyBorder="1" applyAlignment="1">
      <alignment horizontal="center" vertical="center" wrapText="1"/>
    </xf>
    <xf numFmtId="0" fontId="0" fillId="55" borderId="15" xfId="0" applyFill="1" applyBorder="1" applyAlignment="1">
      <alignment horizontal="center" vertical="center" wrapText="1"/>
    </xf>
    <xf numFmtId="0" fontId="98" fillId="55" borderId="112" xfId="0" applyFont="1" applyFill="1" applyBorder="1" applyAlignment="1">
      <alignment horizontal="center" vertical="center" wrapText="1"/>
    </xf>
    <xf numFmtId="0" fontId="98" fillId="55" borderId="107" xfId="0" applyFont="1" applyFill="1" applyBorder="1" applyAlignment="1">
      <alignment horizontal="center" vertical="center"/>
    </xf>
    <xf numFmtId="0" fontId="98" fillId="55" borderId="108" xfId="0" applyFont="1" applyFill="1" applyBorder="1" applyAlignment="1">
      <alignment horizontal="center" vertical="center"/>
    </xf>
    <xf numFmtId="0" fontId="98" fillId="55" borderId="102" xfId="0" applyFont="1" applyFill="1" applyBorder="1" applyAlignment="1">
      <alignment horizontal="center" vertical="center" wrapText="1"/>
    </xf>
    <xf numFmtId="0" fontId="98" fillId="55" borderId="104" xfId="0" applyFont="1" applyFill="1" applyBorder="1" applyAlignment="1">
      <alignment horizontal="center" vertical="center" wrapText="1"/>
    </xf>
    <xf numFmtId="0" fontId="98" fillId="55" borderId="109" xfId="0" applyFont="1" applyFill="1" applyBorder="1" applyAlignment="1">
      <alignment horizontal="center" vertical="center"/>
    </xf>
    <xf numFmtId="0" fontId="98" fillId="55" borderId="15" xfId="0" applyFont="1" applyFill="1" applyBorder="1" applyAlignment="1">
      <alignment horizontal="center" vertical="center" wrapText="1"/>
    </xf>
    <xf numFmtId="0" fontId="98" fillId="55" borderId="15" xfId="0" applyFont="1" applyFill="1" applyBorder="1" applyAlignment="1">
      <alignment horizontal="center" vertical="center"/>
    </xf>
    <xf numFmtId="0" fontId="98" fillId="0" borderId="70" xfId="0" applyFont="1" applyBorder="1" applyAlignment="1">
      <alignment horizontal="center" vertical="center" wrapText="1"/>
    </xf>
    <xf numFmtId="0" fontId="98" fillId="0" borderId="15" xfId="0" applyFont="1" applyBorder="1" applyAlignment="1">
      <alignment horizontal="center" vertical="center" wrapText="1"/>
    </xf>
    <xf numFmtId="0" fontId="98" fillId="0" borderId="68" xfId="0" applyFont="1" applyBorder="1" applyAlignment="1">
      <alignment horizontal="center" vertical="center"/>
    </xf>
    <xf numFmtId="0" fontId="98" fillId="0" borderId="15" xfId="0" applyFont="1" applyBorder="1" applyAlignment="1">
      <alignment horizontal="center" vertical="center"/>
    </xf>
    <xf numFmtId="0" fontId="98" fillId="0" borderId="26" xfId="0" applyFont="1" applyBorder="1" applyAlignment="1">
      <alignment horizontal="center" vertical="center" wrapText="1"/>
    </xf>
    <xf numFmtId="0" fontId="0" fillId="0" borderId="72" xfId="0" applyBorder="1" applyAlignment="1">
      <alignment horizontal="center" vertical="center"/>
    </xf>
    <xf numFmtId="0" fontId="0" fillId="0" borderId="71" xfId="0" applyBorder="1" applyAlignment="1">
      <alignment horizontal="center" vertical="center"/>
    </xf>
    <xf numFmtId="0" fontId="98" fillId="0" borderId="99" xfId="0" applyFont="1" applyBorder="1" applyAlignment="1">
      <alignment horizontal="center" vertical="center"/>
    </xf>
    <xf numFmtId="0" fontId="100" fillId="46" borderId="73" xfId="0" applyFont="1" applyFill="1" applyBorder="1" applyAlignment="1">
      <alignment horizontal="center" vertical="center"/>
    </xf>
    <xf numFmtId="0" fontId="100" fillId="46" borderId="5" xfId="0" applyFont="1" applyFill="1" applyBorder="1" applyAlignment="1">
      <alignment horizontal="center" vertical="center"/>
    </xf>
    <xf numFmtId="0" fontId="100" fillId="46" borderId="75" xfId="0" applyFont="1" applyFill="1" applyBorder="1" applyAlignment="1">
      <alignment horizontal="center" vertical="center"/>
    </xf>
    <xf numFmtId="0" fontId="102" fillId="47" borderId="73" xfId="0" applyFont="1" applyFill="1" applyBorder="1" applyAlignment="1">
      <alignment horizontal="center" vertical="center" wrapText="1"/>
    </xf>
    <xf numFmtId="0" fontId="102" fillId="47" borderId="5" xfId="0" applyFont="1" applyFill="1" applyBorder="1" applyAlignment="1">
      <alignment horizontal="center" vertical="center" wrapText="1"/>
    </xf>
    <xf numFmtId="0" fontId="105" fillId="48" borderId="94" xfId="0" applyFont="1" applyFill="1" applyBorder="1" applyAlignment="1">
      <alignment vertical="center"/>
    </xf>
    <xf numFmtId="0" fontId="105" fillId="48" borderId="95" xfId="0" applyFont="1" applyFill="1" applyBorder="1" applyAlignment="1">
      <alignment vertical="center"/>
    </xf>
    <xf numFmtId="0" fontId="111" fillId="45" borderId="90" xfId="0" applyFont="1" applyFill="1" applyBorder="1" applyAlignment="1">
      <alignment horizontal="center" vertical="center" wrapText="1"/>
    </xf>
    <xf numFmtId="0" fontId="111" fillId="45" borderId="89" xfId="0" applyFont="1" applyFill="1" applyBorder="1" applyAlignment="1">
      <alignment horizontal="center" vertical="center" wrapText="1"/>
    </xf>
    <xf numFmtId="0" fontId="111" fillId="45" borderId="82" xfId="0" applyFont="1" applyFill="1" applyBorder="1" applyAlignment="1">
      <alignment horizontal="center" vertical="center" wrapText="1"/>
    </xf>
    <xf numFmtId="14" fontId="106" fillId="45" borderId="90" xfId="0" applyNumberFormat="1" applyFont="1" applyFill="1" applyBorder="1" applyAlignment="1">
      <alignment horizontal="center" vertical="center"/>
    </xf>
    <xf numFmtId="14" fontId="106" fillId="45" borderId="89" xfId="0" applyNumberFormat="1" applyFont="1" applyFill="1" applyBorder="1" applyAlignment="1">
      <alignment horizontal="center" vertical="center"/>
    </xf>
    <xf numFmtId="14" fontId="106" fillId="45" borderId="82" xfId="0" applyNumberFormat="1" applyFont="1" applyFill="1" applyBorder="1" applyAlignment="1">
      <alignment horizontal="center" vertical="center"/>
    </xf>
    <xf numFmtId="0" fontId="91" fillId="47" borderId="90" xfId="0" applyFont="1" applyFill="1" applyBorder="1" applyAlignment="1">
      <alignment horizontal="center" vertical="center"/>
    </xf>
    <xf numFmtId="0" fontId="91" fillId="47" borderId="89" xfId="0" applyFont="1" applyFill="1" applyBorder="1" applyAlignment="1">
      <alignment horizontal="center" vertical="center"/>
    </xf>
    <xf numFmtId="0" fontId="91" fillId="47" borderId="82" xfId="0" applyFont="1" applyFill="1" applyBorder="1" applyAlignment="1">
      <alignment horizontal="center" vertical="center"/>
    </xf>
    <xf numFmtId="0" fontId="111" fillId="42" borderId="90" xfId="0" applyFont="1" applyFill="1" applyBorder="1" applyAlignment="1">
      <alignment vertical="center" wrapText="1"/>
    </xf>
    <xf numFmtId="0" fontId="111" fillId="42" borderId="82" xfId="0" applyFont="1" applyFill="1" applyBorder="1" applyAlignment="1">
      <alignment vertical="center" wrapText="1"/>
    </xf>
    <xf numFmtId="0" fontId="111" fillId="42" borderId="90" xfId="0" applyFont="1" applyFill="1" applyBorder="1" applyAlignment="1">
      <alignment horizontal="center" vertical="center" wrapText="1"/>
    </xf>
    <xf numFmtId="0" fontId="111" fillId="42" borderId="82" xfId="0" applyFont="1" applyFill="1" applyBorder="1" applyAlignment="1">
      <alignment horizontal="center" vertical="center" wrapText="1"/>
    </xf>
    <xf numFmtId="0" fontId="111" fillId="42" borderId="89" xfId="0" applyFont="1" applyFill="1" applyBorder="1" applyAlignment="1">
      <alignment horizontal="center" vertical="center" wrapText="1"/>
    </xf>
    <xf numFmtId="0" fontId="105" fillId="48" borderId="96" xfId="0" applyFont="1" applyFill="1" applyBorder="1" applyAlignment="1">
      <alignment vertical="center"/>
    </xf>
    <xf numFmtId="0" fontId="105" fillId="48" borderId="86" xfId="0" applyFont="1" applyFill="1" applyBorder="1" applyAlignment="1">
      <alignment vertical="center"/>
    </xf>
    <xf numFmtId="0" fontId="112" fillId="47" borderId="90" xfId="0" applyFont="1" applyFill="1" applyBorder="1" applyAlignment="1">
      <alignment horizontal="center" vertical="center"/>
    </xf>
    <xf numFmtId="0" fontId="112" fillId="47" borderId="89" xfId="0" applyFont="1" applyFill="1" applyBorder="1" applyAlignment="1">
      <alignment horizontal="center" vertical="center"/>
    </xf>
    <xf numFmtId="0" fontId="112" fillId="47" borderId="82" xfId="0" applyFont="1" applyFill="1" applyBorder="1" applyAlignment="1">
      <alignment horizontal="center" vertical="center"/>
    </xf>
    <xf numFmtId="0" fontId="91" fillId="50" borderId="90" xfId="0" applyFont="1" applyFill="1" applyBorder="1" applyAlignment="1">
      <alignment horizontal="center" vertical="center"/>
    </xf>
    <xf numFmtId="0" fontId="91" fillId="50" borderId="89" xfId="0" applyFont="1" applyFill="1" applyBorder="1" applyAlignment="1">
      <alignment horizontal="center" vertical="center"/>
    </xf>
    <xf numFmtId="0" fontId="91" fillId="50" borderId="82" xfId="0" applyFont="1" applyFill="1" applyBorder="1" applyAlignment="1">
      <alignment horizontal="center" vertical="center"/>
    </xf>
    <xf numFmtId="0" fontId="21" fillId="45" borderId="90" xfId="0" applyFont="1" applyFill="1" applyBorder="1" applyAlignment="1">
      <alignment horizontal="center" vertical="center" wrapText="1"/>
    </xf>
    <xf numFmtId="0" fontId="21" fillId="45" borderId="82" xfId="0" applyFont="1" applyFill="1" applyBorder="1" applyAlignment="1">
      <alignment horizontal="center" vertical="center" wrapText="1"/>
    </xf>
    <xf numFmtId="0" fontId="109" fillId="47" borderId="90" xfId="0" applyFont="1" applyFill="1" applyBorder="1" applyAlignment="1">
      <alignment horizontal="center" vertical="center" wrapText="1"/>
    </xf>
    <xf numFmtId="0" fontId="109" fillId="47" borderId="89" xfId="0" applyFont="1" applyFill="1" applyBorder="1" applyAlignment="1">
      <alignment horizontal="center" vertical="center" wrapText="1"/>
    </xf>
    <xf numFmtId="0" fontId="109" fillId="47" borderId="82" xfId="0" applyFont="1" applyFill="1" applyBorder="1" applyAlignment="1">
      <alignment horizontal="center" vertical="center" wrapText="1"/>
    </xf>
    <xf numFmtId="0" fontId="21" fillId="45" borderId="89" xfId="0" applyFont="1" applyFill="1" applyBorder="1" applyAlignment="1">
      <alignment horizontal="center" vertical="center" wrapText="1"/>
    </xf>
    <xf numFmtId="0" fontId="91" fillId="51" borderId="90" xfId="0" applyFont="1" applyFill="1" applyBorder="1" applyAlignment="1">
      <alignment horizontal="center" vertical="center"/>
    </xf>
    <xf numFmtId="0" fontId="91" fillId="51" borderId="89" xfId="0" applyFont="1" applyFill="1" applyBorder="1" applyAlignment="1">
      <alignment horizontal="center" vertical="center"/>
    </xf>
    <xf numFmtId="0" fontId="91" fillId="51" borderId="82" xfId="0" applyFont="1" applyFill="1" applyBorder="1" applyAlignment="1">
      <alignment horizontal="center" vertical="center"/>
    </xf>
    <xf numFmtId="0" fontId="113" fillId="45" borderId="90" xfId="0" applyFont="1" applyFill="1" applyBorder="1" applyAlignment="1">
      <alignment horizontal="center" vertical="center" wrapText="1"/>
    </xf>
    <xf numFmtId="0" fontId="113" fillId="45" borderId="89" xfId="0" applyFont="1" applyFill="1" applyBorder="1" applyAlignment="1">
      <alignment horizontal="center" vertical="center" wrapText="1"/>
    </xf>
    <xf numFmtId="0" fontId="113" fillId="45" borderId="82" xfId="0" applyFont="1" applyFill="1" applyBorder="1" applyAlignment="1">
      <alignment horizontal="center" vertical="center" wrapText="1"/>
    </xf>
    <xf numFmtId="0" fontId="91" fillId="42" borderId="90" xfId="0" applyFont="1" applyFill="1" applyBorder="1" applyAlignment="1">
      <alignment horizontal="center" vertical="center"/>
    </xf>
    <xf numFmtId="0" fontId="91" fillId="42" borderId="89" xfId="0" applyFont="1" applyFill="1" applyBorder="1" applyAlignment="1">
      <alignment horizontal="center" vertical="center"/>
    </xf>
    <xf numFmtId="0" fontId="91" fillId="42" borderId="82" xfId="0" applyFont="1" applyFill="1" applyBorder="1" applyAlignment="1">
      <alignment horizontal="center" vertical="center"/>
    </xf>
    <xf numFmtId="0" fontId="106" fillId="45" borderId="90" xfId="0" applyFont="1" applyFill="1" applyBorder="1" applyAlignment="1">
      <alignment horizontal="center" vertical="center"/>
    </xf>
    <xf numFmtId="0" fontId="106" fillId="45" borderId="89" xfId="0" applyFont="1" applyFill="1" applyBorder="1" applyAlignment="1">
      <alignment horizontal="center" vertical="center"/>
    </xf>
    <xf numFmtId="0" fontId="106" fillId="45" borderId="82" xfId="0" applyFont="1" applyFill="1" applyBorder="1" applyAlignment="1">
      <alignment horizontal="center" vertical="center"/>
    </xf>
    <xf numFmtId="0" fontId="113" fillId="45" borderId="93" xfId="0" applyFont="1" applyFill="1" applyBorder="1" applyAlignment="1">
      <alignment horizontal="center" vertical="center" wrapText="1"/>
    </xf>
    <xf numFmtId="0" fontId="113" fillId="45" borderId="92" xfId="0" applyFont="1" applyFill="1" applyBorder="1" applyAlignment="1">
      <alignment horizontal="center" vertical="center" wrapText="1"/>
    </xf>
    <xf numFmtId="0" fontId="113" fillId="45" borderId="88" xfId="0" applyFont="1" applyFill="1" applyBorder="1" applyAlignment="1">
      <alignment horizontal="center" vertical="center" wrapText="1"/>
    </xf>
    <xf numFmtId="0" fontId="108" fillId="42" borderId="97" xfId="0" applyFont="1" applyFill="1" applyBorder="1" applyAlignment="1">
      <alignment horizontal="center" vertical="center" wrapText="1"/>
    </xf>
    <xf numFmtId="0" fontId="108" fillId="42" borderId="0" xfId="0" applyFont="1" applyFill="1" applyAlignment="1">
      <alignment horizontal="center" vertical="center" wrapText="1"/>
    </xf>
    <xf numFmtId="0" fontId="108" fillId="42" borderId="80" xfId="0" applyFont="1" applyFill="1" applyBorder="1" applyAlignment="1">
      <alignment horizontal="center" vertical="center" wrapText="1"/>
    </xf>
    <xf numFmtId="0" fontId="108" fillId="49" borderId="97" xfId="0" applyFont="1" applyFill="1" applyBorder="1" applyAlignment="1">
      <alignment horizontal="center" vertical="center" wrapText="1"/>
    </xf>
    <xf numFmtId="0" fontId="108" fillId="49" borderId="0" xfId="0" applyFont="1" applyFill="1" applyAlignment="1">
      <alignment horizontal="center" vertical="center" wrapText="1"/>
    </xf>
    <xf numFmtId="0" fontId="108" fillId="49" borderId="80" xfId="0" applyFont="1" applyFill="1" applyBorder="1" applyAlignment="1">
      <alignment horizontal="center" vertical="center" wrapText="1"/>
    </xf>
    <xf numFmtId="0" fontId="108" fillId="49" borderId="90" xfId="0" applyFont="1" applyFill="1" applyBorder="1" applyAlignment="1">
      <alignment horizontal="center" vertical="center" wrapText="1"/>
    </xf>
    <xf numFmtId="0" fontId="108" fillId="49" borderId="89" xfId="0" applyFont="1" applyFill="1" applyBorder="1" applyAlignment="1">
      <alignment horizontal="center" vertical="center" wrapText="1"/>
    </xf>
    <xf numFmtId="0" fontId="108" fillId="49" borderId="82" xfId="0" applyFont="1" applyFill="1" applyBorder="1" applyAlignment="1">
      <alignment horizontal="center" vertical="center" wrapText="1"/>
    </xf>
    <xf numFmtId="0" fontId="91" fillId="47" borderId="84" xfId="0" applyFont="1" applyFill="1" applyBorder="1" applyAlignment="1">
      <alignment horizontal="center" vertical="center"/>
    </xf>
    <xf numFmtId="0" fontId="91" fillId="47" borderId="83" xfId="0" applyFont="1" applyFill="1" applyBorder="1" applyAlignment="1">
      <alignment horizontal="center" vertical="center"/>
    </xf>
    <xf numFmtId="0" fontId="91" fillId="47" borderId="79" xfId="0" applyFont="1" applyFill="1" applyBorder="1" applyAlignment="1">
      <alignment horizontal="center" vertical="center"/>
    </xf>
    <xf numFmtId="0" fontId="102" fillId="47" borderId="91" xfId="0" applyFont="1" applyFill="1" applyBorder="1" applyAlignment="1">
      <alignment horizontal="center" vertical="center" wrapText="1"/>
    </xf>
    <xf numFmtId="0" fontId="102" fillId="47" borderId="13" xfId="0" applyFont="1" applyFill="1" applyBorder="1" applyAlignment="1">
      <alignment horizontal="center" vertical="center" wrapText="1"/>
    </xf>
    <xf numFmtId="0" fontId="108" fillId="47" borderId="98" xfId="0" applyFont="1" applyFill="1" applyBorder="1" applyAlignment="1">
      <alignment horizontal="center" vertical="center" wrapText="1"/>
    </xf>
    <xf numFmtId="0" fontId="108" fillId="47" borderId="82" xfId="0" applyFont="1" applyFill="1" applyBorder="1" applyAlignment="1">
      <alignment horizontal="center" vertical="center" wrapText="1"/>
    </xf>
    <xf numFmtId="0" fontId="109" fillId="47" borderId="90" xfId="0" applyFont="1" applyFill="1" applyBorder="1" applyAlignment="1">
      <alignment vertical="center" wrapText="1"/>
    </xf>
    <xf numFmtId="0" fontId="109" fillId="47" borderId="89" xfId="0" applyFont="1" applyFill="1" applyBorder="1" applyAlignment="1">
      <alignment vertical="center" wrapText="1"/>
    </xf>
    <xf numFmtId="0" fontId="110" fillId="47" borderId="90" xfId="0" applyFont="1" applyFill="1" applyBorder="1" applyAlignment="1">
      <alignment vertical="center" wrapText="1"/>
    </xf>
    <xf numFmtId="0" fontId="110" fillId="47" borderId="82" xfId="0" applyFont="1" applyFill="1" applyBorder="1" applyAlignment="1">
      <alignment vertical="center" wrapText="1"/>
    </xf>
    <xf numFmtId="0" fontId="96" fillId="49" borderId="90" xfId="0" applyFont="1" applyFill="1" applyBorder="1" applyAlignment="1">
      <alignment horizontal="center" vertical="center" wrapText="1"/>
    </xf>
    <xf numFmtId="0" fontId="96" fillId="49" borderId="89" xfId="0" applyFont="1" applyFill="1" applyBorder="1" applyAlignment="1">
      <alignment horizontal="center" vertical="center" wrapText="1"/>
    </xf>
    <xf numFmtId="0" fontId="96" fillId="49" borderId="82" xfId="0" applyFont="1" applyFill="1" applyBorder="1" applyAlignment="1">
      <alignment horizontal="center" vertical="center" wrapText="1"/>
    </xf>
    <xf numFmtId="0" fontId="110" fillId="42" borderId="0" xfId="0" applyFont="1" applyFill="1" applyAlignment="1">
      <alignment vertical="center"/>
    </xf>
    <xf numFmtId="0" fontId="91" fillId="47" borderId="90" xfId="0" applyFont="1" applyFill="1" applyBorder="1" applyAlignment="1">
      <alignment horizontal="center" vertical="center" wrapText="1"/>
    </xf>
    <xf numFmtId="0" fontId="91" fillId="47" borderId="89" xfId="0" applyFont="1" applyFill="1" applyBorder="1" applyAlignment="1">
      <alignment horizontal="center" vertical="center" wrapText="1"/>
    </xf>
    <xf numFmtId="0" fontId="91" fillId="42" borderId="93" xfId="0" applyFont="1" applyFill="1" applyBorder="1" applyAlignment="1">
      <alignment horizontal="center" vertical="center"/>
    </xf>
    <xf numFmtId="0" fontId="91" fillId="42" borderId="92" xfId="0" applyFont="1" applyFill="1" applyBorder="1" applyAlignment="1">
      <alignment horizontal="center" vertical="center"/>
    </xf>
    <xf numFmtId="0" fontId="0" fillId="42" borderId="107" xfId="0" applyFill="1" applyBorder="1" applyAlignment="1">
      <alignment horizontal="center" vertical="center"/>
    </xf>
    <xf numFmtId="0" fontId="0" fillId="42" borderId="110" xfId="0" applyFill="1" applyBorder="1" applyAlignment="1">
      <alignment horizontal="center" vertical="center"/>
    </xf>
    <xf numFmtId="0" fontId="0" fillId="42" borderId="108" xfId="0" applyFill="1" applyBorder="1" applyAlignment="1">
      <alignment horizontal="center" vertical="center"/>
    </xf>
    <xf numFmtId="0" fontId="0" fillId="42" borderId="102" xfId="0" applyFill="1" applyBorder="1" applyAlignment="1">
      <alignment horizontal="center" vertical="center"/>
    </xf>
    <xf numFmtId="0" fontId="0" fillId="42" borderId="104" xfId="0" applyFill="1" applyBorder="1" applyAlignment="1">
      <alignment horizontal="center" vertical="center"/>
    </xf>
    <xf numFmtId="0" fontId="87" fillId="2" borderId="140" xfId="1" applyFont="1" applyFill="1" applyBorder="1" applyAlignment="1">
      <alignment horizontal="center" vertical="center" wrapText="1"/>
    </xf>
    <xf numFmtId="0" fontId="87" fillId="2" borderId="141" xfId="1" applyFont="1" applyFill="1" applyBorder="1" applyAlignment="1">
      <alignment horizontal="center" vertical="center" wrapText="1"/>
    </xf>
    <xf numFmtId="0" fontId="249" fillId="0" borderId="450" xfId="0" applyFont="1" applyBorder="1" applyAlignment="1">
      <alignment horizontal="center" vertical="center" wrapText="1"/>
    </xf>
    <xf numFmtId="0" fontId="254" fillId="42" borderId="450" xfId="0" applyFont="1" applyFill="1" applyBorder="1" applyAlignment="1">
      <alignment horizontal="center"/>
    </xf>
    <xf numFmtId="14" fontId="254" fillId="0" borderId="450" xfId="0" applyNumberFormat="1" applyFont="1" applyBorder="1" applyAlignment="1">
      <alignment horizontal="center" vertical="center"/>
    </xf>
  </cellXfs>
  <cellStyles count="7846">
    <cellStyle name="_x000a_shell=progma" xfId="2"/>
    <cellStyle name="_x000a_shell=progma 2" xfId="3"/>
    <cellStyle name="_x000a_shell=progma 2 2" xfId="7001"/>
    <cellStyle name="_x000a_shell=progma 3" xfId="1357"/>
    <cellStyle name="_x000a_shell=progma 3 2" xfId="6986"/>
    <cellStyle name="_x000a_shell=progma 4" xfId="1358"/>
    <cellStyle name="_x000a_shell=progma 4 2" xfId="6971"/>
    <cellStyle name="_x000a_shell=progma 5" xfId="1359"/>
    <cellStyle name="_x000a_shell=progma 5 2" xfId="7006"/>
    <cellStyle name="_x000a_shell=progma 6" xfId="4932"/>
    <cellStyle name="_x000a_shell=progma 7" xfId="6981"/>
    <cellStyle name="$0" xfId="823"/>
    <cellStyle name="$0 2" xfId="3472"/>
    <cellStyle name="$0.0" xfId="824"/>
    <cellStyle name="$0.0 2" xfId="7018"/>
    <cellStyle name="$0.00" xfId="825"/>
    <cellStyle name="$0.00 2" xfId="3426"/>
    <cellStyle name="$0_J37E PIP Panel 5" xfId="826"/>
    <cellStyle name="％" xfId="966"/>
    <cellStyle name="％ 2" xfId="3475"/>
    <cellStyle name="%0" xfId="827"/>
    <cellStyle name="%0 2" xfId="3479"/>
    <cellStyle name="%0.0" xfId="828"/>
    <cellStyle name="%0.0 2" xfId="3480"/>
    <cellStyle name="%0_J37E PIP Panel 5" xfId="829"/>
    <cellStyle name="％小数点1桁" xfId="967"/>
    <cellStyle name="％小数点1桁 2" xfId="3464"/>
    <cellStyle name="％小数点2桁" xfId="968"/>
    <cellStyle name="％小数点2桁 2" xfId="3468"/>
    <cellStyle name="?? [0.00]_01Protege ME (PAP-3)" xfId="830"/>
    <cellStyle name="???? [0.00]_01Protege ME (PAP-3)" xfId="831"/>
    <cellStyle name="??_01Protege ME (PAP-3)" xfId="832"/>
    <cellStyle name="?W準_RAO-S2" xfId="833"/>
    <cellStyle name="_01-07- 20070102" xfId="4"/>
    <cellStyle name="_01-07- 20070102 2" xfId="5"/>
    <cellStyle name="_01-07- 20070102 3" xfId="6"/>
    <cellStyle name="_Book1 (15)" xfId="7"/>
    <cellStyle name="_Book5" xfId="8"/>
    <cellStyle name="_Book5 2" xfId="9"/>
    <cellStyle name="_Book5 2 2" xfId="10"/>
    <cellStyle name="_Book5 3" xfId="11"/>
    <cellStyle name="_Book5 4" xfId="7030"/>
    <cellStyle name="_Book5_31311 YR9 ECN DETAILS" xfId="12"/>
    <cellStyle name="_Credit Sale amort_Model-N" xfId="13"/>
    <cellStyle name="_Credit Sale amort_Model-N_31311 YR9 ECN DETAILS" xfId="14"/>
    <cellStyle name="_Credit Sale amort_Model-N_Book1" xfId="15"/>
    <cellStyle name="_Credit Sale amort_Model-N_RATE COMP. 20010-2012" xfId="16"/>
    <cellStyle name="_exp0708_13feb" xfId="17"/>
    <cellStyle name="_exp0708_13feb 2" xfId="18"/>
    <cellStyle name="_exp0708_13feb 2 2" xfId="19"/>
    <cellStyle name="_exp0708_13feb 3" xfId="20"/>
    <cellStyle name="_exp0708_13feb 4" xfId="7032"/>
    <cellStyle name="_exp0708_13feb_31311 YR9 ECN DETAILS" xfId="21"/>
    <cellStyle name="_F         06-07" xfId="22"/>
    <cellStyle name="_F         06-07 2" xfId="23"/>
    <cellStyle name="_F         06-07 3" xfId="7036"/>
    <cellStyle name="_FE Q1 2010~11" xfId="24"/>
    <cellStyle name="_FE Q2 final Sheet" xfId="25"/>
    <cellStyle name="_LATEST PROJECT COST YP8 RA" xfId="26"/>
    <cellStyle name="_LATEST PROJECT COST YP8 RA 2" xfId="7037"/>
    <cellStyle name="_MODEL N FINAL 27 nov'09" xfId="27"/>
    <cellStyle name="_Nego-MOM" xfId="28"/>
    <cellStyle name="_RATE COMP. 20010-2012" xfId="29"/>
    <cellStyle name="_Setlement and working for YL8 regulators-Aditya" xfId="30"/>
    <cellStyle name="_V105 recovery details" xfId="31"/>
    <cellStyle name="_VeeGee Tool  Amortisation Details (1)" xfId="32"/>
    <cellStyle name="_YL8 WR ringi" xfId="33"/>
    <cellStyle name="_笵 [0.00]_!!!GO" xfId="834"/>
    <cellStyle name="_笵 [0.00]_!!!GO 2" xfId="3505"/>
    <cellStyle name="_笵 [0.00]_Region Orders (2)" xfId="835"/>
    <cellStyle name="_笵 [0.00]_Region Orders (2) 2" xfId="7040"/>
    <cellStyle name="_笵 [0.00]_Region Orders (2)_020129 J04C 動燃資料" xfId="836"/>
    <cellStyle name="_笵 [0.00]_Region Orders (2)_020129 J04C 動燃資料 2" xfId="3415"/>
    <cellStyle name="_笵 [0.00]_Region Orders (2)_KOR" xfId="837"/>
    <cellStyle name="_笵 [0.00]_Region Orders (2)_KOR 2" xfId="3508"/>
    <cellStyle name="_笵 [0.00]_Region Orders (2)_SPA" xfId="838"/>
    <cellStyle name="_笵 [0.00]_Region Orders (2)_SPA 2" xfId="3511"/>
    <cellStyle name="_笵 [0.00]_Region Summary (2)" xfId="839"/>
    <cellStyle name="_笵 [0.00]_Region Summary (2) 2" xfId="7046"/>
    <cellStyle name="_笵 [0.00]_Region Summary (2)_020129 J04C 動燃資料" xfId="840"/>
    <cellStyle name="_笵 [0.00]_Region Summary (2)_020129 J04C 動燃資料 2" xfId="3515"/>
    <cellStyle name="_笵 [0.00]_Region Summary (2)_KOR" xfId="841"/>
    <cellStyle name="_笵 [0.00]_Region Summary (2)_KOR 2" xfId="3520"/>
    <cellStyle name="_笵 [0.00]_Region Summary (2)_SPA" xfId="842"/>
    <cellStyle name="_笵 [0.00]_Region Summary (2)_SPA 2" xfId="3521"/>
    <cellStyle name="_笵_!!!GO" xfId="843"/>
    <cellStyle name="_笵_!!!GO 2" xfId="3525"/>
    <cellStyle name="_笵_Region Orders (2)" xfId="844"/>
    <cellStyle name="_笵_Region Orders (2) 2" xfId="7057"/>
    <cellStyle name="_笵_Region Orders (2)_020129 J04C 動燃資料" xfId="845"/>
    <cellStyle name="_笵_Region Orders (2)_020129 J04C 動燃資料 2" xfId="3533"/>
    <cellStyle name="_笵_Region Orders (2)_KOR" xfId="846"/>
    <cellStyle name="_笵_Region Orders (2)_KOR 2" xfId="3534"/>
    <cellStyle name="_笵_Region Orders (2)_SPA" xfId="847"/>
    <cellStyle name="_笵_Region Orders (2)_SPA 2" xfId="7066"/>
    <cellStyle name="_笵_Region Summary (2)" xfId="848"/>
    <cellStyle name="_笵_Region Summary (2) 2" xfId="7067"/>
    <cellStyle name="_笵_Region Summary (2)_020129 J04C 動燃資料" xfId="849"/>
    <cellStyle name="_笵_Region Summary (2)_020129 J04C 動燃資料 2" xfId="3540"/>
    <cellStyle name="_笵_Region Summary (2)_KOR" xfId="850"/>
    <cellStyle name="_笵_Region Summary (2)_KOR 2" xfId="3541"/>
    <cellStyle name="_笵_Region Summary (2)_SPA" xfId="851"/>
    <cellStyle name="_笵_Region Summary (2)_SPA 2" xfId="7070"/>
    <cellStyle name="・霪_!!!GO" xfId="852"/>
    <cellStyle name="0" xfId="853"/>
    <cellStyle name="0 2" xfId="3549"/>
    <cellStyle name="0.0" xfId="854"/>
    <cellStyle name="0.0 2" xfId="7076"/>
    <cellStyle name="0.00" xfId="855"/>
    <cellStyle name="0.00 2" xfId="3514"/>
    <cellStyle name="0_010712操安ｸﾞﾗﾌ" xfId="856"/>
    <cellStyle name="0_010712操安ｸﾞﾗﾌ 2" xfId="3554"/>
    <cellStyle name="0_J04Assumption_PrePPS_010412_CPED" xfId="857"/>
    <cellStyle name="0_J04Assumption_PrePPS_010412_CPED 2" xfId="3556"/>
    <cellStyle name="0_J37E PIP Panel 5" xfId="858"/>
    <cellStyle name="0_J37E PIP Panel 5 2" xfId="3560"/>
    <cellStyle name="0_J60_F&amp;O" xfId="859"/>
    <cellStyle name="0_J60_F&amp;O 2" xfId="3562"/>
    <cellStyle name="0_J60E_PMT Features &amp; Option List No.1" xfId="860"/>
    <cellStyle name="0_J60E_PMT Features &amp; Option List No.1 2" xfId="3564"/>
    <cellStyle name="0_J60MEDraft991007" xfId="861"/>
    <cellStyle name="0_J60MEDraft991007 2" xfId="3565"/>
    <cellStyle name="0_J60X AssumptionJ_010712.xls グラフ 15" xfId="862"/>
    <cellStyle name="0_J60X AssumptionJ_010712.xls グラフ 15 2" xfId="3567"/>
    <cellStyle name="0_J60X AssumptionJ_010712.xls グラフ 6" xfId="863"/>
    <cellStyle name="0_J60X AssumptionJ_010712.xls グラフ 6 2" xfId="3445"/>
    <cellStyle name="0_Master#2_J60X Hardware_Assump" xfId="864"/>
    <cellStyle name="0_Master#2_J60X Hardware_Assump 2" xfId="3569"/>
    <cellStyle name="0_Newest 011001_3PPM日程" xfId="865"/>
    <cellStyle name="0_Newest 011001_3PPM日程 2" xfId="3570"/>
    <cellStyle name="0_日程" xfId="866"/>
    <cellStyle name="0_日程 2" xfId="3573"/>
    <cellStyle name="20% - Accent1 2" xfId="34"/>
    <cellStyle name="20% - Accent1 2 2" xfId="728"/>
    <cellStyle name="20% - Accent1 2 2 2" xfId="7068"/>
    <cellStyle name="20% - Accent1 2 3" xfId="1360"/>
    <cellStyle name="20% - Accent1 2 3 2" xfId="7098"/>
    <cellStyle name="20% - Accent1 2 4" xfId="1361"/>
    <cellStyle name="20% - Accent1 2 4 2" xfId="7101"/>
    <cellStyle name="20% - Accent1 2 5" xfId="3489"/>
    <cellStyle name="20% - Accent1 2 6" xfId="7095"/>
    <cellStyle name="20% - Accent1 3" xfId="35"/>
    <cellStyle name="20% - Accent2 2" xfId="36"/>
    <cellStyle name="20% - Accent2 2 2" xfId="729"/>
    <cellStyle name="20% - Accent2 2 2 2" xfId="7105"/>
    <cellStyle name="20% - Accent2 2 3" xfId="1362"/>
    <cellStyle name="20% - Accent2 2 3 2" xfId="7106"/>
    <cellStyle name="20% - Accent2 2 4" xfId="1363"/>
    <cellStyle name="20% - Accent2 2 4 2" xfId="7042"/>
    <cellStyle name="20% - Accent2 2 5" xfId="4723"/>
    <cellStyle name="20% - Accent2 2 6" xfId="7104"/>
    <cellStyle name="20% - Accent2 3" xfId="37"/>
    <cellStyle name="20% - Accent3 2" xfId="38"/>
    <cellStyle name="20% - Accent3 2 2" xfId="730"/>
    <cellStyle name="20% - Accent3 2 2 2" xfId="7107"/>
    <cellStyle name="20% - Accent3 2 3" xfId="1364"/>
    <cellStyle name="20% - Accent3 2 3 2" xfId="7111"/>
    <cellStyle name="20% - Accent3 2 4" xfId="1365"/>
    <cellStyle name="20% - Accent3 2 4 2" xfId="7114"/>
    <cellStyle name="20% - Accent3 2 5" xfId="4405"/>
    <cellStyle name="20% - Accent3 2 6" xfId="6983"/>
    <cellStyle name="20% - Accent3 3" xfId="39"/>
    <cellStyle name="20% - Accent4 2" xfId="40"/>
    <cellStyle name="20% - Accent4 2 2" xfId="731"/>
    <cellStyle name="20% - Accent4 2 2 2" xfId="7120"/>
    <cellStyle name="20% - Accent4 2 3" xfId="1367"/>
    <cellStyle name="20% - Accent4 2 3 2" xfId="7121"/>
    <cellStyle name="20% - Accent4 2 4" xfId="1368"/>
    <cellStyle name="20% - Accent4 2 4 2" xfId="7122"/>
    <cellStyle name="20% - Accent4 2 5" xfId="4831"/>
    <cellStyle name="20% - Accent4 2 6" xfId="7118"/>
    <cellStyle name="20% - Accent4 3" xfId="41"/>
    <cellStyle name="20% - Accent5 2" xfId="42"/>
    <cellStyle name="20% - Accent5 2 2" xfId="732"/>
    <cellStyle name="20% - Accent5 2 2 2" xfId="7124"/>
    <cellStyle name="20% - Accent5 2 3" xfId="1370"/>
    <cellStyle name="20% - Accent5 2 3 2" xfId="7125"/>
    <cellStyle name="20% - Accent5 2 4" xfId="1371"/>
    <cellStyle name="20% - Accent5 2 4 2" xfId="7126"/>
    <cellStyle name="20% - Accent5 2 5" xfId="3661"/>
    <cellStyle name="20% - Accent5 2 6" xfId="7123"/>
    <cellStyle name="20% - Accent5 3" xfId="43"/>
    <cellStyle name="20% - Accent6 2" xfId="44"/>
    <cellStyle name="20% - Accent6 2 2" xfId="733"/>
    <cellStyle name="20% - Accent6 2 2 2" xfId="7130"/>
    <cellStyle name="20% - Accent6 2 3" xfId="1373"/>
    <cellStyle name="20% - Accent6 2 3 2" xfId="7133"/>
    <cellStyle name="20% - Accent6 2 4" xfId="1374"/>
    <cellStyle name="20% - Accent6 2 4 2" xfId="7136"/>
    <cellStyle name="20% - Accent6 2 5" xfId="4742"/>
    <cellStyle name="20% - Accent6 2 6" xfId="7128"/>
    <cellStyle name="20% - Accent6 3" xfId="45"/>
    <cellStyle name="20% - アクセント 1" xfId="46"/>
    <cellStyle name="20% - アクセント 1 2" xfId="3611"/>
    <cellStyle name="20% - アクセント 2" xfId="47"/>
    <cellStyle name="20% - アクセント 2 2" xfId="3615"/>
    <cellStyle name="20% - アクセント 3" xfId="48"/>
    <cellStyle name="20% - アクセント 3 2" xfId="3619"/>
    <cellStyle name="20% - アクセント 4" xfId="49"/>
    <cellStyle name="20% - アクセント 4 2" xfId="3621"/>
    <cellStyle name="20% - アクセント 5" xfId="50"/>
    <cellStyle name="20% - アクセント 5 2" xfId="3622"/>
    <cellStyle name="20% - アクセント 6" xfId="51"/>
    <cellStyle name="20% - アクセント 6 2" xfId="3623"/>
    <cellStyle name="20% - 강조색1" xfId="52"/>
    <cellStyle name="20% - 강조색2" xfId="53"/>
    <cellStyle name="20% - 강조색3" xfId="54"/>
    <cellStyle name="20% - 강조색4" xfId="55"/>
    <cellStyle name="20% - 강조색5" xfId="56"/>
    <cellStyle name="20% - 강조색6" xfId="57"/>
    <cellStyle name="40% - Accent1 2" xfId="58"/>
    <cellStyle name="40% - Accent1 2 2" xfId="734"/>
    <cellStyle name="40% - Accent1 2 2 2" xfId="7139"/>
    <cellStyle name="40% - Accent1 2 3" xfId="1376"/>
    <cellStyle name="40% - Accent1 2 3 2" xfId="7141"/>
    <cellStyle name="40% - Accent1 2 4" xfId="1377"/>
    <cellStyle name="40% - Accent1 2 4 2" xfId="7143"/>
    <cellStyle name="40% - Accent1 2 5" xfId="4753"/>
    <cellStyle name="40% - Accent1 2 6" xfId="7022"/>
    <cellStyle name="40% - Accent1 3" xfId="59"/>
    <cellStyle name="40% - Accent2 2" xfId="60"/>
    <cellStyle name="40% - Accent2 2 2" xfId="735"/>
    <cellStyle name="40% - Accent2 2 2 2" xfId="7147"/>
    <cellStyle name="40% - Accent2 2 3" xfId="1378"/>
    <cellStyle name="40% - Accent2 2 3 2" xfId="7149"/>
    <cellStyle name="40% - Accent2 2 4" xfId="1379"/>
    <cellStyle name="40% - Accent2 2 4 2" xfId="7151"/>
    <cellStyle name="40% - Accent2 2 5" xfId="3503"/>
    <cellStyle name="40% - Accent2 2 6" xfId="7085"/>
    <cellStyle name="40% - Accent2 3" xfId="61"/>
    <cellStyle name="40% - Accent3 2" xfId="62"/>
    <cellStyle name="40% - Accent3 2 2" xfId="736"/>
    <cellStyle name="40% - Accent3 2 2 2" xfId="7079"/>
    <cellStyle name="40% - Accent3 2 3" xfId="1381"/>
    <cellStyle name="40% - Accent3 2 3 2" xfId="7153"/>
    <cellStyle name="40% - Accent3 2 4" xfId="1382"/>
    <cellStyle name="40% - Accent3 2 4 2" xfId="7155"/>
    <cellStyle name="40% - Accent3 2 5" xfId="4214"/>
    <cellStyle name="40% - Accent3 2 6" xfId="7152"/>
    <cellStyle name="40% - Accent3 3" xfId="63"/>
    <cellStyle name="40% - Accent4 2" xfId="64"/>
    <cellStyle name="40% - Accent4 2 2" xfId="737"/>
    <cellStyle name="40% - Accent4 2 2 2" xfId="7160"/>
    <cellStyle name="40% - Accent4 2 3" xfId="1384"/>
    <cellStyle name="40% - Accent4 2 3 2" xfId="7163"/>
    <cellStyle name="40% - Accent4 2 4" xfId="1385"/>
    <cellStyle name="40% - Accent4 2 4 2" xfId="7164"/>
    <cellStyle name="40% - Accent4 2 5" xfId="3487"/>
    <cellStyle name="40% - Accent4 2 6" xfId="7157"/>
    <cellStyle name="40% - Accent4 3" xfId="65"/>
    <cellStyle name="40% - Accent5 2" xfId="66"/>
    <cellStyle name="40% - Accent5 2 2" xfId="738"/>
    <cellStyle name="40% - Accent5 2 2 2" xfId="7166"/>
    <cellStyle name="40% - Accent5 2 3" xfId="1386"/>
    <cellStyle name="40% - Accent5 2 3 2" xfId="7168"/>
    <cellStyle name="40% - Accent5 2 4" xfId="1387"/>
    <cellStyle name="40% - Accent5 2 4 2" xfId="7170"/>
    <cellStyle name="40% - Accent5 2 5" xfId="4548"/>
    <cellStyle name="40% - Accent5 2 6" xfId="7091"/>
    <cellStyle name="40% - Accent5 3" xfId="67"/>
    <cellStyle name="40% - Accent6 2" xfId="68"/>
    <cellStyle name="40% - Accent6 2 2" xfId="739"/>
    <cellStyle name="40% - Accent6 2 2 2" xfId="7174"/>
    <cellStyle name="40% - Accent6 2 3" xfId="1389"/>
    <cellStyle name="40% - Accent6 2 3 2" xfId="7176"/>
    <cellStyle name="40% - Accent6 2 4" xfId="1390"/>
    <cellStyle name="40% - Accent6 2 4 2" xfId="7179"/>
    <cellStyle name="40% - Accent6 2 5" xfId="4755"/>
    <cellStyle name="40% - Accent6 2 6" xfId="7172"/>
    <cellStyle name="40% - Accent6 3" xfId="69"/>
    <cellStyle name="40% - アクセント 1" xfId="70"/>
    <cellStyle name="40% - アクセント 1 2" xfId="3647"/>
    <cellStyle name="40% - アクセント 2" xfId="71"/>
    <cellStyle name="40% - アクセント 2 2" xfId="3662"/>
    <cellStyle name="40% - アクセント 3" xfId="72"/>
    <cellStyle name="40% - アクセント 3 2" xfId="3663"/>
    <cellStyle name="40% - アクセント 4" xfId="73"/>
    <cellStyle name="40% - アクセント 4 2" xfId="3664"/>
    <cellStyle name="40% - アクセント 5" xfId="74"/>
    <cellStyle name="40% - アクセント 5 2" xfId="3665"/>
    <cellStyle name="40% - アクセント 6" xfId="75"/>
    <cellStyle name="40% - アクセント 6 2" xfId="3668"/>
    <cellStyle name="40% - 강조색1" xfId="76"/>
    <cellStyle name="40% - 강조색2" xfId="77"/>
    <cellStyle name="40% - 강조색3" xfId="78"/>
    <cellStyle name="40% - 강조색4" xfId="79"/>
    <cellStyle name="40% - 강조색5" xfId="80"/>
    <cellStyle name="40% - 강조색6" xfId="81"/>
    <cellStyle name="60% - Accent1 2" xfId="82"/>
    <cellStyle name="60% - Accent1 2 2" xfId="740"/>
    <cellStyle name="60% - Accent1 2 2 2" xfId="7189"/>
    <cellStyle name="60% - Accent1 2 3" xfId="1392"/>
    <cellStyle name="60% - Accent1 2 3 2" xfId="7173"/>
    <cellStyle name="60% - Accent1 2 4" xfId="1393"/>
    <cellStyle name="60% - Accent1 2 4 2" xfId="7191"/>
    <cellStyle name="60% - Accent1 2 5" xfId="4937"/>
    <cellStyle name="60% - Accent1 2 6" xfId="7187"/>
    <cellStyle name="60% - Accent1 3" xfId="83"/>
    <cellStyle name="60% - Accent2 2" xfId="84"/>
    <cellStyle name="60% - Accent2 2 2" xfId="741"/>
    <cellStyle name="60% - Accent2 2 2 2" xfId="7024"/>
    <cellStyle name="60% - Accent2 2 3" xfId="1394"/>
    <cellStyle name="60% - Accent2 2 3 2" xfId="7192"/>
    <cellStyle name="60% - Accent2 2 4" xfId="1395"/>
    <cellStyle name="60% - Accent2 2 4 2" xfId="7194"/>
    <cellStyle name="60% - Accent2 2 5" xfId="4878"/>
    <cellStyle name="60% - Accent2 2 6" xfId="7043"/>
    <cellStyle name="60% - Accent2 3" xfId="85"/>
    <cellStyle name="60% - Accent3 2" xfId="86"/>
    <cellStyle name="60% - Accent3 2 2" xfId="742"/>
    <cellStyle name="60% - Accent3 2 2 2" xfId="7195"/>
    <cellStyle name="60% - Accent3 2 3" xfId="1396"/>
    <cellStyle name="60% - Accent3 2 3 2" xfId="6975"/>
    <cellStyle name="60% - Accent3 2 4" xfId="1397"/>
    <cellStyle name="60% - Accent3 2 4 2" xfId="7197"/>
    <cellStyle name="60% - Accent3 2 5" xfId="4222"/>
    <cellStyle name="60% - Accent3 2 6" xfId="6997"/>
    <cellStyle name="60% - Accent3 3" xfId="87"/>
    <cellStyle name="60% - Accent4 2" xfId="88"/>
    <cellStyle name="60% - Accent4 2 2" xfId="743"/>
    <cellStyle name="60% - Accent4 2 2 2" xfId="7199"/>
    <cellStyle name="60% - Accent4 2 3" xfId="1399"/>
    <cellStyle name="60% - Accent4 2 3 2" xfId="7200"/>
    <cellStyle name="60% - Accent4 2 4" xfId="1400"/>
    <cellStyle name="60% - Accent4 2 4 2" xfId="7201"/>
    <cellStyle name="60% - Accent4 2 5" xfId="4884"/>
    <cellStyle name="60% - Accent4 2 6" xfId="7198"/>
    <cellStyle name="60% - Accent4 3" xfId="89"/>
    <cellStyle name="60% - Accent5 2" xfId="90"/>
    <cellStyle name="60% - Accent5 2 2" xfId="744"/>
    <cellStyle name="60% - Accent5 2 2 2" xfId="7205"/>
    <cellStyle name="60% - Accent5 2 3" xfId="1401"/>
    <cellStyle name="60% - Accent5 2 3 2" xfId="7206"/>
    <cellStyle name="60% - Accent5 2 4" xfId="1402"/>
    <cellStyle name="60% - Accent5 2 4 2" xfId="7208"/>
    <cellStyle name="60% - Accent5 2 5" xfId="3841"/>
    <cellStyle name="60% - Accent5 2 6" xfId="7203"/>
    <cellStyle name="60% - Accent5 3" xfId="91"/>
    <cellStyle name="60% - Accent6 2" xfId="92"/>
    <cellStyle name="60% - Accent6 2 2" xfId="745"/>
    <cellStyle name="60% - Accent6 2 2 2" xfId="7209"/>
    <cellStyle name="60% - Accent6 2 3" xfId="1403"/>
    <cellStyle name="60% - Accent6 2 3 2" xfId="7210"/>
    <cellStyle name="60% - Accent6 2 4" xfId="1404"/>
    <cellStyle name="60% - Accent6 2 4 2" xfId="7212"/>
    <cellStyle name="60% - Accent6 2 5" xfId="4745"/>
    <cellStyle name="60% - Accent6 2 6" xfId="7165"/>
    <cellStyle name="60% - Accent6 3" xfId="93"/>
    <cellStyle name="60% - アクセント 1" xfId="94"/>
    <cellStyle name="60% - アクセント 1 2" xfId="3703"/>
    <cellStyle name="60% - アクセント 2" xfId="95"/>
    <cellStyle name="60% - アクセント 2 2" xfId="3707"/>
    <cellStyle name="60% - アクセント 3" xfId="96"/>
    <cellStyle name="60% - アクセント 3 2" xfId="3708"/>
    <cellStyle name="60% - アクセント 4" xfId="97"/>
    <cellStyle name="60% - アクセント 4 2" xfId="3709"/>
    <cellStyle name="60% - アクセント 5" xfId="98"/>
    <cellStyle name="60% - アクセント 5 2" xfId="3710"/>
    <cellStyle name="60% - アクセント 6" xfId="99"/>
    <cellStyle name="60% - アクセント 6 2" xfId="3711"/>
    <cellStyle name="60% - 강조색1" xfId="100"/>
    <cellStyle name="60% - 강조색2" xfId="101"/>
    <cellStyle name="60% - 강조색3" xfId="102"/>
    <cellStyle name="60% - 강조색4" xfId="103"/>
    <cellStyle name="60% - 강조색5" xfId="104"/>
    <cellStyle name="60% - 강조색6" xfId="105"/>
    <cellStyle name="ac" xfId="867"/>
    <cellStyle name="ac 2" xfId="3713"/>
    <cellStyle name="Accent1 - 20%" xfId="106"/>
    <cellStyle name="Accent1 - 20% 2" xfId="6990"/>
    <cellStyle name="Accent1 - 40%" xfId="107"/>
    <cellStyle name="Accent1 - 40% 2" xfId="7051"/>
    <cellStyle name="Accent1 - 60%" xfId="108"/>
    <cellStyle name="Accent1 - 60% 2" xfId="7221"/>
    <cellStyle name="Accent1 2" xfId="109"/>
    <cellStyle name="Accent1 2 2" xfId="746"/>
    <cellStyle name="Accent1 2 2 2" xfId="7225"/>
    <cellStyle name="Accent1 2 3" xfId="1405"/>
    <cellStyle name="Accent1 2 3 2" xfId="7228"/>
    <cellStyle name="Accent1 2 4" xfId="1406"/>
    <cellStyle name="Accent1 2 4 2" xfId="7094"/>
    <cellStyle name="Accent1 2 5" xfId="3833"/>
    <cellStyle name="Accent1 2 6" xfId="7223"/>
    <cellStyle name="Accent1 3" xfId="110"/>
    <cellStyle name="Accent2 - 20%" xfId="111"/>
    <cellStyle name="Accent2 - 20% 2" xfId="7230"/>
    <cellStyle name="Accent2 - 40%" xfId="112"/>
    <cellStyle name="Accent2 - 40% 2" xfId="6967"/>
    <cellStyle name="Accent2 - 60%" xfId="113"/>
    <cellStyle name="Accent2 - 60% 2" xfId="7047"/>
    <cellStyle name="Accent2 2" xfId="114"/>
    <cellStyle name="Accent2 2 2" xfId="747"/>
    <cellStyle name="Accent2 2 2 2" xfId="7010"/>
    <cellStyle name="Accent2 2 3" xfId="1408"/>
    <cellStyle name="Accent2 2 3 2" xfId="7059"/>
    <cellStyle name="Accent2 2 4" xfId="1409"/>
    <cellStyle name="Accent2 2 4 2" xfId="7231"/>
    <cellStyle name="Accent2 2 5" xfId="4348"/>
    <cellStyle name="Accent2 2 6" xfId="6973"/>
    <cellStyle name="Accent2 3" xfId="115"/>
    <cellStyle name="Accent3 - 20%" xfId="116"/>
    <cellStyle name="Accent3 - 20% 2" xfId="7233"/>
    <cellStyle name="Accent3 - 40%" xfId="117"/>
    <cellStyle name="Accent3 - 40% 2" xfId="7236"/>
    <cellStyle name="Accent3 - 60%" xfId="118"/>
    <cellStyle name="Accent3 - 60% 2" xfId="7237"/>
    <cellStyle name="Accent3 2" xfId="119"/>
    <cellStyle name="Accent3 2 2" xfId="748"/>
    <cellStyle name="Accent3 2 2 2" xfId="7243"/>
    <cellStyle name="Accent3 2 3" xfId="1410"/>
    <cellStyle name="Accent3 2 3 2" xfId="7244"/>
    <cellStyle name="Accent3 2 4" xfId="1411"/>
    <cellStyle name="Accent3 2 4 2" xfId="7245"/>
    <cellStyle name="Accent3 2 5" xfId="4003"/>
    <cellStyle name="Accent3 2 6" xfId="7241"/>
    <cellStyle name="Accent3 3" xfId="120"/>
    <cellStyle name="Accent4 - 20%" xfId="121"/>
    <cellStyle name="Accent4 - 20% 2" xfId="7246"/>
    <cellStyle name="Accent4 - 40%" xfId="122"/>
    <cellStyle name="Accent4 - 40% 2" xfId="7252"/>
    <cellStyle name="Accent4 - 60%" xfId="123"/>
    <cellStyle name="Accent4 - 60% 2" xfId="7254"/>
    <cellStyle name="Accent4 2" xfId="124"/>
    <cellStyle name="Accent4 2 2" xfId="749"/>
    <cellStyle name="Accent4 2 2 2" xfId="7256"/>
    <cellStyle name="Accent4 2 3" xfId="1412"/>
    <cellStyle name="Accent4 2 3 2" xfId="7258"/>
    <cellStyle name="Accent4 2 4" xfId="1413"/>
    <cellStyle name="Accent4 2 4 2" xfId="7259"/>
    <cellStyle name="Accent4 2 5" xfId="4195"/>
    <cellStyle name="Accent4 2 6" xfId="7008"/>
    <cellStyle name="Accent4 3" xfId="125"/>
    <cellStyle name="Accent5 - 20%" xfId="126"/>
    <cellStyle name="Accent5 - 20% 2" xfId="7069"/>
    <cellStyle name="Accent5 - 40%" xfId="127"/>
    <cellStyle name="Accent5 - 40% 2" xfId="7084"/>
    <cellStyle name="Accent5 - 60%" xfId="128"/>
    <cellStyle name="Accent5 - 60% 2" xfId="7082"/>
    <cellStyle name="Accent5 2" xfId="129"/>
    <cellStyle name="Accent5 2 2" xfId="750"/>
    <cellStyle name="Accent5 2 2 2" xfId="7260"/>
    <cellStyle name="Accent5 2 3" xfId="1414"/>
    <cellStyle name="Accent5 2 3 2" xfId="7262"/>
    <cellStyle name="Accent5 2 4" xfId="1415"/>
    <cellStyle name="Accent5 2 4 2" xfId="7264"/>
    <cellStyle name="Accent5 2 5" xfId="4595"/>
    <cellStyle name="Accent5 2 6" xfId="7234"/>
    <cellStyle name="Accent5 3" xfId="130"/>
    <cellStyle name="Accent6 - 20%" xfId="131"/>
    <cellStyle name="Accent6 - 20% 2" xfId="7267"/>
    <cellStyle name="Accent6 - 40%" xfId="132"/>
    <cellStyle name="Accent6 - 40% 2" xfId="7213"/>
    <cellStyle name="Accent6 - 60%" xfId="133"/>
    <cellStyle name="Accent6 - 60% 2" xfId="7268"/>
    <cellStyle name="Accent6 2" xfId="134"/>
    <cellStyle name="Accent6 2 2" xfId="751"/>
    <cellStyle name="Accent6 2 2 2" xfId="6985"/>
    <cellStyle name="Accent6 2 3" xfId="1416"/>
    <cellStyle name="Accent6 2 3 2" xfId="7269"/>
    <cellStyle name="Accent6 2 4" xfId="1417"/>
    <cellStyle name="Accent6 2 4 2" xfId="7270"/>
    <cellStyle name="Accent6 2 5" xfId="4556"/>
    <cellStyle name="Accent6 2 6" xfId="7257"/>
    <cellStyle name="Accent6 3" xfId="135"/>
    <cellStyle name="ÅëÈ­ [0]_¿ù°£" xfId="136"/>
    <cellStyle name="ÅëÈ­_¿ù°£" xfId="137"/>
    <cellStyle name="args.style" xfId="868"/>
    <cellStyle name="args.style 2" xfId="7275"/>
    <cellStyle name="ÄÞ¸¶ [0]_¿ù°£" xfId="138"/>
    <cellStyle name="ÄÞ¸¶_¿ù°£" xfId="139"/>
    <cellStyle name="Bad 2" xfId="140"/>
    <cellStyle name="Bad 2 2" xfId="752"/>
    <cellStyle name="Bad 2 2 2" xfId="7276"/>
    <cellStyle name="Bad 2 3" xfId="1418"/>
    <cellStyle name="Bad 2 3 2" xfId="7278"/>
    <cellStyle name="Bad 2 4" xfId="1419"/>
    <cellStyle name="Bad 2 4 2" xfId="7281"/>
    <cellStyle name="Bad 2 5" xfId="4951"/>
    <cellStyle name="Bad 2 6" xfId="7196"/>
    <cellStyle name="Bad 3" xfId="141"/>
    <cellStyle name="BuiltOpt_Content" xfId="869"/>
    <cellStyle name="Ç¥ÁØ_»çÀ¯¾ç½Ä" xfId="142"/>
    <cellStyle name="Calc Currency (0)" xfId="143"/>
    <cellStyle name="Calc Currency (0) 10" xfId="3778"/>
    <cellStyle name="Calc Currency (0) 11" xfId="5595"/>
    <cellStyle name="Calc Currency (0) 12" xfId="6606"/>
    <cellStyle name="Calc Currency (0) 13" xfId="7284"/>
    <cellStyle name="Calc Currency (0) 2" xfId="144"/>
    <cellStyle name="Calc Currency (0) 2 2" xfId="145"/>
    <cellStyle name="Calc Currency (0) 2 3" xfId="7285"/>
    <cellStyle name="Calc Currency (0) 3" xfId="146"/>
    <cellStyle name="Calc Currency (0) 3 10" xfId="5839"/>
    <cellStyle name="Calc Currency (0) 3 11" xfId="6438"/>
    <cellStyle name="Calc Currency (0) 3 12" xfId="6982"/>
    <cellStyle name="Calc Currency (0) 3 2" xfId="991"/>
    <cellStyle name="Calc Currency (0) 3 3" xfId="1246"/>
    <cellStyle name="Calc Currency (0) 3 4" xfId="2080"/>
    <cellStyle name="Calc Currency (0) 3 5" xfId="3041"/>
    <cellStyle name="Calc Currency (0) 3 6" xfId="3203"/>
    <cellStyle name="Calc Currency (0) 3 7" xfId="3324"/>
    <cellStyle name="Calc Currency (0) 3 8" xfId="3434"/>
    <cellStyle name="Calc Currency (0) 3 9" xfId="5491"/>
    <cellStyle name="Calc Currency (0) 4" xfId="805"/>
    <cellStyle name="Calc Currency (0) 4 10" xfId="6609"/>
    <cellStyle name="Calc Currency (0) 4 11" xfId="7287"/>
    <cellStyle name="Calc Currency (0) 4 2" xfId="1420"/>
    <cellStyle name="Calc Currency (0) 4 3" xfId="2081"/>
    <cellStyle name="Calc Currency (0) 4 4" xfId="3042"/>
    <cellStyle name="Calc Currency (0) 4 5" xfId="3204"/>
    <cellStyle name="Calc Currency (0) 4 6" xfId="3334"/>
    <cellStyle name="Calc Currency (0) 4 7" xfId="3781"/>
    <cellStyle name="Calc Currency (0) 4 8" xfId="5597"/>
    <cellStyle name="Calc Currency (0) 4 9" xfId="5840"/>
    <cellStyle name="Calc Currency (0) 5" xfId="1421"/>
    <cellStyle name="Calc Currency (0) 5 10" xfId="7119"/>
    <cellStyle name="Calc Currency (0) 5 2" xfId="2082"/>
    <cellStyle name="Calc Currency (0) 5 3" xfId="3043"/>
    <cellStyle name="Calc Currency (0) 5 4" xfId="3205"/>
    <cellStyle name="Calc Currency (0) 5 5" xfId="3349"/>
    <cellStyle name="Calc Currency (0) 5 6" xfId="3601"/>
    <cellStyle name="Calc Currency (0) 5 7" xfId="5545"/>
    <cellStyle name="Calc Currency (0) 5 8" xfId="5841"/>
    <cellStyle name="Calc Currency (0) 5 9" xfId="6506"/>
    <cellStyle name="Calc Currency (0) 6" xfId="1182"/>
    <cellStyle name="Calc Currency (0) 6 2" xfId="3358"/>
    <cellStyle name="Calc Currency (0) 6 3" xfId="4460"/>
    <cellStyle name="Calc Currency (0) 6 4" xfId="5842"/>
    <cellStyle name="Calc Currency (0) 7" xfId="1817"/>
    <cellStyle name="Calc Currency (0) 8" xfId="2972"/>
    <cellStyle name="Calc Currency (0) 9" xfId="3185"/>
    <cellStyle name="Calc Currency (0)_31311 YR9 ECN DETAILS" xfId="147"/>
    <cellStyle name="Calc Currency (2)" xfId="148"/>
    <cellStyle name="Calc Currency (2) 2" xfId="149"/>
    <cellStyle name="Calc Currency (2) 2 2" xfId="150"/>
    <cellStyle name="Calc Currency (2) 2 3" xfId="7090"/>
    <cellStyle name="Calc Currency (2) 3" xfId="151"/>
    <cellStyle name="Calc Currency (2) 3 2" xfId="7289"/>
    <cellStyle name="Calc Currency (2) 4" xfId="1422"/>
    <cellStyle name="Calc Currency (2) 4 2" xfId="7290"/>
    <cellStyle name="Calc Currency (2) 5" xfId="7288"/>
    <cellStyle name="Calc Currency (2)_31311 YR9 ECN DETAILS" xfId="152"/>
    <cellStyle name="Calc Percent (0)" xfId="153"/>
    <cellStyle name="Calc Percent (0) 2" xfId="154"/>
    <cellStyle name="Calc Percent (0) 2 2" xfId="155"/>
    <cellStyle name="Calc Percent (0) 2 3" xfId="7144"/>
    <cellStyle name="Calc Percent (0) 3" xfId="156"/>
    <cellStyle name="Calc Percent (0) 3 2" xfId="7291"/>
    <cellStyle name="Calc Percent (0) 4" xfId="1423"/>
    <cellStyle name="Calc Percent (0) 4 2" xfId="7292"/>
    <cellStyle name="Calc Percent (0) 5" xfId="7181"/>
    <cellStyle name="Calc Percent (0)_31311 YR9 ECN DETAILS" xfId="157"/>
    <cellStyle name="Calc Percent (1)" xfId="158"/>
    <cellStyle name="Calc Percent (1) 2" xfId="159"/>
    <cellStyle name="Calc Percent (1) 2 2" xfId="160"/>
    <cellStyle name="Calc Percent (1) 2 3" xfId="7099"/>
    <cellStyle name="Calc Percent (1) 3" xfId="161"/>
    <cellStyle name="Calc Percent (1) 3 2" xfId="7102"/>
    <cellStyle name="Calc Percent (1) 4" xfId="1424"/>
    <cellStyle name="Calc Percent (1) 4 2" xfId="7296"/>
    <cellStyle name="Calc Percent (1) 5" xfId="4637"/>
    <cellStyle name="Calc Percent (1) 6" xfId="7293"/>
    <cellStyle name="Calc Percent (1)_31311 YR9 ECN DETAILS" xfId="162"/>
    <cellStyle name="Calc Percent (2)" xfId="163"/>
    <cellStyle name="Calc Percent (2) 2" xfId="164"/>
    <cellStyle name="Calc Percent (2) 2 2" xfId="165"/>
    <cellStyle name="Calc Percent (2) 2 3" xfId="3414"/>
    <cellStyle name="Calc Percent (2) 2 4" xfId="6961"/>
    <cellStyle name="Calc Percent (2) 3" xfId="166"/>
    <cellStyle name="Calc Percent (2) 3 2" xfId="3431"/>
    <cellStyle name="Calc Percent (2) 3 3" xfId="6979"/>
    <cellStyle name="Calc Percent (2) 4" xfId="1425"/>
    <cellStyle name="Calc Percent (2) 4 2" xfId="3428"/>
    <cellStyle name="Calc Percent (2) 4 3" xfId="6976"/>
    <cellStyle name="Calc Percent (2) 5" xfId="3597"/>
    <cellStyle name="Calc Percent (2) 6" xfId="4861"/>
    <cellStyle name="Calc Percent (2) 7" xfId="7115"/>
    <cellStyle name="Calc Percent (2)_31311 YR9 ECN DETAILS" xfId="167"/>
    <cellStyle name="Calc Units (0)" xfId="168"/>
    <cellStyle name="Calc Units (0) 10" xfId="5600"/>
    <cellStyle name="Calc Units (0) 11" xfId="6616"/>
    <cellStyle name="Calc Units (0) 12" xfId="7298"/>
    <cellStyle name="Calc Units (0) 2" xfId="169"/>
    <cellStyle name="Calc Units (0) 2 10" xfId="5549"/>
    <cellStyle name="Calc Units (0) 2 11" xfId="5853"/>
    <cellStyle name="Calc Units (0) 2 12" xfId="6509"/>
    <cellStyle name="Calc Units (0) 2 13" xfId="7127"/>
    <cellStyle name="Calc Units (0) 2 2" xfId="170"/>
    <cellStyle name="Calc Units (0) 2 3" xfId="992"/>
    <cellStyle name="Calc Units (0) 2 4" xfId="1247"/>
    <cellStyle name="Calc Units (0) 2 5" xfId="2086"/>
    <cellStyle name="Calc Units (0) 2 6" xfId="3047"/>
    <cellStyle name="Calc Units (0) 2 7" xfId="3206"/>
    <cellStyle name="Calc Units (0) 2 8" xfId="3325"/>
    <cellStyle name="Calc Units (0) 2 9" xfId="3608"/>
    <cellStyle name="Calc Units (0) 3" xfId="171"/>
    <cellStyle name="Calc Units (0) 3 10" xfId="6617"/>
    <cellStyle name="Calc Units (0) 3 11" xfId="7299"/>
    <cellStyle name="Calc Units (0) 3 2" xfId="1426"/>
    <cellStyle name="Calc Units (0) 3 3" xfId="2087"/>
    <cellStyle name="Calc Units (0) 3 4" xfId="3048"/>
    <cellStyle name="Calc Units (0) 3 5" xfId="3207"/>
    <cellStyle name="Calc Units (0) 3 6" xfId="3338"/>
    <cellStyle name="Calc Units (0) 3 7" xfId="3792"/>
    <cellStyle name="Calc Units (0) 3 8" xfId="5601"/>
    <cellStyle name="Calc Units (0) 3 9" xfId="5854"/>
    <cellStyle name="Calc Units (0) 4" xfId="806"/>
    <cellStyle name="Calc Units (0) 4 10" xfId="6618"/>
    <cellStyle name="Calc Units (0) 4 11" xfId="7300"/>
    <cellStyle name="Calc Units (0) 4 2" xfId="1427"/>
    <cellStyle name="Calc Units (0) 4 3" xfId="2088"/>
    <cellStyle name="Calc Units (0) 4 4" xfId="3049"/>
    <cellStyle name="Calc Units (0) 4 5" xfId="3208"/>
    <cellStyle name="Calc Units (0) 4 6" xfId="3347"/>
    <cellStyle name="Calc Units (0) 4 7" xfId="3793"/>
    <cellStyle name="Calc Units (0) 4 8" xfId="5602"/>
    <cellStyle name="Calc Units (0) 4 9" xfId="5855"/>
    <cellStyle name="Calc Units (0) 5" xfId="1184"/>
    <cellStyle name="Calc Units (0) 5 2" xfId="3359"/>
    <cellStyle name="Calc Units (0) 5 3" xfId="4276"/>
    <cellStyle name="Calc Units (0) 5 4" xfId="5856"/>
    <cellStyle name="Calc Units (0) 6" xfId="1819"/>
    <cellStyle name="Calc Units (0) 7" xfId="2973"/>
    <cellStyle name="Calc Units (0) 8" xfId="3186"/>
    <cellStyle name="Calc Units (0) 9" xfId="3791"/>
    <cellStyle name="Calc Units (0)_31311 YR9 ECN DETAILS" xfId="172"/>
    <cellStyle name="Calc Units (1)" xfId="173"/>
    <cellStyle name="Calc Units (1) 2" xfId="174"/>
    <cellStyle name="Calc Units (1) 2 2" xfId="175"/>
    <cellStyle name="Calc Units (1) 2 3" xfId="7303"/>
    <cellStyle name="Calc Units (1) 3" xfId="176"/>
    <cellStyle name="Calc Units (1) 3 2" xfId="7307"/>
    <cellStyle name="Calc Units (1) 4" xfId="1430"/>
    <cellStyle name="Calc Units (1) 4 2" xfId="7055"/>
    <cellStyle name="Calc Units (1) 5" xfId="7302"/>
    <cellStyle name="Calc Units (1)_31311 YR9 ECN DETAILS" xfId="177"/>
    <cellStyle name="Calc Units (2)" xfId="178"/>
    <cellStyle name="Calc Units (2) 2" xfId="179"/>
    <cellStyle name="Calc Units (2) 2 2" xfId="180"/>
    <cellStyle name="Calc Units (2) 2 3" xfId="1431"/>
    <cellStyle name="Calc Units (2) 2 4" xfId="7308"/>
    <cellStyle name="Calc Units (2) 3" xfId="181"/>
    <cellStyle name="Calc Units (2) 3 2" xfId="1432"/>
    <cellStyle name="Calc Units (2) 3 3" xfId="7309"/>
    <cellStyle name="Calc Units (2) 4" xfId="753"/>
    <cellStyle name="Calc Units (2) 4 2" xfId="7310"/>
    <cellStyle name="Calc Units (2) 5" xfId="7193"/>
    <cellStyle name="Calculation 2" xfId="182"/>
    <cellStyle name="Calculation 2 10" xfId="2043"/>
    <cellStyle name="Calculation 2 11" xfId="2419"/>
    <cellStyle name="Calculation 2 12" xfId="1874"/>
    <cellStyle name="Calculation 2 13" xfId="2104"/>
    <cellStyle name="Calculation 2 14" xfId="2236"/>
    <cellStyle name="Calculation 2 15" xfId="2633"/>
    <cellStyle name="Calculation 2 16" xfId="2494"/>
    <cellStyle name="Calculation 2 17" xfId="2800"/>
    <cellStyle name="Calculation 2 18" xfId="2675"/>
    <cellStyle name="Calculation 2 19" xfId="2733"/>
    <cellStyle name="Calculation 2 2" xfId="183"/>
    <cellStyle name="Calculation 2 2 10" xfId="2276"/>
    <cellStyle name="Calculation 2 2 11" xfId="2640"/>
    <cellStyle name="Calculation 2 2 12" xfId="2752"/>
    <cellStyle name="Calculation 2 2 13" xfId="2813"/>
    <cellStyle name="Calculation 2 2 14" xfId="2076"/>
    <cellStyle name="Calculation 2 2 15" xfId="2625"/>
    <cellStyle name="Calculation 2 2 16" xfId="2398"/>
    <cellStyle name="Calculation 2 2 17" xfId="2449"/>
    <cellStyle name="Calculation 2 2 18" xfId="3008"/>
    <cellStyle name="Calculation 2 2 19" xfId="3036"/>
    <cellStyle name="Calculation 2 2 2" xfId="1016"/>
    <cellStyle name="Calculation 2 2 2 10" xfId="2603"/>
    <cellStyle name="Calculation 2 2 2 11" xfId="2652"/>
    <cellStyle name="Calculation 2 2 2 12" xfId="2505"/>
    <cellStyle name="Calculation 2 2 2 13" xfId="2028"/>
    <cellStyle name="Calculation 2 2 2 14" xfId="2541"/>
    <cellStyle name="Calculation 2 2 2 15" xfId="2836"/>
    <cellStyle name="Calculation 2 2 2 16" xfId="2877"/>
    <cellStyle name="Calculation 2 2 2 17" xfId="2906"/>
    <cellStyle name="Calculation 2 2 2 18" xfId="2933"/>
    <cellStyle name="Calculation 2 2 2 19" xfId="3224"/>
    <cellStyle name="Calculation 2 2 2 2" xfId="1134"/>
    <cellStyle name="Calculation 2 2 2 20" xfId="3372"/>
    <cellStyle name="Calculation 2 2 2 21" xfId="3656"/>
    <cellStyle name="Calculation 2 2 2 22" xfId="4783"/>
    <cellStyle name="Calculation 2 2 2 23" xfId="4910"/>
    <cellStyle name="Calculation 2 2 2 24" xfId="4290"/>
    <cellStyle name="Calculation 2 2 2 25" xfId="5173"/>
    <cellStyle name="Calculation 2 2 2 26" xfId="4944"/>
    <cellStyle name="Calculation 2 2 2 27" xfId="5351"/>
    <cellStyle name="Calculation 2 2 2 28" xfId="4802"/>
    <cellStyle name="Calculation 2 2 2 29" xfId="4470"/>
    <cellStyle name="Calculation 2 2 2 3" xfId="1185"/>
    <cellStyle name="Calculation 2 2 2 30" xfId="4379"/>
    <cellStyle name="Calculation 2 2 2 31" xfId="5860"/>
    <cellStyle name="Calculation 2 2 2 4" xfId="1513"/>
    <cellStyle name="Calculation 2 2 2 5" xfId="1245"/>
    <cellStyle name="Calculation 2 2 2 6" xfId="2369"/>
    <cellStyle name="Calculation 2 2 2 7" xfId="1815"/>
    <cellStyle name="Calculation 2 2 2 8" xfId="2474"/>
    <cellStyle name="Calculation 2 2 2 9" xfId="2555"/>
    <cellStyle name="Calculation 2 2 20" xfId="2960"/>
    <cellStyle name="Calculation 2 2 21" xfId="3081"/>
    <cellStyle name="Calculation 2 2 22" xfId="3274"/>
    <cellStyle name="Calculation 2 2 23" xfId="3308"/>
    <cellStyle name="Calculation 2 2 24" xfId="3430"/>
    <cellStyle name="Calculation 2 2 25" xfId="3536"/>
    <cellStyle name="Calculation 2 2 26" xfId="4013"/>
    <cellStyle name="Calculation 2 2 27" xfId="3775"/>
    <cellStyle name="Calculation 2 2 28" xfId="4186"/>
    <cellStyle name="Calculation 2 2 29" xfId="3910"/>
    <cellStyle name="Calculation 2 2 3" xfId="1100"/>
    <cellStyle name="Calculation 2 2 3 2" xfId="1277"/>
    <cellStyle name="Calculation 2 2 3 3" xfId="1179"/>
    <cellStyle name="Calculation 2 2 3 4" xfId="1648"/>
    <cellStyle name="Calculation 2 2 30" xfId="3741"/>
    <cellStyle name="Calculation 2 2 31" xfId="4228"/>
    <cellStyle name="Calculation 2 2 32" xfId="3899"/>
    <cellStyle name="Calculation 2 2 33" xfId="4277"/>
    <cellStyle name="Calculation 2 2 34" xfId="4804"/>
    <cellStyle name="Calculation 2 2 35" xfId="4227"/>
    <cellStyle name="Calculation 2 2 36" xfId="3967"/>
    <cellStyle name="Calculation 2 2 37" xfId="4231"/>
    <cellStyle name="Calculation 2 2 38" xfId="4558"/>
    <cellStyle name="Calculation 2 2 39" xfId="4633"/>
    <cellStyle name="Calculation 2 2 4" xfId="1936"/>
    <cellStyle name="Calculation 2 2 40" xfId="4294"/>
    <cellStyle name="Calculation 2 2 41" xfId="4620"/>
    <cellStyle name="Calculation 2 2 42" xfId="3486"/>
    <cellStyle name="Calculation 2 2 43" xfId="4851"/>
    <cellStyle name="Calculation 2 2 44" xfId="5206"/>
    <cellStyle name="Calculation 2 2 45" xfId="5253"/>
    <cellStyle name="Calculation 2 2 46" xfId="5154"/>
    <cellStyle name="Calculation 2 2 47" xfId="4599"/>
    <cellStyle name="Calculation 2 2 48" xfId="5438"/>
    <cellStyle name="Calculation 2 2 49" xfId="5392"/>
    <cellStyle name="Calculation 2 2 5" xfId="1956"/>
    <cellStyle name="Calculation 2 2 50" xfId="5113"/>
    <cellStyle name="Calculation 2 2 51" xfId="4600"/>
    <cellStyle name="Calculation 2 2 52" xfId="5489"/>
    <cellStyle name="Calculation 2 2 53" xfId="5650"/>
    <cellStyle name="Calculation 2 2 54" xfId="5552"/>
    <cellStyle name="Calculation 2 2 55" xfId="5725"/>
    <cellStyle name="Calculation 2 2 56" xfId="5520"/>
    <cellStyle name="Calculation 2 2 57" xfId="6168"/>
    <cellStyle name="Calculation 2 2 58" xfId="5824"/>
    <cellStyle name="Calculation 2 2 59" xfId="6041"/>
    <cellStyle name="Calculation 2 2 6" xfId="1985"/>
    <cellStyle name="Calculation 2 2 60" xfId="5988"/>
    <cellStyle name="Calculation 2 2 61" xfId="6096"/>
    <cellStyle name="Calculation 2 2 62" xfId="5804"/>
    <cellStyle name="Calculation 2 2 63" xfId="5987"/>
    <cellStyle name="Calculation 2 2 64" xfId="5793"/>
    <cellStyle name="Calculation 2 2 65" xfId="6155"/>
    <cellStyle name="Calculation 2 2 66" xfId="6114"/>
    <cellStyle name="Calculation 2 2 67" xfId="6388"/>
    <cellStyle name="Calculation 2 2 68" xfId="6729"/>
    <cellStyle name="Calculation 2 2 69" xfId="6806"/>
    <cellStyle name="Calculation 2 2 7" xfId="1896"/>
    <cellStyle name="Calculation 2 2 70" xfId="6862"/>
    <cellStyle name="Calculation 2 2 71" xfId="6707"/>
    <cellStyle name="Calculation 2 2 72" xfId="6680"/>
    <cellStyle name="Calculation 2 2 73" xfId="6869"/>
    <cellStyle name="Calculation 2 2 74" xfId="6553"/>
    <cellStyle name="Calculation 2 2 75" xfId="6681"/>
    <cellStyle name="Calculation 2 2 76" xfId="6733"/>
    <cellStyle name="Calculation 2 2 77" xfId="6978"/>
    <cellStyle name="Calculation 2 2 78" xfId="7756"/>
    <cellStyle name="Calculation 2 2 79" xfId="7798"/>
    <cellStyle name="Calculation 2 2 8" xfId="1760"/>
    <cellStyle name="Calculation 2 2 80" xfId="7686"/>
    <cellStyle name="Calculation 2 2 81" xfId="7826"/>
    <cellStyle name="Calculation 2 2 82" xfId="7698"/>
    <cellStyle name="Calculation 2 2 9" xfId="1984"/>
    <cellStyle name="Calculation 2 20" xfId="3132"/>
    <cellStyle name="Calculation 2 21" xfId="3034"/>
    <cellStyle name="Calculation 2 22" xfId="3273"/>
    <cellStyle name="Calculation 2 23" xfId="3333"/>
    <cellStyle name="Calculation 2 24" xfId="3612"/>
    <cellStyle name="Calculation 2 25" xfId="3548"/>
    <cellStyle name="Calculation 2 26" xfId="3699"/>
    <cellStyle name="Calculation 2 27" xfId="4468"/>
    <cellStyle name="Calculation 2 28" xfId="4434"/>
    <cellStyle name="Calculation 2 29" xfId="3493"/>
    <cellStyle name="Calculation 2 3" xfId="977"/>
    <cellStyle name="Calculation 2 3 10" xfId="2130"/>
    <cellStyle name="Calculation 2 3 11" xfId="2098"/>
    <cellStyle name="Calculation 2 3 12" xfId="2134"/>
    <cellStyle name="Calculation 2 3 13" xfId="2035"/>
    <cellStyle name="Calculation 2 3 14" xfId="2053"/>
    <cellStyle name="Calculation 2 3 15" xfId="2456"/>
    <cellStyle name="Calculation 2 3 16" xfId="2006"/>
    <cellStyle name="Calculation 2 3 17" xfId="1965"/>
    <cellStyle name="Calculation 2 3 18" xfId="2578"/>
    <cellStyle name="Calculation 2 3 19" xfId="2029"/>
    <cellStyle name="Calculation 2 3 2" xfId="1117"/>
    <cellStyle name="Calculation 2 3 2 2" xfId="1434"/>
    <cellStyle name="Calculation 2 3 2 3" xfId="1638"/>
    <cellStyle name="Calculation 2 3 2 4" xfId="1637"/>
    <cellStyle name="Calculation 2 3 20" xfId="2048"/>
    <cellStyle name="Calculation 2 3 21" xfId="2316"/>
    <cellStyle name="Calculation 2 3 22" xfId="2091"/>
    <cellStyle name="Calculation 2 3 23" xfId="1881"/>
    <cellStyle name="Calculation 2 3 24" xfId="2898"/>
    <cellStyle name="Calculation 2 3 25" xfId="3050"/>
    <cellStyle name="Calculation 2 3 26" xfId="3044"/>
    <cellStyle name="Calculation 2 3 27" xfId="2999"/>
    <cellStyle name="Calculation 2 3 28" xfId="3209"/>
    <cellStyle name="Calculation 2 3 29" xfId="3327"/>
    <cellStyle name="Calculation 2 3 3" xfId="1605"/>
    <cellStyle name="Calculation 2 3 3 2" xfId="1696"/>
    <cellStyle name="Calculation 2 3 3 3" xfId="1718"/>
    <cellStyle name="Calculation 2 3 30" xfId="3807"/>
    <cellStyle name="Calculation 2 3 31" xfId="3727"/>
    <cellStyle name="Calculation 2 3 32" xfId="3609"/>
    <cellStyle name="Calculation 2 3 33" xfId="3637"/>
    <cellStyle name="Calculation 2 3 34" xfId="3631"/>
    <cellStyle name="Calculation 2 3 35" xfId="3805"/>
    <cellStyle name="Calculation 2 3 36" xfId="4381"/>
    <cellStyle name="Calculation 2 3 37" xfId="4075"/>
    <cellStyle name="Calculation 2 3 38" xfId="4725"/>
    <cellStyle name="Calculation 2 3 39" xfId="3986"/>
    <cellStyle name="Calculation 2 3 4" xfId="1242"/>
    <cellStyle name="Calculation 2 3 40" xfId="3916"/>
    <cellStyle name="Calculation 2 3 41" xfId="4079"/>
    <cellStyle name="Calculation 2 3 42" xfId="3588"/>
    <cellStyle name="Calculation 2 3 43" xfId="4809"/>
    <cellStyle name="Calculation 2 3 44" xfId="4179"/>
    <cellStyle name="Calculation 2 3 45" xfId="3691"/>
    <cellStyle name="Calculation 2 3 46" xfId="4730"/>
    <cellStyle name="Calculation 2 3 47" xfId="3794"/>
    <cellStyle name="Calculation 2 3 48" xfId="4486"/>
    <cellStyle name="Calculation 2 3 49" xfId="4814"/>
    <cellStyle name="Calculation 2 3 5" xfId="1674"/>
    <cellStyle name="Calculation 2 3 50" xfId="3737"/>
    <cellStyle name="Calculation 2 3 51" xfId="4757"/>
    <cellStyle name="Calculation 2 3 52" xfId="4091"/>
    <cellStyle name="Calculation 2 3 53" xfId="4494"/>
    <cellStyle name="Calculation 2 3 54" xfId="5358"/>
    <cellStyle name="Calculation 2 3 55" xfId="5338"/>
    <cellStyle name="Calculation 2 3 56" xfId="4604"/>
    <cellStyle name="Calculation 2 3 57" xfId="5605"/>
    <cellStyle name="Calculation 2 3 58" xfId="5625"/>
    <cellStyle name="Calculation 2 3 59" xfId="5608"/>
    <cellStyle name="Calculation 2 3 6" xfId="2094"/>
    <cellStyle name="Calculation 2 3 60" xfId="5659"/>
    <cellStyle name="Calculation 2 3 61" xfId="5646"/>
    <cellStyle name="Calculation 2 3 62" xfId="5965"/>
    <cellStyle name="Calculation 2 3 63" xfId="5925"/>
    <cellStyle name="Calculation 2 3 64" xfId="6125"/>
    <cellStyle name="Calculation 2 3 65" xfId="6056"/>
    <cellStyle name="Calculation 2 3 66" xfId="6008"/>
    <cellStyle name="Calculation 2 3 67" xfId="6020"/>
    <cellStyle name="Calculation 2 3 68" xfId="5764"/>
    <cellStyle name="Calculation 2 3 69" xfId="6353"/>
    <cellStyle name="Calculation 2 3 7" xfId="1821"/>
    <cellStyle name="Calculation 2 3 70" xfId="5921"/>
    <cellStyle name="Calculation 2 3 71" xfId="6469"/>
    <cellStyle name="Calculation 2 3 72" xfId="6643"/>
    <cellStyle name="Calculation 2 3 73" xfId="6670"/>
    <cellStyle name="Calculation 2 3 74" xfId="6822"/>
    <cellStyle name="Calculation 2 3 75" xfId="6594"/>
    <cellStyle name="Calculation 2 3 76" xfId="6798"/>
    <cellStyle name="Calculation 2 3 77" xfId="6725"/>
    <cellStyle name="Calculation 2 3 78" xfId="7313"/>
    <cellStyle name="Calculation 2 3 79" xfId="7138"/>
    <cellStyle name="Calculation 2 3 8" xfId="1955"/>
    <cellStyle name="Calculation 2 3 80" xfId="7656"/>
    <cellStyle name="Calculation 2 3 81" xfId="7662"/>
    <cellStyle name="Calculation 2 3 82" xfId="7610"/>
    <cellStyle name="Calculation 2 3 83" xfId="7675"/>
    <cellStyle name="Calculation 2 3 9" xfId="2101"/>
    <cellStyle name="Calculation 2 30" xfId="4373"/>
    <cellStyle name="Calculation 2 31" xfId="4644"/>
    <cellStyle name="Calculation 2 32" xfId="4476"/>
    <cellStyle name="Calculation 2 33" xfId="4497"/>
    <cellStyle name="Calculation 2 34" xfId="4037"/>
    <cellStyle name="Calculation 2 35" xfId="4710"/>
    <cellStyle name="Calculation 2 36" xfId="4904"/>
    <cellStyle name="Calculation 2 37" xfId="4029"/>
    <cellStyle name="Calculation 2 38" xfId="4664"/>
    <cellStyle name="Calculation 2 39" xfId="4837"/>
    <cellStyle name="Calculation 2 4" xfId="754"/>
    <cellStyle name="Calculation 2 4 10" xfId="2025"/>
    <cellStyle name="Calculation 2 4 11" xfId="2097"/>
    <cellStyle name="Calculation 2 4 12" xfId="2145"/>
    <cellStyle name="Calculation 2 4 13" xfId="2213"/>
    <cellStyle name="Calculation 2 4 14" xfId="1902"/>
    <cellStyle name="Calculation 2 4 15" xfId="2635"/>
    <cellStyle name="Calculation 2 4 16" xfId="2709"/>
    <cellStyle name="Calculation 2 4 17" xfId="2017"/>
    <cellStyle name="Calculation 2 4 18" xfId="2166"/>
    <cellStyle name="Calculation 2 4 19" xfId="2111"/>
    <cellStyle name="Calculation 2 4 2" xfId="1606"/>
    <cellStyle name="Calculation 2 4 2 2" xfId="1697"/>
    <cellStyle name="Calculation 2 4 2 3" xfId="1719"/>
    <cellStyle name="Calculation 2 4 20" xfId="2266"/>
    <cellStyle name="Calculation 2 4 21" xfId="2775"/>
    <cellStyle name="Calculation 2 4 22" xfId="2058"/>
    <cellStyle name="Calculation 2 4 23" xfId="2894"/>
    <cellStyle name="Calculation 2 4 24" xfId="2074"/>
    <cellStyle name="Calculation 2 4 25" xfId="3051"/>
    <cellStyle name="Calculation 2 4 26" xfId="3045"/>
    <cellStyle name="Calculation 2 4 27" xfId="3156"/>
    <cellStyle name="Calculation 2 4 28" xfId="3210"/>
    <cellStyle name="Calculation 2 4 29" xfId="3271"/>
    <cellStyle name="Calculation 2 4 3" xfId="1435"/>
    <cellStyle name="Calculation 2 4 30" xfId="3626"/>
    <cellStyle name="Calculation 2 4 31" xfId="3936"/>
    <cellStyle name="Calculation 2 4 32" xfId="4281"/>
    <cellStyle name="Calculation 2 4 33" xfId="4253"/>
    <cellStyle name="Calculation 2 4 34" xfId="4217"/>
    <cellStyle name="Calculation 2 4 35" xfId="4484"/>
    <cellStyle name="Calculation 2 4 36" xfId="4529"/>
    <cellStyle name="Calculation 2 4 37" xfId="4480"/>
    <cellStyle name="Calculation 2 4 38" xfId="4295"/>
    <cellStyle name="Calculation 2 4 39" xfId="4569"/>
    <cellStyle name="Calculation 2 4 4" xfId="1639"/>
    <cellStyle name="Calculation 2 4 40" xfId="4237"/>
    <cellStyle name="Calculation 2 4 41" xfId="4493"/>
    <cellStyle name="Calculation 2 4 42" xfId="4901"/>
    <cellStyle name="Calculation 2 4 43" xfId="4886"/>
    <cellStyle name="Calculation 2 4 44" xfId="4522"/>
    <cellStyle name="Calculation 2 4 45" xfId="4750"/>
    <cellStyle name="Calculation 2 4 46" xfId="4225"/>
    <cellStyle name="Calculation 2 4 47" xfId="4431"/>
    <cellStyle name="Calculation 2 4 48" xfId="4606"/>
    <cellStyle name="Calculation 2 4 49" xfId="4343"/>
    <cellStyle name="Calculation 2 4 5" xfId="1636"/>
    <cellStyle name="Calculation 2 4 50" xfId="4252"/>
    <cellStyle name="Calculation 2 4 51" xfId="4246"/>
    <cellStyle name="Calculation 2 4 52" xfId="5240"/>
    <cellStyle name="Calculation 2 4 53" xfId="5252"/>
    <cellStyle name="Calculation 2 4 54" xfId="4922"/>
    <cellStyle name="Calculation 2 4 55" xfId="5221"/>
    <cellStyle name="Calculation 2 4 56" xfId="5367"/>
    <cellStyle name="Calculation 2 4 57" xfId="5554"/>
    <cellStyle name="Calculation 2 4 58" xfId="5655"/>
    <cellStyle name="Calculation 2 4 59" xfId="5613"/>
    <cellStyle name="Calculation 2 4 6" xfId="2095"/>
    <cellStyle name="Calculation 2 4 60" xfId="5639"/>
    <cellStyle name="Calculation 2 4 61" xfId="5588"/>
    <cellStyle name="Calculation 2 4 62" xfId="6062"/>
    <cellStyle name="Calculation 2 4 63" xfId="5830"/>
    <cellStyle name="Calculation 2 4 64" xfId="6048"/>
    <cellStyle name="Calculation 2 4 65" xfId="5968"/>
    <cellStyle name="Calculation 2 4 66" xfId="5766"/>
    <cellStyle name="Calculation 2 4 67" xfId="5870"/>
    <cellStyle name="Calculation 2 4 68" xfId="6052"/>
    <cellStyle name="Calculation 2 4 69" xfId="6058"/>
    <cellStyle name="Calculation 2 4 7" xfId="1887"/>
    <cellStyle name="Calculation 2 4 70" xfId="6392"/>
    <cellStyle name="Calculation 2 4 71" xfId="6732"/>
    <cellStyle name="Calculation 2 4 72" xfId="6572"/>
    <cellStyle name="Calculation 2 4 73" xfId="6456"/>
    <cellStyle name="Calculation 2 4 74" xfId="6805"/>
    <cellStyle name="Calculation 2 4 75" xfId="6655"/>
    <cellStyle name="Calculation 2 4 76" xfId="6944"/>
    <cellStyle name="Calculation 2 4 77" xfId="6952"/>
    <cellStyle name="Calculation 2 4 78" xfId="7140"/>
    <cellStyle name="Calculation 2 4 79" xfId="7732"/>
    <cellStyle name="Calculation 2 4 8" xfId="1918"/>
    <cellStyle name="Calculation 2 4 80" xfId="7747"/>
    <cellStyle name="Calculation 2 4 81" xfId="7540"/>
    <cellStyle name="Calculation 2 4 82" xfId="7664"/>
    <cellStyle name="Calculation 2 4 83" xfId="7137"/>
    <cellStyle name="Calculation 2 4 9" xfId="2193"/>
    <cellStyle name="Calculation 2 40" xfId="4643"/>
    <cellStyle name="Calculation 2 41" xfId="3563"/>
    <cellStyle name="Calculation 2 42" xfId="4536"/>
    <cellStyle name="Calculation 2 43" xfId="4236"/>
    <cellStyle name="Calculation 2 44" xfId="4577"/>
    <cellStyle name="Calculation 2 45" xfId="4248"/>
    <cellStyle name="Calculation 2 46" xfId="5037"/>
    <cellStyle name="Calculation 2 47" xfId="4315"/>
    <cellStyle name="Calculation 2 48" xfId="5180"/>
    <cellStyle name="Calculation 2 49" xfId="5434"/>
    <cellStyle name="Calculation 2 5" xfId="810"/>
    <cellStyle name="Calculation 2 5 10" xfId="2372"/>
    <cellStyle name="Calculation 2 5 11" xfId="2239"/>
    <cellStyle name="Calculation 2 5 12" xfId="2165"/>
    <cellStyle name="Calculation 2 5 13" xfId="1776"/>
    <cellStyle name="Calculation 2 5 14" xfId="1869"/>
    <cellStyle name="Calculation 2 5 15" xfId="1823"/>
    <cellStyle name="Calculation 2 5 16" xfId="2446"/>
    <cellStyle name="Calculation 2 5 17" xfId="1773"/>
    <cellStyle name="Calculation 2 5 18" xfId="2587"/>
    <cellStyle name="Calculation 2 5 19" xfId="1989"/>
    <cellStyle name="Calculation 2 5 2" xfId="1607"/>
    <cellStyle name="Calculation 2 5 2 2" xfId="1698"/>
    <cellStyle name="Calculation 2 5 2 3" xfId="1720"/>
    <cellStyle name="Calculation 2 5 20" xfId="2337"/>
    <cellStyle name="Calculation 2 5 21" xfId="2807"/>
    <cellStyle name="Calculation 2 5 22" xfId="2824"/>
    <cellStyle name="Calculation 2 5 23" xfId="2151"/>
    <cellStyle name="Calculation 2 5 24" xfId="2030"/>
    <cellStyle name="Calculation 2 5 25" xfId="3052"/>
    <cellStyle name="Calculation 2 5 26" xfId="3046"/>
    <cellStyle name="Calculation 2 5 27" xfId="3021"/>
    <cellStyle name="Calculation 2 5 28" xfId="3211"/>
    <cellStyle name="Calculation 2 5 29" xfId="3346"/>
    <cellStyle name="Calculation 2 5 3" xfId="1436"/>
    <cellStyle name="Calculation 2 5 30" xfId="3628"/>
    <cellStyle name="Calculation 2 5 31" xfId="3724"/>
    <cellStyle name="Calculation 2 5 32" xfId="3509"/>
    <cellStyle name="Calculation 2 5 33" xfId="3839"/>
    <cellStyle name="Calculation 2 5 34" xfId="4351"/>
    <cellStyle name="Calculation 2 5 35" xfId="4249"/>
    <cellStyle name="Calculation 2 5 36" xfId="3604"/>
    <cellStyle name="Calculation 2 5 37" xfId="3704"/>
    <cellStyle name="Calculation 2 5 38" xfId="4012"/>
    <cellStyle name="Calculation 2 5 39" xfId="4205"/>
    <cellStyle name="Calculation 2 5 4" xfId="1640"/>
    <cellStyle name="Calculation 2 5 40" xfId="4726"/>
    <cellStyle name="Calculation 2 5 41" xfId="3579"/>
    <cellStyle name="Calculation 2 5 42" xfId="3531"/>
    <cellStyle name="Calculation 2 5 43" xfId="4713"/>
    <cellStyle name="Calculation 2 5 44" xfId="3806"/>
    <cellStyle name="Calculation 2 5 45" xfId="4898"/>
    <cellStyle name="Calculation 2 5 46" xfId="4000"/>
    <cellStyle name="Calculation 2 5 47" xfId="4792"/>
    <cellStyle name="Calculation 2 5 48" xfId="4806"/>
    <cellStyle name="Calculation 2 5 49" xfId="4015"/>
    <cellStyle name="Calculation 2 5 5" xfId="1216"/>
    <cellStyle name="Calculation 2 5 50" xfId="3873"/>
    <cellStyle name="Calculation 2 5 51" xfId="4095"/>
    <cellStyle name="Calculation 2 5 52" xfId="4209"/>
    <cellStyle name="Calculation 2 5 53" xfId="5435"/>
    <cellStyle name="Calculation 2 5 54" xfId="5360"/>
    <cellStyle name="Calculation 2 5 55" xfId="4981"/>
    <cellStyle name="Calculation 2 5 56" xfId="4565"/>
    <cellStyle name="Calculation 2 5 57" xfId="5556"/>
    <cellStyle name="Calculation 2 5 58" xfId="5492"/>
    <cellStyle name="Calculation 2 5 59" xfId="5619"/>
    <cellStyle name="Calculation 2 5 6" xfId="2096"/>
    <cellStyle name="Calculation 2 5 60" xfId="5641"/>
    <cellStyle name="Calculation 2 5 61" xfId="5577"/>
    <cellStyle name="Calculation 2 5 62" xfId="6060"/>
    <cellStyle name="Calculation 2 5 63" xfId="6197"/>
    <cellStyle name="Calculation 2 5 64" xfId="6211"/>
    <cellStyle name="Calculation 2 5 65" xfId="5930"/>
    <cellStyle name="Calculation 2 5 66" xfId="5934"/>
    <cellStyle name="Calculation 2 5 67" xfId="5762"/>
    <cellStyle name="Calculation 2 5 68" xfId="6152"/>
    <cellStyle name="Calculation 2 5 69" xfId="6130"/>
    <cellStyle name="Calculation 2 5 7" xfId="2099"/>
    <cellStyle name="Calculation 2 5 70" xfId="6349"/>
    <cellStyle name="Calculation 2 5 71" xfId="6437"/>
    <cellStyle name="Calculation 2 5 72" xfId="6478"/>
    <cellStyle name="Calculation 2 5 73" xfId="6625"/>
    <cellStyle name="Calculation 2 5 74" xfId="6455"/>
    <cellStyle name="Calculation 2 5 75" xfId="6705"/>
    <cellStyle name="Calculation 2 5 76" xfId="6724"/>
    <cellStyle name="Calculation 2 5 77" xfId="6427"/>
    <cellStyle name="Calculation 2 5 78" xfId="7142"/>
    <cellStyle name="Calculation 2 5 79" xfId="7593"/>
    <cellStyle name="Calculation 2 5 8" xfId="2271"/>
    <cellStyle name="Calculation 2 5 80" xfId="7727"/>
    <cellStyle name="Calculation 2 5 81" xfId="7749"/>
    <cellStyle name="Calculation 2 5 82" xfId="7661"/>
    <cellStyle name="Calculation 2 5 83" xfId="7617"/>
    <cellStyle name="Calculation 2 5 9" xfId="2049"/>
    <cellStyle name="Calculation 2 50" xfId="4504"/>
    <cellStyle name="Calculation 2 51" xfId="5550"/>
    <cellStyle name="Calculation 2 52" xfId="5662"/>
    <cellStyle name="Calculation 2 53" xfId="5540"/>
    <cellStyle name="Calculation 2 54" xfId="5636"/>
    <cellStyle name="Calculation 2 55" xfId="5707"/>
    <cellStyle name="Calculation 2 56" xfId="6068"/>
    <cellStyle name="Calculation 2 57" xfId="6158"/>
    <cellStyle name="Calculation 2 58" xfId="6237"/>
    <cellStyle name="Calculation 2 59" xfId="5787"/>
    <cellStyle name="Calculation 2 6" xfId="1291"/>
    <cellStyle name="Calculation 2 6 10" xfId="4220"/>
    <cellStyle name="Calculation 2 6 11" xfId="5205"/>
    <cellStyle name="Calculation 2 6 12" xfId="4332"/>
    <cellStyle name="Calculation 2 6 13" xfId="5258"/>
    <cellStyle name="Calculation 2 6 14" xfId="4930"/>
    <cellStyle name="Calculation 2 6 15" xfId="5862"/>
    <cellStyle name="Calculation 2 6 2" xfId="1177"/>
    <cellStyle name="Calculation 2 6 3" xfId="1645"/>
    <cellStyle name="Calculation 2 6 4" xfId="3351"/>
    <cellStyle name="Calculation 2 6 5" xfId="4938"/>
    <cellStyle name="Calculation 2 6 6" xfId="4828"/>
    <cellStyle name="Calculation 2 6 7" xfId="3645"/>
    <cellStyle name="Calculation 2 6 8" xfId="4864"/>
    <cellStyle name="Calculation 2 6 9" xfId="3836"/>
    <cellStyle name="Calculation 2 60" xfId="6246"/>
    <cellStyle name="Calculation 2 61" xfId="6065"/>
    <cellStyle name="Calculation 2 62" xfId="6112"/>
    <cellStyle name="Calculation 2 63" xfId="5997"/>
    <cellStyle name="Calculation 2 64" xfId="6109"/>
    <cellStyle name="Calculation 2 65" xfId="5829"/>
    <cellStyle name="Calculation 2 66" xfId="6735"/>
    <cellStyle name="Calculation 2 67" xfId="6563"/>
    <cellStyle name="Calculation 2 68" xfId="6568"/>
    <cellStyle name="Calculation 2 69" xfId="6458"/>
    <cellStyle name="Calculation 2 7" xfId="1750"/>
    <cellStyle name="Calculation 2 70" xfId="6513"/>
    <cellStyle name="Calculation 2 71" xfId="6502"/>
    <cellStyle name="Calculation 2 72" xfId="6879"/>
    <cellStyle name="Calculation 2 73" xfId="7132"/>
    <cellStyle name="Calculation 2 74" xfId="7683"/>
    <cellStyle name="Calculation 2 75" xfId="7731"/>
    <cellStyle name="Calculation 2 76" xfId="7771"/>
    <cellStyle name="Calculation 2 77" xfId="7633"/>
    <cellStyle name="Calculation 2 78" xfId="7813"/>
    <cellStyle name="Calculation 2 8" xfId="1834"/>
    <cellStyle name="Calculation 2 9" xfId="1740"/>
    <cellStyle name="Calculation 3" xfId="184"/>
    <cellStyle name="category" xfId="870"/>
    <cellStyle name="category 2" xfId="3808"/>
    <cellStyle name="Check Cell 2" xfId="185"/>
    <cellStyle name="Check Cell 2 2" xfId="755"/>
    <cellStyle name="Check Cell 2 2 2" xfId="7253"/>
    <cellStyle name="Check Cell 2 3" xfId="1438"/>
    <cellStyle name="Check Cell 2 3 2" xfId="6992"/>
    <cellStyle name="Check Cell 2 4" xfId="1439"/>
    <cellStyle name="Check Cell 2 4 2" xfId="7318"/>
    <cellStyle name="Check Cell 2 5" xfId="4773"/>
    <cellStyle name="Check Cell 2 6" xfId="7315"/>
    <cellStyle name="Check Cell 3" xfId="186"/>
    <cellStyle name="CombinedVol_Data" xfId="871"/>
    <cellStyle name="Comma" xfId="724" builtinId="3"/>
    <cellStyle name="Comma  - Style1" xfId="187"/>
    <cellStyle name="Comma  - Style1 2" xfId="188"/>
    <cellStyle name="Comma  - Style1 2 2" xfId="189"/>
    <cellStyle name="Comma  - Style1 2 3" xfId="7322"/>
    <cellStyle name="Comma  - Style1 3" xfId="190"/>
    <cellStyle name="Comma  - Style1 3 2" xfId="7325"/>
    <cellStyle name="Comma  - Style1 4" xfId="1442"/>
    <cellStyle name="Comma  - Style1 4 2" xfId="7328"/>
    <cellStyle name="Comma  - Style1 5" xfId="7319"/>
    <cellStyle name="Comma  - Style1_31311 YR9 ECN DETAILS" xfId="191"/>
    <cellStyle name="Comma  - Style2" xfId="192"/>
    <cellStyle name="Comma  - Style2 2" xfId="193"/>
    <cellStyle name="Comma  - Style2 2 2" xfId="194"/>
    <cellStyle name="Comma  - Style2 2 3" xfId="7261"/>
    <cellStyle name="Comma  - Style2 3" xfId="195"/>
    <cellStyle name="Comma  - Style2 3 2" xfId="7263"/>
    <cellStyle name="Comma  - Style2 4" xfId="1443"/>
    <cellStyle name="Comma  - Style2 4 2" xfId="7265"/>
    <cellStyle name="Comma  - Style2 5" xfId="7235"/>
    <cellStyle name="Comma  - Style2_31311 YR9 ECN DETAILS" xfId="196"/>
    <cellStyle name="Comma  - Style3" xfId="197"/>
    <cellStyle name="Comma  - Style3 2" xfId="198"/>
    <cellStyle name="Comma  - Style3 2 2" xfId="199"/>
    <cellStyle name="Comma  - Style3 2 3" xfId="7329"/>
    <cellStyle name="Comma  - Style3 3" xfId="200"/>
    <cellStyle name="Comma  - Style3 3 2" xfId="7331"/>
    <cellStyle name="Comma  - Style3 4" xfId="1445"/>
    <cellStyle name="Comma  - Style3 4 2" xfId="7334"/>
    <cellStyle name="Comma  - Style3 5" xfId="7314"/>
    <cellStyle name="Comma  - Style3_31311 YR9 ECN DETAILS" xfId="201"/>
    <cellStyle name="Comma  - Style4" xfId="202"/>
    <cellStyle name="Comma  - Style4 2" xfId="203"/>
    <cellStyle name="Comma  - Style4 2 2" xfId="204"/>
    <cellStyle name="Comma  - Style4 2 3" xfId="6965"/>
    <cellStyle name="Comma  - Style4 3" xfId="205"/>
    <cellStyle name="Comma  - Style4 3 2" xfId="7336"/>
    <cellStyle name="Comma  - Style4 4" xfId="1446"/>
    <cellStyle name="Comma  - Style4 4 2" xfId="7033"/>
    <cellStyle name="Comma  - Style4 5" xfId="7283"/>
    <cellStyle name="Comma  - Style4_31311 YR9 ECN DETAILS" xfId="206"/>
    <cellStyle name="Comma  - Style5" xfId="207"/>
    <cellStyle name="Comma  - Style5 2" xfId="208"/>
    <cellStyle name="Comma  - Style5 2 2" xfId="209"/>
    <cellStyle name="Comma  - Style5 2 3" xfId="7342"/>
    <cellStyle name="Comma  - Style5 3" xfId="210"/>
    <cellStyle name="Comma  - Style5 3 2" xfId="6994"/>
    <cellStyle name="Comma  - Style5 4" xfId="1448"/>
    <cellStyle name="Comma  - Style5 4 2" xfId="7344"/>
    <cellStyle name="Comma  - Style5 5" xfId="7340"/>
    <cellStyle name="Comma  - Style5_31311 YR9 ECN DETAILS" xfId="211"/>
    <cellStyle name="Comma  - Style6" xfId="212"/>
    <cellStyle name="Comma  - Style6 2" xfId="213"/>
    <cellStyle name="Comma  - Style6 2 2" xfId="214"/>
    <cellStyle name="Comma  - Style6 2 3" xfId="7184"/>
    <cellStyle name="Comma  - Style6 3" xfId="215"/>
    <cellStyle name="Comma  - Style6 3 2" xfId="7349"/>
    <cellStyle name="Comma  - Style6 4" xfId="1451"/>
    <cellStyle name="Comma  - Style6 4 2" xfId="7078"/>
    <cellStyle name="Comma  - Style6 5" xfId="7347"/>
    <cellStyle name="Comma  - Style6_31311 YR9 ECN DETAILS" xfId="216"/>
    <cellStyle name="Comma  - Style7" xfId="217"/>
    <cellStyle name="Comma  - Style7 2" xfId="218"/>
    <cellStyle name="Comma  - Style7 2 2" xfId="219"/>
    <cellStyle name="Comma  - Style7 2 3" xfId="7353"/>
    <cellStyle name="Comma  - Style7 3" xfId="220"/>
    <cellStyle name="Comma  - Style7 3 2" xfId="7086"/>
    <cellStyle name="Comma  - Style7 4" xfId="1454"/>
    <cellStyle name="Comma  - Style7 4 2" xfId="7249"/>
    <cellStyle name="Comma  - Style7 5" xfId="7145"/>
    <cellStyle name="Comma  - Style7_31311 YR9 ECN DETAILS" xfId="221"/>
    <cellStyle name="Comma  - Style8" xfId="222"/>
    <cellStyle name="Comma  - Style8 2" xfId="223"/>
    <cellStyle name="Comma  - Style8 2 2" xfId="224"/>
    <cellStyle name="Comma  - Style8 2 3" xfId="7354"/>
    <cellStyle name="Comma  - Style8 3" xfId="225"/>
    <cellStyle name="Comma  - Style8 3 2" xfId="7355"/>
    <cellStyle name="Comma  - Style8 4" xfId="1457"/>
    <cellStyle name="Comma  - Style8 4 2" xfId="7356"/>
    <cellStyle name="Comma  - Style8 5" xfId="7150"/>
    <cellStyle name="Comma  - Style8_31311 YR9 ECN DETAILS" xfId="226"/>
    <cellStyle name="Comma [0] 2" xfId="227"/>
    <cellStyle name="Comma [0] 2 2" xfId="228"/>
    <cellStyle name="Comma [0] 2 2 2" xfId="1458"/>
    <cellStyle name="Comma [0] 2 2 3" xfId="3851"/>
    <cellStyle name="Comma [0] 2 3" xfId="807"/>
    <cellStyle name="Comma [0] 2 3 2" xfId="3798"/>
    <cellStyle name="Comma [0] 2 4" xfId="1459"/>
    <cellStyle name="Comma [0] 2 4 2" xfId="3800"/>
    <cellStyle name="Comma [0] 2 5" xfId="3653"/>
    <cellStyle name="Comma [0] 2 6" xfId="4609"/>
    <cellStyle name="Comma [0] 3" xfId="229"/>
    <cellStyle name="Comma [0] 3 2" xfId="1017"/>
    <cellStyle name="Comma [0] 3 2 2" xfId="1257"/>
    <cellStyle name="Comma [0] 3 2 3" xfId="2246"/>
    <cellStyle name="Comma [0] 3 2 4" xfId="3110"/>
    <cellStyle name="Comma [0] 3 2 5" xfId="3225"/>
    <cellStyle name="Comma [0] 3 2 6" xfId="3373"/>
    <cellStyle name="Comma [0] 3 2 7" xfId="4950"/>
    <cellStyle name="Comma [0] 3 2 8" xfId="5880"/>
    <cellStyle name="Comma [0] 3 3" xfId="934"/>
    <cellStyle name="Comma [0] 3 4" xfId="7048"/>
    <cellStyle name="Comma [0] 4" xfId="230"/>
    <cellStyle name="Comma [0] 4 2" xfId="3852"/>
    <cellStyle name="Comma [00]" xfId="231"/>
    <cellStyle name="Comma [00] 2" xfId="232"/>
    <cellStyle name="Comma [00] 2 2" xfId="233"/>
    <cellStyle name="Comma [00] 2 3" xfId="1460"/>
    <cellStyle name="Comma [00] 2 4" xfId="6964"/>
    <cellStyle name="Comma [00] 3" xfId="234"/>
    <cellStyle name="Comma [00] 3 2" xfId="1461"/>
    <cellStyle name="Comma [00] 3 3" xfId="7214"/>
    <cellStyle name="Comma [00] 4" xfId="757"/>
    <cellStyle name="Comma [00] 4 2" xfId="7217"/>
    <cellStyle name="Comma [00] 5" xfId="7359"/>
    <cellStyle name="Comma 10" xfId="235"/>
    <cellStyle name="Comma 10 2" xfId="1018"/>
    <cellStyle name="Comma 10 2 2" xfId="1258"/>
    <cellStyle name="Comma 10 2 3" xfId="2247"/>
    <cellStyle name="Comma 10 2 4" xfId="3111"/>
    <cellStyle name="Comma 10 2 5" xfId="3226"/>
    <cellStyle name="Comma 10 2 6" xfId="3374"/>
    <cellStyle name="Comma 10 2 7" xfId="4881"/>
    <cellStyle name="Comma 10 2 8" xfId="5882"/>
    <cellStyle name="Comma 10 3" xfId="935"/>
    <cellStyle name="Comma 10 3 2" xfId="1094"/>
    <cellStyle name="Comma 10 3 2 2" xfId="2306"/>
    <cellStyle name="Comma 10 3 2 2 2" xfId="3150"/>
    <cellStyle name="Comma 10 3 2 2 3" xfId="3266"/>
    <cellStyle name="Comma 10 3 2 2 4" xfId="3406"/>
    <cellStyle name="Comma 10 3 2 2 5" xfId="4167"/>
    <cellStyle name="Comma 10 3 2 2 6" xfId="5709"/>
    <cellStyle name="Comma 10 3 2 2 7" xfId="6204"/>
    <cellStyle name="Comma 10 3 2 2 8" xfId="6796"/>
    <cellStyle name="Comma 10 3 2 2 9" xfId="7606"/>
    <cellStyle name="Comma 10 4" xfId="7362"/>
    <cellStyle name="Comma 100" xfId="6119"/>
    <cellStyle name="Comma 101" xfId="5970"/>
    <cellStyle name="Comma 102" xfId="6253"/>
    <cellStyle name="Comma 103" xfId="6107"/>
    <cellStyle name="Comma 104" xfId="5929"/>
    <cellStyle name="Comma 105" xfId="6235"/>
    <cellStyle name="Comma 106" xfId="6175"/>
    <cellStyle name="Comma 107" xfId="6358"/>
    <cellStyle name="Comma 108" xfId="6263"/>
    <cellStyle name="Comma 109" xfId="5851"/>
    <cellStyle name="Comma 11" xfId="236"/>
    <cellStyle name="Comma 11 2" xfId="1019"/>
    <cellStyle name="Comma 11 2 2" xfId="1259"/>
    <cellStyle name="Comma 11 2 3" xfId="2248"/>
    <cellStyle name="Comma 11 2 4" xfId="3112"/>
    <cellStyle name="Comma 11 2 5" xfId="3227"/>
    <cellStyle name="Comma 11 2 6" xfId="3375"/>
    <cellStyle name="Comma 11 2 7" xfId="3853"/>
    <cellStyle name="Comma 11 2 8" xfId="5884"/>
    <cellStyle name="Comma 11 3" xfId="936"/>
    <cellStyle name="Comma 11 4" xfId="7012"/>
    <cellStyle name="Comma 110" xfId="6367"/>
    <cellStyle name="Comma 111" xfId="6428"/>
    <cellStyle name="Comma 112" xfId="6694"/>
    <cellStyle name="Comma 113" xfId="6512"/>
    <cellStyle name="Comma 114" xfId="6773"/>
    <cellStyle name="Comma 115" xfId="6632"/>
    <cellStyle name="Comma 116" xfId="6592"/>
    <cellStyle name="Comma 117" xfId="6429"/>
    <cellStyle name="Comma 118" xfId="6883"/>
    <cellStyle name="Comma 119" xfId="6584"/>
    <cellStyle name="Comma 12" xfId="237"/>
    <cellStyle name="Comma 12 2" xfId="1020"/>
    <cellStyle name="Comma 12 2 2" xfId="1260"/>
    <cellStyle name="Comma 12 2 3" xfId="2249"/>
    <cellStyle name="Comma 12 2 4" xfId="3113"/>
    <cellStyle name="Comma 12 2 5" xfId="3228"/>
    <cellStyle name="Comma 12 2 6" xfId="3376"/>
    <cellStyle name="Comma 12 2 7" xfId="4547"/>
    <cellStyle name="Comma 12 2 8" xfId="5885"/>
    <cellStyle name="Comma 12 3" xfId="937"/>
    <cellStyle name="Comma 12 4" xfId="7365"/>
    <cellStyle name="Comma 120" xfId="6849"/>
    <cellStyle name="Comma 121" xfId="6480"/>
    <cellStyle name="Comma 122" xfId="6514"/>
    <cellStyle name="Comma 123" xfId="6687"/>
    <cellStyle name="Comma 124" xfId="6754"/>
    <cellStyle name="Comma 125" xfId="6696"/>
    <cellStyle name="Comma 126" xfId="6936"/>
    <cellStyle name="Comma 127" xfId="6827"/>
    <cellStyle name="Comma 128" xfId="6855"/>
    <cellStyle name="Comma 129" xfId="6941"/>
    <cellStyle name="Comma 13" xfId="238"/>
    <cellStyle name="Comma 13 2" xfId="1073"/>
    <cellStyle name="Comma 13 2 2" xfId="1462"/>
    <cellStyle name="Comma 13 2 3" xfId="1269"/>
    <cellStyle name="Comma 13 2 4" xfId="4697"/>
    <cellStyle name="Comma 13 2 5" xfId="6025"/>
    <cellStyle name="Comma 13 2 6" xfId="7366"/>
    <cellStyle name="Comma 13 3" xfId="963"/>
    <cellStyle name="Comma 13 3 2" xfId="7367"/>
    <cellStyle name="Comma 13 4" xfId="1463"/>
    <cellStyle name="Comma 13 4 2" xfId="7368"/>
    <cellStyle name="Comma 13 5" xfId="1348"/>
    <cellStyle name="Comma 13 5 2" xfId="3388"/>
    <cellStyle name="Comma 13 5 3" xfId="4197"/>
    <cellStyle name="Comma 13 5 4" xfId="5890"/>
    <cellStyle name="Comma 13 6" xfId="7240"/>
    <cellStyle name="Comma 130" xfId="6948"/>
    <cellStyle name="Comma 131" xfId="6942"/>
    <cellStyle name="Comma 132" xfId="6963"/>
    <cellStyle name="Comma 133" xfId="7038"/>
    <cellStyle name="Comma 134" xfId="7777"/>
    <cellStyle name="Comma 135" xfId="7586"/>
    <cellStyle name="Comma 136" xfId="7713"/>
    <cellStyle name="Comma 137" xfId="7758"/>
    <cellStyle name="Comma 138" xfId="7751"/>
    <cellStyle name="Comma 139" xfId="7809"/>
    <cellStyle name="Comma 14" xfId="239"/>
    <cellStyle name="Comma 14 2" xfId="1075"/>
    <cellStyle name="Comma 14 2 2" xfId="1270"/>
    <cellStyle name="Comma 14 2 3" xfId="2250"/>
    <cellStyle name="Comma 14 2 4" xfId="3114"/>
    <cellStyle name="Comma 14 2 5" xfId="3229"/>
    <cellStyle name="Comma 14 2 6" xfId="3389"/>
    <cellStyle name="Comma 14 2 7" xfId="4943"/>
    <cellStyle name="Comma 14 2 8" xfId="5891"/>
    <cellStyle name="Comma 14 3" xfId="964"/>
    <cellStyle name="Comma 14 4" xfId="7369"/>
    <cellStyle name="Comma 140" xfId="7692"/>
    <cellStyle name="Comma 141" xfId="7839"/>
    <cellStyle name="Comma 142" xfId="7842"/>
    <cellStyle name="Comma 143" xfId="7840"/>
    <cellStyle name="Comma 144" xfId="7841"/>
    <cellStyle name="Comma 145" xfId="7838"/>
    <cellStyle name="Comma 146" xfId="7843"/>
    <cellStyle name="Comma 147" xfId="7844"/>
    <cellStyle name="Comma 15" xfId="240"/>
    <cellStyle name="Comma 15 2" xfId="1083"/>
    <cellStyle name="Comma 15 2 2" xfId="1464"/>
    <cellStyle name="Comma 15 2 3" xfId="1272"/>
    <cellStyle name="Comma 15 2 4" xfId="3527"/>
    <cellStyle name="Comma 15 2 5" xfId="5790"/>
    <cellStyle name="Comma 15 2 6" xfId="7375"/>
    <cellStyle name="Comma 15 3" xfId="974"/>
    <cellStyle name="Comma 15 3 2" xfId="3391"/>
    <cellStyle name="Comma 15 3 3" xfId="4942"/>
    <cellStyle name="Comma 15 3 4" xfId="5893"/>
    <cellStyle name="Comma 15 4" xfId="1354"/>
    <cellStyle name="Comma 15 5" xfId="7371"/>
    <cellStyle name="Comma 16" xfId="241"/>
    <cellStyle name="Comma 16 2" xfId="1084"/>
    <cellStyle name="Comma 16 2 2" xfId="1273"/>
    <cellStyle name="Comma 16 2 3" xfId="2251"/>
    <cellStyle name="Comma 16 2 4" xfId="3115"/>
    <cellStyle name="Comma 16 2 5" xfId="3230"/>
    <cellStyle name="Comma 16 2 6" xfId="3392"/>
    <cellStyle name="Comma 16 2 7" xfId="3457"/>
    <cellStyle name="Comma 16 2 8" xfId="5895"/>
    <cellStyle name="Comma 16 3" xfId="976"/>
    <cellStyle name="Comma 16 4" xfId="7016"/>
    <cellStyle name="Comma 17" xfId="242"/>
    <cellStyle name="Comma 17 10" xfId="5704"/>
    <cellStyle name="Comma 17 11" xfId="5896"/>
    <cellStyle name="Comma 17 12" xfId="6793"/>
    <cellStyle name="Comma 17 13" xfId="7604"/>
    <cellStyle name="Comma 17 2" xfId="978"/>
    <cellStyle name="Comma 17 3" xfId="1241"/>
    <cellStyle name="Comma 17 4" xfId="2252"/>
    <cellStyle name="Comma 17 5" xfId="3116"/>
    <cellStyle name="Comma 17 6" xfId="3231"/>
    <cellStyle name="Comma 17 7" xfId="3352"/>
    <cellStyle name="Comma 17 8" xfId="4155"/>
    <cellStyle name="Comma 17 9" xfId="3935"/>
    <cellStyle name="Comma 18" xfId="1008"/>
    <cellStyle name="Comma 18 10" xfId="6870"/>
    <cellStyle name="Comma 18 2" xfId="1251"/>
    <cellStyle name="Comma 18 3" xfId="2308"/>
    <cellStyle name="Comma 18 4" xfId="2370"/>
    <cellStyle name="Comma 18 5" xfId="3232"/>
    <cellStyle name="Comma 18 6" xfId="3394"/>
    <cellStyle name="Comma 18 7" xfId="4689"/>
    <cellStyle name="Comma 18 8" xfId="5750"/>
    <cellStyle name="Comma 18 9" xfId="5897"/>
    <cellStyle name="Comma 19" xfId="726"/>
    <cellStyle name="Comma 19 2" xfId="1090"/>
    <cellStyle name="Comma 19 3" xfId="3403"/>
    <cellStyle name="Comma 2" xfId="243"/>
    <cellStyle name="Comma 2 2" xfId="244"/>
    <cellStyle name="Comma 2 2 2" xfId="245"/>
    <cellStyle name="Comma 2 2 2 2" xfId="1014"/>
    <cellStyle name="Comma 2 2 2 3" xfId="1255"/>
    <cellStyle name="Comma 2 2 2 4" xfId="2253"/>
    <cellStyle name="Comma 2 2 2 5" xfId="3117"/>
    <cellStyle name="Comma 2 2 2 6" xfId="3233"/>
    <cellStyle name="Comma 2 2 2 7" xfId="3371"/>
    <cellStyle name="Comma 2 2 2 8" xfId="4825"/>
    <cellStyle name="Comma 2 2 2 9" xfId="5900"/>
    <cellStyle name="Comma 2 2 3" xfId="933"/>
    <cellStyle name="Comma 2 2 4" xfId="7311"/>
    <cellStyle name="Comma 2 3" xfId="246"/>
    <cellStyle name="Comma 2 3 2" xfId="979"/>
    <cellStyle name="Comma 2 3 3" xfId="7341"/>
    <cellStyle name="Comma 2 4" xfId="758"/>
    <cellStyle name="Comma 2 4 2" xfId="6995"/>
    <cellStyle name="Comma 2 5" xfId="1465"/>
    <cellStyle name="Comma 2 5 2" xfId="7343"/>
    <cellStyle name="Comma 2 6" xfId="4865"/>
    <cellStyle name="Comma 2 7" xfId="7301"/>
    <cellStyle name="Comma 2_ARM COMP. FRONT SUSPENSION R - L" xfId="247"/>
    <cellStyle name="Comma 20" xfId="756"/>
    <cellStyle name="Comma 21" xfId="809"/>
    <cellStyle name="Comma 22" xfId="1169"/>
    <cellStyle name="Comma 23" xfId="1215"/>
    <cellStyle name="Comma 24" xfId="1592"/>
    <cellStyle name="Comma 25" xfId="1444"/>
    <cellStyle name="Comma 26" xfId="1752"/>
    <cellStyle name="Comma 27" xfId="1833"/>
    <cellStyle name="Comma 28" xfId="2365"/>
    <cellStyle name="Comma 29" xfId="2152"/>
    <cellStyle name="Comma 3" xfId="248"/>
    <cellStyle name="Comma 3 2" xfId="249"/>
    <cellStyle name="Comma 3 2 2" xfId="1466"/>
    <cellStyle name="Comma 3 2 3" xfId="7182"/>
    <cellStyle name="Comma 3 3" xfId="759"/>
    <cellStyle name="Comma 3 3 2" xfId="7186"/>
    <cellStyle name="Comma 3 4" xfId="1467"/>
    <cellStyle name="Comma 3 4 2" xfId="7348"/>
    <cellStyle name="Comma 3 5" xfId="3275"/>
    <cellStyle name="Comma 3 6" xfId="7063"/>
    <cellStyle name="Comma 30" xfId="2329"/>
    <cellStyle name="Comma 31" xfId="1922"/>
    <cellStyle name="Comma 32" xfId="1927"/>
    <cellStyle name="Comma 33" xfId="2354"/>
    <cellStyle name="Comma 34" xfId="1859"/>
    <cellStyle name="Comma 35" xfId="2404"/>
    <cellStyle name="Comma 36" xfId="2171"/>
    <cellStyle name="Comma 37" xfId="2476"/>
    <cellStyle name="Comma 38" xfId="1810"/>
    <cellStyle name="Comma 39" xfId="2704"/>
    <cellStyle name="Comma 4" xfId="250"/>
    <cellStyle name="Comma 4 2" xfId="251"/>
    <cellStyle name="Comma 4 2 2" xfId="1021"/>
    <cellStyle name="Comma 4 2 2 2" xfId="1261"/>
    <cellStyle name="Comma 4 2 2 3" xfId="2254"/>
    <cellStyle name="Comma 4 2 2 4" xfId="3118"/>
    <cellStyle name="Comma 4 2 2 5" xfId="3234"/>
    <cellStyle name="Comma 4 2 2 6" xfId="3377"/>
    <cellStyle name="Comma 4 2 2 7" xfId="4561"/>
    <cellStyle name="Comma 4 2 2 8" xfId="5906"/>
    <cellStyle name="Comma 4 2 3" xfId="938"/>
    <cellStyle name="Comma 4 2 4" xfId="7031"/>
    <cellStyle name="Comma 4 3" xfId="989"/>
    <cellStyle name="Comma 4 3 2" xfId="1468"/>
    <cellStyle name="Comma 4 3 3" xfId="1244"/>
    <cellStyle name="Comma 4 3 4" xfId="5271"/>
    <cellStyle name="Comma 4 3 5" xfId="6040"/>
    <cellStyle name="Comma 4 3 6" xfId="7351"/>
    <cellStyle name="Comma 4 4" xfId="803"/>
    <cellStyle name="Comma 4 4 2" xfId="7088"/>
    <cellStyle name="Comma 4 5" xfId="1469"/>
    <cellStyle name="Comma 4 5 2" xfId="7247"/>
    <cellStyle name="Comma 4 6" xfId="1282"/>
    <cellStyle name="Comma 4 6 2" xfId="3357"/>
    <cellStyle name="Comma 4 6 3" xfId="4034"/>
    <cellStyle name="Comma 4 6 4" xfId="5909"/>
    <cellStyle name="Comma 4 7" xfId="4829"/>
    <cellStyle name="Comma 4 8" xfId="7377"/>
    <cellStyle name="Comma 40" xfId="2724"/>
    <cellStyle name="Comma 41" xfId="2676"/>
    <cellStyle name="Comma 42" xfId="2797"/>
    <cellStyle name="Comma 43" xfId="1907"/>
    <cellStyle name="Comma 44" xfId="1828"/>
    <cellStyle name="Comma 45" xfId="2818"/>
    <cellStyle name="Comma 46" xfId="2368"/>
    <cellStyle name="Comma 47" xfId="2952"/>
    <cellStyle name="Comma 48" xfId="2996"/>
    <cellStyle name="Comma 49" xfId="3022"/>
    <cellStyle name="Comma 5" xfId="252"/>
    <cellStyle name="Comma 5 2" xfId="3879"/>
    <cellStyle name="Comma 50" xfId="3030"/>
    <cellStyle name="Comma 51" xfId="2974"/>
    <cellStyle name="Comma 52" xfId="3184"/>
    <cellStyle name="Comma 53" xfId="3401"/>
    <cellStyle name="Comma 54" xfId="3411"/>
    <cellStyle name="Comma 55" xfId="3416"/>
    <cellStyle name="Comma 56" xfId="4117"/>
    <cellStyle name="Comma 57" xfId="4395"/>
    <cellStyle name="Comma 58" xfId="4440"/>
    <cellStyle name="Comma 59" xfId="4361"/>
    <cellStyle name="Comma 6" xfId="253"/>
    <cellStyle name="Comma 6 2" xfId="254"/>
    <cellStyle name="Comma 6 3" xfId="3882"/>
    <cellStyle name="Comma 60" xfId="3697"/>
    <cellStyle name="Comma 61" xfId="4318"/>
    <cellStyle name="Comma 62" xfId="3865"/>
    <cellStyle name="Comma 63" xfId="3931"/>
    <cellStyle name="Comma 64" xfId="4705"/>
    <cellStyle name="Comma 65" xfId="4571"/>
    <cellStyle name="Comma 66" xfId="4759"/>
    <cellStyle name="Comma 67" xfId="4737"/>
    <cellStyle name="Comma 68" xfId="4655"/>
    <cellStyle name="Comma 69" xfId="4263"/>
    <cellStyle name="Comma 7" xfId="255"/>
    <cellStyle name="Comma 7 2" xfId="256"/>
    <cellStyle name="Comma 7 3" xfId="3883"/>
    <cellStyle name="Comma 70" xfId="4114"/>
    <cellStyle name="Comma 71" xfId="4045"/>
    <cellStyle name="Comma 72" xfId="4427"/>
    <cellStyle name="Comma 73" xfId="5038"/>
    <cellStyle name="Comma 74" xfId="5120"/>
    <cellStyle name="Comma 75" xfId="5165"/>
    <cellStyle name="Comma 76" xfId="5214"/>
    <cellStyle name="Comma 77" xfId="5260"/>
    <cellStyle name="Comma 78" xfId="5194"/>
    <cellStyle name="Comma 79" xfId="5305"/>
    <cellStyle name="Comma 8" xfId="257"/>
    <cellStyle name="Comma 8 2" xfId="1011"/>
    <cellStyle name="Comma 8 2 2" xfId="1470"/>
    <cellStyle name="Comma 8 2 3" xfId="1253"/>
    <cellStyle name="Comma 8 2 4" xfId="5227"/>
    <cellStyle name="Comma 8 2 5" xfId="6260"/>
    <cellStyle name="Comma 8 2 6" xfId="7385"/>
    <cellStyle name="Comma 8 3" xfId="929"/>
    <cellStyle name="Comma 8 3 2" xfId="7386"/>
    <cellStyle name="Comma 8 4" xfId="1471"/>
    <cellStyle name="Comma 8 4 2" xfId="7387"/>
    <cellStyle name="Comma 8 5" xfId="1293"/>
    <cellStyle name="Comma 8 5 2" xfId="3369"/>
    <cellStyle name="Comma 8 5 3" xfId="4653"/>
    <cellStyle name="Comma 8 5 4" xfId="5911"/>
    <cellStyle name="Comma 8 6" xfId="3276"/>
    <cellStyle name="Comma 8 7" xfId="7384"/>
    <cellStyle name="Comma 80" xfId="5342"/>
    <cellStyle name="Comma 81" xfId="5294"/>
    <cellStyle name="Comma 82" xfId="5238"/>
    <cellStyle name="Comma 83" xfId="5413"/>
    <cellStyle name="Comma 84" xfId="5429"/>
    <cellStyle name="Comma 85" xfId="5442"/>
    <cellStyle name="Comma 86" xfId="5368"/>
    <cellStyle name="Comma 87" xfId="4958"/>
    <cellStyle name="Comma 88" xfId="4584"/>
    <cellStyle name="Comma 89" xfId="5078"/>
    <cellStyle name="Comma 9" xfId="258"/>
    <cellStyle name="Comma 9 2" xfId="1013"/>
    <cellStyle name="Comma 9 2 2" xfId="1254"/>
    <cellStyle name="Comma 9 2 3" xfId="2255"/>
    <cellStyle name="Comma 9 2 4" xfId="3119"/>
    <cellStyle name="Comma 9 2 5" xfId="3235"/>
    <cellStyle name="Comma 9 2 6" xfId="3370"/>
    <cellStyle name="Comma 9 2 7" xfId="4905"/>
    <cellStyle name="Comma 9 2 8" xfId="5913"/>
    <cellStyle name="Comma 9 3" xfId="931"/>
    <cellStyle name="Comma 9 4" xfId="7388"/>
    <cellStyle name="Comma 90" xfId="5295"/>
    <cellStyle name="Comma 91" xfId="5484"/>
    <cellStyle name="Comma 92" xfId="5510"/>
    <cellStyle name="Comma 93" xfId="5645"/>
    <cellStyle name="Comma 94" xfId="5731"/>
    <cellStyle name="Comma 95" xfId="5720"/>
    <cellStyle name="Comma 96" xfId="5759"/>
    <cellStyle name="Comma 97" xfId="6199"/>
    <cellStyle name="Comma 98" xfId="6208"/>
    <cellStyle name="Comma 99" xfId="6185"/>
    <cellStyle name="Comma[2]" xfId="872"/>
    <cellStyle name="Comma[2] 2" xfId="3802"/>
    <cellStyle name="Currency $" xfId="873"/>
    <cellStyle name="Currency $ 2" xfId="3676"/>
    <cellStyle name="Currency [00]" xfId="259"/>
    <cellStyle name="Currency [00] 2" xfId="260"/>
    <cellStyle name="Currency [00] 2 2" xfId="261"/>
    <cellStyle name="Currency [00] 2 3" xfId="1472"/>
    <cellStyle name="Currency [00] 2 4" xfId="7376"/>
    <cellStyle name="Currency [00] 3" xfId="262"/>
    <cellStyle name="Currency [00] 3 2" xfId="1473"/>
    <cellStyle name="Currency [00] 3 3" xfId="7379"/>
    <cellStyle name="Currency [00] 4" xfId="760"/>
    <cellStyle name="Currency [00] 4 2" xfId="7382"/>
    <cellStyle name="Currency [00] 5" xfId="7389"/>
    <cellStyle name="Currency[2]" xfId="874"/>
    <cellStyle name="Currency[2] 2" xfId="7096"/>
    <cellStyle name="custom" xfId="263"/>
    <cellStyle name="custom 2" xfId="264"/>
    <cellStyle name="custom 2 2" xfId="265"/>
    <cellStyle name="custom 2 3" xfId="1474"/>
    <cellStyle name="custom 2 4" xfId="7108"/>
    <cellStyle name="custom 3" xfId="266"/>
    <cellStyle name="custom 3 2" xfId="1475"/>
    <cellStyle name="custom 3 3" xfId="7112"/>
    <cellStyle name="custom 4" xfId="761"/>
    <cellStyle name="custom 4 2" xfId="7116"/>
    <cellStyle name="custom 5" xfId="6984"/>
    <cellStyle name="Date" xfId="267"/>
    <cellStyle name="Date 2" xfId="268"/>
    <cellStyle name="Date 2 2" xfId="269"/>
    <cellStyle name="Date 3" xfId="270"/>
    <cellStyle name="Date 4" xfId="3891"/>
    <cellStyle name="Date Short" xfId="271"/>
    <cellStyle name="Date Short 2" xfId="7391"/>
    <cellStyle name="Date_31311 YR9 ECN DETAILS" xfId="272"/>
    <cellStyle name="DELTA" xfId="273"/>
    <cellStyle name="DELTA 2" xfId="3561"/>
    <cellStyle name="DELTA 3" xfId="7083"/>
    <cellStyle name="Dezimal [0]_modela~1" xfId="875"/>
    <cellStyle name="Dezimal_modela~1" xfId="876"/>
    <cellStyle name="Edited_Data" xfId="877"/>
    <cellStyle name="Emphasis 1" xfId="274"/>
    <cellStyle name="Emphasis 1 2" xfId="7398"/>
    <cellStyle name="Emphasis 2" xfId="275"/>
    <cellStyle name="Emphasis 2 2" xfId="7401"/>
    <cellStyle name="Emphasis 3" xfId="276"/>
    <cellStyle name="Emphasis 3 2" xfId="7404"/>
    <cellStyle name="Enter Currency (0)" xfId="277"/>
    <cellStyle name="Enter Currency (0) 2" xfId="278"/>
    <cellStyle name="Enter Currency (0) 2 2" xfId="279"/>
    <cellStyle name="Enter Currency (0) 2 3" xfId="7406"/>
    <cellStyle name="Enter Currency (0) 3" xfId="280"/>
    <cellStyle name="Enter Currency (0) 3 2" xfId="7407"/>
    <cellStyle name="Enter Currency (0) 4" xfId="1476"/>
    <cellStyle name="Enter Currency (0) 4 2" xfId="7408"/>
    <cellStyle name="Enter Currency (0) 5" xfId="7405"/>
    <cellStyle name="Enter Currency (0)_31311 YR9 ECN DETAILS" xfId="281"/>
    <cellStyle name="Enter Currency (2)" xfId="282"/>
    <cellStyle name="Enter Currency (2) 2" xfId="283"/>
    <cellStyle name="Enter Currency (2) 2 2" xfId="284"/>
    <cellStyle name="Enter Currency (2) 2 3" xfId="1477"/>
    <cellStyle name="Enter Currency (2) 2 4" xfId="7250"/>
    <cellStyle name="Enter Currency (2) 3" xfId="285"/>
    <cellStyle name="Enter Currency (2) 3 2" xfId="1478"/>
    <cellStyle name="Enter Currency (2) 3 3" xfId="7409"/>
    <cellStyle name="Enter Currency (2) 4" xfId="762"/>
    <cellStyle name="Enter Currency (2) 4 2" xfId="7220"/>
    <cellStyle name="Enter Currency (2) 5" xfId="7056"/>
    <cellStyle name="Enter Units (0)" xfId="286"/>
    <cellStyle name="Enter Units (0) 2" xfId="287"/>
    <cellStyle name="Enter Units (0) 2 2" xfId="288"/>
    <cellStyle name="Enter Units (0) 2 3" xfId="7337"/>
    <cellStyle name="Enter Units (0) 3" xfId="289"/>
    <cellStyle name="Enter Units (0) 3 2" xfId="7345"/>
    <cellStyle name="Enter Units (0) 4" xfId="1479"/>
    <cellStyle name="Enter Units (0) 4 2" xfId="7148"/>
    <cellStyle name="Enter Units (0) 5" xfId="7361"/>
    <cellStyle name="Enter Units (0)_31311 YR9 ECN DETAILS" xfId="290"/>
    <cellStyle name="Enter Units (1)" xfId="291"/>
    <cellStyle name="Enter Units (1) 2" xfId="292"/>
    <cellStyle name="Enter Units (1) 2 2" xfId="293"/>
    <cellStyle name="Enter Units (1) 2 3" xfId="1480"/>
    <cellStyle name="Enter Units (1) 2 4" xfId="7374"/>
    <cellStyle name="Enter Units (1) 3" xfId="294"/>
    <cellStyle name="Enter Units (1) 3 2" xfId="1481"/>
    <cellStyle name="Enter Units (1) 3 3" xfId="7410"/>
    <cellStyle name="Enter Units (1) 4" xfId="763"/>
    <cellStyle name="Enter Units (1) 4 2" xfId="7411"/>
    <cellStyle name="Enter Units (1) 5" xfId="7370"/>
    <cellStyle name="Enter Units (2)" xfId="295"/>
    <cellStyle name="Enter Units (2) 2" xfId="296"/>
    <cellStyle name="Enter Units (2) 2 2" xfId="297"/>
    <cellStyle name="Enter Units (2) 2 3" xfId="1482"/>
    <cellStyle name="Enter Units (2) 2 4" xfId="7271"/>
    <cellStyle name="Enter Units (2) 3" xfId="298"/>
    <cellStyle name="Enter Units (2) 3 2" xfId="1483"/>
    <cellStyle name="Enter Units (2) 3 3" xfId="7092"/>
    <cellStyle name="Enter Units (2) 4" xfId="764"/>
    <cellStyle name="Enter Units (2) 4 2" xfId="7412"/>
    <cellStyle name="Enter Units (2) 5" xfId="7202"/>
    <cellStyle name="Estimated_Data" xfId="878"/>
    <cellStyle name="Euro" xfId="299"/>
    <cellStyle name="Euro 2" xfId="300"/>
    <cellStyle name="Euro 2 2" xfId="1485"/>
    <cellStyle name="Euro 2 3" xfId="7330"/>
    <cellStyle name="Euro 3" xfId="301"/>
    <cellStyle name="Euro 3 2" xfId="1486"/>
    <cellStyle name="Euro 3 3" xfId="7332"/>
    <cellStyle name="Euro 4" xfId="765"/>
    <cellStyle name="Euro 4 2" xfId="7272"/>
    <cellStyle name="Euro 5" xfId="7415"/>
    <cellStyle name="Euro_Nego-MOM" xfId="302"/>
    <cellStyle name="Explanatory Text 2" xfId="303"/>
    <cellStyle name="Explanatory Text 2 2" xfId="7416"/>
    <cellStyle name="Explanatory Text 3" xfId="304"/>
    <cellStyle name="Forecast_Data" xfId="879"/>
    <cellStyle name="Good 2" xfId="305"/>
    <cellStyle name="Good 2 2" xfId="766"/>
    <cellStyle name="Good 2 2 2" xfId="7060"/>
    <cellStyle name="Good 2 3" xfId="1487"/>
    <cellStyle name="Good 2 3 2" xfId="7232"/>
    <cellStyle name="Good 2 4" xfId="1488"/>
    <cellStyle name="Good 2 4 2" xfId="7417"/>
    <cellStyle name="Good 2 5" xfId="4880"/>
    <cellStyle name="Good 2 6" xfId="7380"/>
    <cellStyle name="Good 3" xfId="306"/>
    <cellStyle name="Good 3 2" xfId="7602"/>
    <cellStyle name="Grey" xfId="307"/>
    <cellStyle name="Grey 2" xfId="308"/>
    <cellStyle name="Grey 2 2" xfId="1489"/>
    <cellStyle name="Grey 2 3" xfId="7420"/>
    <cellStyle name="Grey 3" xfId="767"/>
    <cellStyle name="Grey 3 2" xfId="7421"/>
    <cellStyle name="Grey 4" xfId="1490"/>
    <cellStyle name="Grey 4 2" xfId="7025"/>
    <cellStyle name="Grey 5" xfId="7418"/>
    <cellStyle name="HEADER" xfId="880"/>
    <cellStyle name="HEADER 2" xfId="3673"/>
    <cellStyle name="Header1" xfId="309"/>
    <cellStyle name="Header1 10" xfId="4325"/>
    <cellStyle name="Header1 11" xfId="4363"/>
    <cellStyle name="Header1 12" xfId="4585"/>
    <cellStyle name="Header1 13" xfId="4259"/>
    <cellStyle name="Header1 14" xfId="4628"/>
    <cellStyle name="Header1 15" xfId="4748"/>
    <cellStyle name="Header1 16" xfId="4452"/>
    <cellStyle name="Header1 17" xfId="3726"/>
    <cellStyle name="Header1 18" xfId="4430"/>
    <cellStyle name="Header1 19" xfId="4364"/>
    <cellStyle name="Header1 2" xfId="768"/>
    <cellStyle name="Header1 2 10" xfId="3749"/>
    <cellStyle name="Header1 2 11" xfId="4378"/>
    <cellStyle name="Header1 2 12" xfId="4799"/>
    <cellStyle name="Header1 2 13" xfId="4795"/>
    <cellStyle name="Header1 2 14" xfId="4879"/>
    <cellStyle name="Header1 2 15" xfId="4858"/>
    <cellStyle name="Header1 2 16" xfId="4632"/>
    <cellStyle name="Header1 2 17" xfId="4368"/>
    <cellStyle name="Header1 2 18" xfId="4575"/>
    <cellStyle name="Header1 2 19" xfId="3614"/>
    <cellStyle name="Header1 2 2" xfId="3799"/>
    <cellStyle name="Header1 2 20" xfId="5322"/>
    <cellStyle name="Header1 2 21" xfId="4778"/>
    <cellStyle name="Header1 2 22" xfId="5004"/>
    <cellStyle name="Header1 2 23" xfId="5634"/>
    <cellStyle name="Header1 2 24" xfId="5743"/>
    <cellStyle name="Header1 2 25" xfId="6218"/>
    <cellStyle name="Header1 2 26" xfId="5786"/>
    <cellStyle name="Header1 2 27" xfId="6268"/>
    <cellStyle name="Header1 2 28" xfId="6293"/>
    <cellStyle name="Header1 2 29" xfId="6314"/>
    <cellStyle name="Header1 2 3" xfId="4377"/>
    <cellStyle name="Header1 2 30" xfId="6338"/>
    <cellStyle name="Header1 2 31" xfId="6313"/>
    <cellStyle name="Header1 2 32" xfId="6410"/>
    <cellStyle name="Header1 2 33" xfId="6779"/>
    <cellStyle name="Header1 2 34" xfId="6459"/>
    <cellStyle name="Header1 2 35" xfId="6832"/>
    <cellStyle name="Header1 2 36" xfId="6859"/>
    <cellStyle name="Header1 2 37" xfId="6825"/>
    <cellStyle name="Header1 2 38" xfId="6570"/>
    <cellStyle name="Header1 2 39" xfId="6474"/>
    <cellStyle name="Header1 2 4" xfId="4426"/>
    <cellStyle name="Header1 2 40" xfId="6505"/>
    <cellStyle name="Header1 2 41" xfId="6893"/>
    <cellStyle name="Header1 2 42" xfId="6454"/>
    <cellStyle name="Header1 2 43" xfId="6932"/>
    <cellStyle name="Header1 2 44" xfId="6581"/>
    <cellStyle name="Header1 2 45" xfId="6947"/>
    <cellStyle name="Header1 2 46" xfId="6543"/>
    <cellStyle name="Header1 2 47" xfId="6682"/>
    <cellStyle name="Header1 2 48" xfId="6958"/>
    <cellStyle name="Header1 2 49" xfId="7000"/>
    <cellStyle name="Header1 2 5" xfId="4324"/>
    <cellStyle name="Header1 2 50" xfId="6991"/>
    <cellStyle name="Header1 2 51" xfId="7772"/>
    <cellStyle name="Header1 2 52" xfId="7316"/>
    <cellStyle name="Header1 2 53" xfId="7797"/>
    <cellStyle name="Header1 2 54" xfId="7624"/>
    <cellStyle name="Header1 2 55" xfId="7796"/>
    <cellStyle name="Header1 2 56" xfId="7825"/>
    <cellStyle name="Header1 2 57" xfId="7044"/>
    <cellStyle name="Header1 2 6" xfId="4425"/>
    <cellStyle name="Header1 2 7" xfId="3924"/>
    <cellStyle name="Header1 2 8" xfId="4152"/>
    <cellStyle name="Header1 2 9" xfId="4574"/>
    <cellStyle name="Header1 20" xfId="3888"/>
    <cellStyle name="Header1 21" xfId="4307"/>
    <cellStyle name="Header1 22" xfId="3682"/>
    <cellStyle name="Header1 23" xfId="4478"/>
    <cellStyle name="Header1 24" xfId="4912"/>
    <cellStyle name="Header1 25" xfId="4813"/>
    <cellStyle name="Header1 26" xfId="5439"/>
    <cellStyle name="Header1 27" xfId="5160"/>
    <cellStyle name="Header1 28" xfId="5467"/>
    <cellStyle name="Header1 29" xfId="5679"/>
    <cellStyle name="Header1 3" xfId="1491"/>
    <cellStyle name="Header1 3 10" xfId="4693"/>
    <cellStyle name="Header1 3 11" xfId="4401"/>
    <cellStyle name="Header1 3 12" xfId="4797"/>
    <cellStyle name="Header1 3 13" xfId="4788"/>
    <cellStyle name="Header1 3 14" xfId="3438"/>
    <cellStyle name="Header1 3 15" xfId="4264"/>
    <cellStyle name="Header1 3 16" xfId="5043"/>
    <cellStyle name="Header1 3 17" xfId="4636"/>
    <cellStyle name="Header1 3 18" xfId="4369"/>
    <cellStyle name="Header1 3 19" xfId="4887"/>
    <cellStyle name="Header1 3 2" xfId="3460"/>
    <cellStyle name="Header1 3 20" xfId="5320"/>
    <cellStyle name="Header1 3 21" xfId="5456"/>
    <cellStyle name="Header1 3 22" xfId="5462"/>
    <cellStyle name="Header1 3 23" xfId="5665"/>
    <cellStyle name="Header1 3 24" xfId="5742"/>
    <cellStyle name="Header1 3 25" xfId="6162"/>
    <cellStyle name="Header1 3 26" xfId="6123"/>
    <cellStyle name="Header1 3 27" xfId="6267"/>
    <cellStyle name="Header1 3 28" xfId="6292"/>
    <cellStyle name="Header1 3 29" xfId="6312"/>
    <cellStyle name="Header1 3 3" xfId="4375"/>
    <cellStyle name="Header1 3 30" xfId="6337"/>
    <cellStyle name="Header1 3 31" xfId="5844"/>
    <cellStyle name="Header1 3 32" xfId="6409"/>
    <cellStyle name="Header1 3 33" xfId="6777"/>
    <cellStyle name="Header1 3 34" xfId="6461"/>
    <cellStyle name="Header1 3 35" xfId="6830"/>
    <cellStyle name="Header1 3 36" xfId="6653"/>
    <cellStyle name="Header1 3 37" xfId="6644"/>
    <cellStyle name="Header1 3 38" xfId="6668"/>
    <cellStyle name="Header1 3 39" xfId="6559"/>
    <cellStyle name="Header1 3 4" xfId="4118"/>
    <cellStyle name="Header1 3 40" xfId="6734"/>
    <cellStyle name="Header1 3 41" xfId="6848"/>
    <cellStyle name="Header1 3 42" xfId="6925"/>
    <cellStyle name="Header1 3 43" xfId="6930"/>
    <cellStyle name="Header1 3 44" xfId="6443"/>
    <cellStyle name="Header1 3 45" xfId="6946"/>
    <cellStyle name="Header1 3 46" xfId="6565"/>
    <cellStyle name="Header1 3 47" xfId="6776"/>
    <cellStyle name="Header1 3 48" xfId="6957"/>
    <cellStyle name="Header1 3 49" xfId="7003"/>
    <cellStyle name="Header1 3 5" xfId="4345"/>
    <cellStyle name="Header1 3 50" xfId="7552"/>
    <cellStyle name="Header1 3 51" xfId="7770"/>
    <cellStyle name="Header1 3 52" xfId="7135"/>
    <cellStyle name="Header1 3 53" xfId="7795"/>
    <cellStyle name="Header1 3 54" xfId="7372"/>
    <cellStyle name="Header1 3 55" xfId="7801"/>
    <cellStyle name="Header1 3 56" xfId="7752"/>
    <cellStyle name="Header1 3 57" xfId="7810"/>
    <cellStyle name="Header1 3 6" xfId="3451"/>
    <cellStyle name="Header1 3 7" xfId="4483"/>
    <cellStyle name="Header1 3 8" xfId="4447"/>
    <cellStyle name="Header1 3 9" xfId="4350"/>
    <cellStyle name="Header1 30" xfId="5494"/>
    <cellStyle name="Header1 31" xfId="5795"/>
    <cellStyle name="Header1 32" xfId="5993"/>
    <cellStyle name="Header1 33" xfId="5782"/>
    <cellStyle name="Header1 34" xfId="6194"/>
    <cellStyle name="Header1 35" xfId="5876"/>
    <cellStyle name="Header1 36" xfId="5940"/>
    <cellStyle name="Header1 37" xfId="6354"/>
    <cellStyle name="Header1 38" xfId="6317"/>
    <cellStyle name="Header1 39" xfId="6766"/>
    <cellStyle name="Header1 4" xfId="1492"/>
    <cellStyle name="Header1 4 10" xfId="4692"/>
    <cellStyle name="Header1 4 11" xfId="3847"/>
    <cellStyle name="Header1 4 12" xfId="3683"/>
    <cellStyle name="Header1 4 13" xfId="3731"/>
    <cellStyle name="Header1 4 14" xfId="4230"/>
    <cellStyle name="Header1 4 15" xfId="3760"/>
    <cellStyle name="Header1 4 16" xfId="5204"/>
    <cellStyle name="Header1 4 17" xfId="5263"/>
    <cellStyle name="Header1 4 18" xfId="5269"/>
    <cellStyle name="Header1 4 19" xfId="5366"/>
    <cellStyle name="Header1 4 2" xfId="3458"/>
    <cellStyle name="Header1 4 20" xfId="4305"/>
    <cellStyle name="Header1 4 21" xfId="5455"/>
    <cellStyle name="Header1 4 22" xfId="5349"/>
    <cellStyle name="Header1 4 23" xfId="5678"/>
    <cellStyle name="Header1 4 24" xfId="5741"/>
    <cellStyle name="Header1 4 25" xfId="6187"/>
    <cellStyle name="Header1 4 26" xfId="5946"/>
    <cellStyle name="Header1 4 27" xfId="6266"/>
    <cellStyle name="Header1 4 28" xfId="6291"/>
    <cellStyle name="Header1 4 29" xfId="6311"/>
    <cellStyle name="Header1 4 3" xfId="4374"/>
    <cellStyle name="Header1 4 30" xfId="6336"/>
    <cellStyle name="Header1 4 31" xfId="6094"/>
    <cellStyle name="Header1 4 32" xfId="6408"/>
    <cellStyle name="Header1 4 33" xfId="6686"/>
    <cellStyle name="Header1 4 34" xfId="6702"/>
    <cellStyle name="Header1 4 35" xfId="6575"/>
    <cellStyle name="Header1 4 36" xfId="6858"/>
    <cellStyle name="Header1 4 37" xfId="6558"/>
    <cellStyle name="Header1 4 38" xfId="6768"/>
    <cellStyle name="Header1 4 39" xfId="6451"/>
    <cellStyle name="Header1 4 4" xfId="3476"/>
    <cellStyle name="Header1 4 40" xfId="6720"/>
    <cellStyle name="Header1 4 41" xfId="6880"/>
    <cellStyle name="Header1 4 42" xfId="6922"/>
    <cellStyle name="Header1 4 43" xfId="6929"/>
    <cellStyle name="Header1 4 44" xfId="6463"/>
    <cellStyle name="Header1 4 45" xfId="6876"/>
    <cellStyle name="Header1 4 46" xfId="6663"/>
    <cellStyle name="Header1 4 47" xfId="6864"/>
    <cellStyle name="Header1 4 48" xfId="6790"/>
    <cellStyle name="Header1 4 49" xfId="7004"/>
    <cellStyle name="Header1 4 5" xfId="3823"/>
    <cellStyle name="Header1 4 50" xfId="7551"/>
    <cellStyle name="Header1 4 51" xfId="7769"/>
    <cellStyle name="Header1 4 52" xfId="7373"/>
    <cellStyle name="Header1 4 53" xfId="7720"/>
    <cellStyle name="Header1 4 54" xfId="7788"/>
    <cellStyle name="Header1 4 55" xfId="7794"/>
    <cellStyle name="Header1 4 56" xfId="7824"/>
    <cellStyle name="Header1 4 57" xfId="7819"/>
    <cellStyle name="Header1 4 6" xfId="4112"/>
    <cellStyle name="Header1 4 7" xfId="4362"/>
    <cellStyle name="Header1 4 8" xfId="4528"/>
    <cellStyle name="Header1 4 9" xfId="3834"/>
    <cellStyle name="Header1 40" xfId="6490"/>
    <cellStyle name="Header1 41" xfId="6432"/>
    <cellStyle name="Header1 42" xfId="6487"/>
    <cellStyle name="Header1 43" xfId="6834"/>
    <cellStyle name="Header1 44" xfId="6666"/>
    <cellStyle name="Header1 45" xfId="6561"/>
    <cellStyle name="Header1 46" xfId="6510"/>
    <cellStyle name="Header1 47" xfId="6851"/>
    <cellStyle name="Header1 48" xfId="6651"/>
    <cellStyle name="Header1 49" xfId="6607"/>
    <cellStyle name="Header1 5" xfId="4043"/>
    <cellStyle name="Header1 50" xfId="6465"/>
    <cellStyle name="Header1 51" xfId="6926"/>
    <cellStyle name="Header1 52" xfId="6892"/>
    <cellStyle name="Header1 53" xfId="6704"/>
    <cellStyle name="Header1 54" xfId="6650"/>
    <cellStyle name="Header1 55" xfId="7045"/>
    <cellStyle name="Header1 56" xfId="7490"/>
    <cellStyle name="Header1 57" xfId="7532"/>
    <cellStyle name="Header1 58" xfId="7039"/>
    <cellStyle name="Header1 59" xfId="7601"/>
    <cellStyle name="Header1 6" xfId="3909"/>
    <cellStyle name="Header1 60" xfId="7238"/>
    <cellStyle name="Header1 61" xfId="7357"/>
    <cellStyle name="Header1 62" xfId="7651"/>
    <cellStyle name="Header1 63" xfId="7781"/>
    <cellStyle name="Header1 7" xfId="3441"/>
    <cellStyle name="Header1 8" xfId="4272"/>
    <cellStyle name="Header1 9" xfId="3992"/>
    <cellStyle name="Header2" xfId="310"/>
    <cellStyle name="Header2 10" xfId="1916"/>
    <cellStyle name="Header2 11" xfId="2133"/>
    <cellStyle name="Header2 12" xfId="1886"/>
    <cellStyle name="Header2 13" xfId="1748"/>
    <cellStyle name="Header2 14" xfId="2406"/>
    <cellStyle name="Header2 15" xfId="2613"/>
    <cellStyle name="Header2 16" xfId="2452"/>
    <cellStyle name="Header2 17" xfId="2121"/>
    <cellStyle name="Header2 18" xfId="2783"/>
    <cellStyle name="Header2 19" xfId="1906"/>
    <cellStyle name="Header2 2" xfId="311"/>
    <cellStyle name="Header2 2 10" xfId="2475"/>
    <cellStyle name="Header2 2 11" xfId="2191"/>
    <cellStyle name="Header2 2 12" xfId="2710"/>
    <cellStyle name="Header2 2 13" xfId="2189"/>
    <cellStyle name="Header2 2 14" xfId="2518"/>
    <cellStyle name="Header2 2 15" xfId="3002"/>
    <cellStyle name="Header2 2 16" xfId="3012"/>
    <cellStyle name="Header2 2 17" xfId="3278"/>
    <cellStyle name="Header2 2 18" xfId="3914"/>
    <cellStyle name="Header2 2 19" xfId="4175"/>
    <cellStyle name="Header2 2 2" xfId="1022"/>
    <cellStyle name="Header2 2 2 10" xfId="1818"/>
    <cellStyle name="Header2 2 2 11" xfId="2196"/>
    <cellStyle name="Header2 2 2 12" xfId="2706"/>
    <cellStyle name="Header2 2 2 13" xfId="1786"/>
    <cellStyle name="Header2 2 2 14" xfId="1851"/>
    <cellStyle name="Header2 2 2 15" xfId="3066"/>
    <cellStyle name="Header2 2 2 16" xfId="3236"/>
    <cellStyle name="Header2 2 2 17" xfId="3395"/>
    <cellStyle name="Header2 2 2 18" xfId="4903"/>
    <cellStyle name="Header2 2 2 19" xfId="5321"/>
    <cellStyle name="Header2 2 2 2" xfId="1135"/>
    <cellStyle name="Header2 2 2 20" xfId="5938"/>
    <cellStyle name="Header2 2 2 21" xfId="5991"/>
    <cellStyle name="Header2 2 2 22" xfId="6009"/>
    <cellStyle name="Header2 2 2 3" xfId="1262"/>
    <cellStyle name="Header2 2 2 4" xfId="1661"/>
    <cellStyle name="Header2 2 2 5" xfId="1233"/>
    <cellStyle name="Header2 2 2 6" xfId="2322"/>
    <cellStyle name="Header2 2 2 7" xfId="2195"/>
    <cellStyle name="Header2 2 2 8" xfId="1940"/>
    <cellStyle name="Header2 2 2 9" xfId="1934"/>
    <cellStyle name="Header2 2 20" xfId="4171"/>
    <cellStyle name="Header2 2 21" xfId="4191"/>
    <cellStyle name="Header2 2 22" xfId="4283"/>
    <cellStyle name="Header2 2 23" xfId="3706"/>
    <cellStyle name="Header2 2 24" xfId="4591"/>
    <cellStyle name="Header2 2 25" xfId="4359"/>
    <cellStyle name="Header2 2 26" xfId="4393"/>
    <cellStyle name="Header2 2 27" xfId="4826"/>
    <cellStyle name="Header2 2 28" xfId="4687"/>
    <cellStyle name="Header2 2 29" xfId="4415"/>
    <cellStyle name="Header2 2 3" xfId="1015"/>
    <cellStyle name="Header2 2 3 10" xfId="2558"/>
    <cellStyle name="Header2 2 3 11" xfId="2606"/>
    <cellStyle name="Header2 2 3 12" xfId="2655"/>
    <cellStyle name="Header2 2 3 13" xfId="2837"/>
    <cellStyle name="Header2 2 3 14" xfId="2907"/>
    <cellStyle name="Header2 2 3 15" xfId="2946"/>
    <cellStyle name="Header2 2 3 16" xfId="3237"/>
    <cellStyle name="Header2 2 3 17" xfId="3396"/>
    <cellStyle name="Header2 2 3 18" xfId="4899"/>
    <cellStyle name="Header2 2 3 19" xfId="5939"/>
    <cellStyle name="Header2 2 3 2" xfId="1133"/>
    <cellStyle name="Header2 2 3 3" xfId="1256"/>
    <cellStyle name="Header2 2 3 4" xfId="1440"/>
    <cellStyle name="Header2 2 3 5" xfId="1552"/>
    <cellStyle name="Header2 2 3 6" xfId="1557"/>
    <cellStyle name="Header2 2 3 7" xfId="2371"/>
    <cellStyle name="Header2 2 3 8" xfId="2415"/>
    <cellStyle name="Header2 2 3 9" xfId="2477"/>
    <cellStyle name="Header2 2 30" xfId="3518"/>
    <cellStyle name="Header2 2 31" xfId="4885"/>
    <cellStyle name="Header2 2 32" xfId="5369"/>
    <cellStyle name="Header2 2 33" xfId="5474"/>
    <cellStyle name="Header2 2 34" xfId="5626"/>
    <cellStyle name="Header2 2 35" xfId="5534"/>
    <cellStyle name="Header2 2 36" xfId="5623"/>
    <cellStyle name="Header2 2 37" xfId="5621"/>
    <cellStyle name="Header2 2 38" xfId="5937"/>
    <cellStyle name="Header2 2 39" xfId="6129"/>
    <cellStyle name="Header2 2 4" xfId="939"/>
    <cellStyle name="Header2 2 40" xfId="5892"/>
    <cellStyle name="Header2 2 41" xfId="5811"/>
    <cellStyle name="Header2 2 42" xfId="6049"/>
    <cellStyle name="Header2 2 43" xfId="6135"/>
    <cellStyle name="Header2 2 44" xfId="5994"/>
    <cellStyle name="Header2 2 45" xfId="6143"/>
    <cellStyle name="Header2 2 46" xfId="6676"/>
    <cellStyle name="Header2 2 47" xfId="6635"/>
    <cellStyle name="Header2 2 48" xfId="6471"/>
    <cellStyle name="Header2 2 49" xfId="6753"/>
    <cellStyle name="Header2 2 5" xfId="1101"/>
    <cellStyle name="Header2 2 50" xfId="6591"/>
    <cellStyle name="Header2 2 51" xfId="6578"/>
    <cellStyle name="Header2 2 52" xfId="6574"/>
    <cellStyle name="Header2 2 53" xfId="6915"/>
    <cellStyle name="Header2 2 54" xfId="6580"/>
    <cellStyle name="Header2 2 55" xfId="7414"/>
    <cellStyle name="Header2 2 56" xfId="7666"/>
    <cellStyle name="Header2 2 57" xfId="7808"/>
    <cellStyle name="Header2 2 58" xfId="7190"/>
    <cellStyle name="Header2 2 59" xfId="7536"/>
    <cellStyle name="Header2 2 6" xfId="1954"/>
    <cellStyle name="Header2 2 60" xfId="7605"/>
    <cellStyle name="Header2 2 7" xfId="1951"/>
    <cellStyle name="Header2 2 8" xfId="2283"/>
    <cellStyle name="Header2 2 9" xfId="1879"/>
    <cellStyle name="Header2 20" xfId="2870"/>
    <cellStyle name="Header2 21" xfId="2982"/>
    <cellStyle name="Header2 22" xfId="3128"/>
    <cellStyle name="Header2 23" xfId="3277"/>
    <cellStyle name="Header2 24" xfId="3920"/>
    <cellStyle name="Header2 25" xfId="4183"/>
    <cellStyle name="Header2 26" xfId="3739"/>
    <cellStyle name="Header2 27" xfId="3887"/>
    <cellStyle name="Header2 28" xfId="3433"/>
    <cellStyle name="Header2 29" xfId="4410"/>
    <cellStyle name="Header2 3" xfId="312"/>
    <cellStyle name="Header2 3 10" xfId="2413"/>
    <cellStyle name="Header2 3 11" xfId="2179"/>
    <cellStyle name="Header2 3 12" xfId="1997"/>
    <cellStyle name="Header2 3 13" xfId="2009"/>
    <cellStyle name="Header2 3 14" xfId="1782"/>
    <cellStyle name="Header2 3 15" xfId="2120"/>
    <cellStyle name="Header2 3 16" xfId="2069"/>
    <cellStyle name="Header2 3 17" xfId="2685"/>
    <cellStyle name="Header2 3 18" xfId="2192"/>
    <cellStyle name="Header2 3 19" xfId="2217"/>
    <cellStyle name="Header2 3 2" xfId="980"/>
    <cellStyle name="Header2 3 2 2" xfId="1493"/>
    <cellStyle name="Header2 3 2 3" xfId="1656"/>
    <cellStyle name="Header2 3 2 4" xfId="1630"/>
    <cellStyle name="Header2 3 20" xfId="1899"/>
    <cellStyle name="Header2 3 21" xfId="2744"/>
    <cellStyle name="Header2 3 22" xfId="1921"/>
    <cellStyle name="Header2 3 23" xfId="1799"/>
    <cellStyle name="Header2 3 24" xfId="2023"/>
    <cellStyle name="Header2 3 25" xfId="2691"/>
    <cellStyle name="Header2 3 26" xfId="2773"/>
    <cellStyle name="Header2 3 27" xfId="3072"/>
    <cellStyle name="Header2 3 28" xfId="3054"/>
    <cellStyle name="Header2 3 29" xfId="3060"/>
    <cellStyle name="Header2 3 3" xfId="1118"/>
    <cellStyle name="Header2 3 3 2" xfId="1608"/>
    <cellStyle name="Header2 3 3 3" xfId="1699"/>
    <cellStyle name="Header2 3 3 4" xfId="1721"/>
    <cellStyle name="Header2 3 30" xfId="3212"/>
    <cellStyle name="Header2 3 31" xfId="3320"/>
    <cellStyle name="Header2 3 32" xfId="3337"/>
    <cellStyle name="Header2 3 33" xfId="3484"/>
    <cellStyle name="Header2 3 34" xfId="3646"/>
    <cellStyle name="Header2 3 35" xfId="3859"/>
    <cellStyle name="Header2 3 36" xfId="4314"/>
    <cellStyle name="Header2 3 37" xfId="4052"/>
    <cellStyle name="Header2 3 38" xfId="3686"/>
    <cellStyle name="Header2 3 39" xfId="4413"/>
    <cellStyle name="Header2 3 4" xfId="1243"/>
    <cellStyle name="Header2 3 40" xfId="4503"/>
    <cellStyle name="Header2 3 41" xfId="4568"/>
    <cellStyle name="Header2 3 42" xfId="4435"/>
    <cellStyle name="Header2 3 43" xfId="4542"/>
    <cellStyle name="Header2 3 44" xfId="4334"/>
    <cellStyle name="Header2 3 45" xfId="4549"/>
    <cellStyle name="Header2 3 46" xfId="3459"/>
    <cellStyle name="Header2 3 47" xfId="3984"/>
    <cellStyle name="Header2 3 48" xfId="3419"/>
    <cellStyle name="Header2 3 49" xfId="4918"/>
    <cellStyle name="Header2 3 5" xfId="1594"/>
    <cellStyle name="Header2 3 50" xfId="4747"/>
    <cellStyle name="Header2 3 51" xfId="3863"/>
    <cellStyle name="Header2 3 52" xfId="5208"/>
    <cellStyle name="Header2 3 53" xfId="4823"/>
    <cellStyle name="Header2 3 54" xfId="3825"/>
    <cellStyle name="Header2 3 55" xfId="5155"/>
    <cellStyle name="Header2 3 56" xfId="4251"/>
    <cellStyle name="Header2 3 57" xfId="5372"/>
    <cellStyle name="Header2 3 58" xfId="5228"/>
    <cellStyle name="Header2 3 59" xfId="5226"/>
    <cellStyle name="Header2 3 6" xfId="1673"/>
    <cellStyle name="Header2 3 60" xfId="5504"/>
    <cellStyle name="Header2 3 61" xfId="5691"/>
    <cellStyle name="Header2 3 62" xfId="5712"/>
    <cellStyle name="Header2 3 63" xfId="5649"/>
    <cellStyle name="Header2 3 64" xfId="5563"/>
    <cellStyle name="Header2 3 65" xfId="6131"/>
    <cellStyle name="Header2 3 66" xfId="6215"/>
    <cellStyle name="Header2 3 67" xfId="6120"/>
    <cellStyle name="Header2 3 68" xfId="5797"/>
    <cellStyle name="Header2 3 69" xfId="6221"/>
    <cellStyle name="Header2 3 7" xfId="2153"/>
    <cellStyle name="Header2 3 70" xfId="6184"/>
    <cellStyle name="Header2 3 71" xfId="5990"/>
    <cellStyle name="Header2 3 72" xfId="6176"/>
    <cellStyle name="Header2 3 73" xfId="6407"/>
    <cellStyle name="Header2 3 74" xfId="6675"/>
    <cellStyle name="Header2 3 75" xfId="6479"/>
    <cellStyle name="Header2 3 76" xfId="6498"/>
    <cellStyle name="Header2 3 77" xfId="6708"/>
    <cellStyle name="Header2 3 78" xfId="6873"/>
    <cellStyle name="Header2 3 79" xfId="6622"/>
    <cellStyle name="Header2 3 8" xfId="1814"/>
    <cellStyle name="Header2 3 80" xfId="6671"/>
    <cellStyle name="Header2 3 81" xfId="7023"/>
    <cellStyle name="Header2 3 82" xfId="7608"/>
    <cellStyle name="Header2 3 83" xfId="7700"/>
    <cellStyle name="Header2 3 84" xfId="7763"/>
    <cellStyle name="Header2 3 85" xfId="7805"/>
    <cellStyle name="Header2 3 86" xfId="7654"/>
    <cellStyle name="Header2 3 87" xfId="7789"/>
    <cellStyle name="Header2 3 9" xfId="2285"/>
    <cellStyle name="Header2 30" xfId="3785"/>
    <cellStyle name="Header2 31" xfId="4466"/>
    <cellStyle name="Header2 32" xfId="4463"/>
    <cellStyle name="Header2 33" xfId="4462"/>
    <cellStyle name="Header2 34" xfId="4774"/>
    <cellStyle name="Header2 35" xfId="3734"/>
    <cellStyle name="Header2 36" xfId="3946"/>
    <cellStyle name="Header2 37" xfId="4681"/>
    <cellStyle name="Header2 38" xfId="4238"/>
    <cellStyle name="Header2 39" xfId="4863"/>
    <cellStyle name="Header2 4" xfId="769"/>
    <cellStyle name="Header2 4 10" xfId="1849"/>
    <cellStyle name="Header2 4 11" xfId="1905"/>
    <cellStyle name="Header2 4 12" xfId="2333"/>
    <cellStyle name="Header2 4 13" xfId="2018"/>
    <cellStyle name="Header2 4 14" xfId="2571"/>
    <cellStyle name="Header2 4 15" xfId="2391"/>
    <cellStyle name="Header2 4 16" xfId="1895"/>
    <cellStyle name="Header2 4 17" xfId="2460"/>
    <cellStyle name="Header2 4 18" xfId="1957"/>
    <cellStyle name="Header2 4 19" xfId="2410"/>
    <cellStyle name="Header2 4 2" xfId="1609"/>
    <cellStyle name="Header2 4 2 2" xfId="1700"/>
    <cellStyle name="Header2 4 2 3" xfId="1722"/>
    <cellStyle name="Header2 4 20" xfId="2071"/>
    <cellStyle name="Header2 4 21" xfId="2729"/>
    <cellStyle name="Header2 4 22" xfId="2761"/>
    <cellStyle name="Header2 4 23" xfId="2632"/>
    <cellStyle name="Header2 4 24" xfId="1840"/>
    <cellStyle name="Header2 4 25" xfId="2734"/>
    <cellStyle name="Header2 4 26" xfId="3073"/>
    <cellStyle name="Header2 4 27" xfId="3055"/>
    <cellStyle name="Header2 4 28" xfId="2977"/>
    <cellStyle name="Header2 4 29" xfId="3213"/>
    <cellStyle name="Header2 4 3" xfId="1494"/>
    <cellStyle name="Header2 4 30" xfId="3341"/>
    <cellStyle name="Header2 4 31" xfId="3317"/>
    <cellStyle name="Header2 4 32" xfId="3921"/>
    <cellStyle name="Header2 4 33" xfId="4185"/>
    <cellStyle name="Header2 4 34" xfId="3751"/>
    <cellStyle name="Header2 4 35" xfId="4420"/>
    <cellStyle name="Header2 4 36" xfId="3538"/>
    <cellStyle name="Header2 4 37" xfId="3938"/>
    <cellStyle name="Header2 4 38" xfId="4432"/>
    <cellStyle name="Header2 4 39" xfId="4342"/>
    <cellStyle name="Header2 4 4" xfId="1657"/>
    <cellStyle name="Header2 4 40" xfId="4032"/>
    <cellStyle name="Header2 4 41" xfId="3821"/>
    <cellStyle name="Header2 4 42" xfId="4258"/>
    <cellStyle name="Header2 4 43" xfId="4530"/>
    <cellStyle name="Header2 4 44" xfId="4738"/>
    <cellStyle name="Header2 4 45" xfId="4771"/>
    <cellStyle name="Header2 4 46" xfId="4734"/>
    <cellStyle name="Header2 4 47" xfId="5047"/>
    <cellStyle name="Header2 4 48" xfId="4296"/>
    <cellStyle name="Header2 4 49" xfId="4617"/>
    <cellStyle name="Header2 4 5" xfId="1629"/>
    <cellStyle name="Header2 4 50" xfId="4233"/>
    <cellStyle name="Header2 4 51" xfId="4352"/>
    <cellStyle name="Header2 4 52" xfId="4911"/>
    <cellStyle name="Header2 4 53" xfId="3772"/>
    <cellStyle name="Header2 4 54" xfId="3453"/>
    <cellStyle name="Header2 4 55" xfId="4456"/>
    <cellStyle name="Header2 4 56" xfId="4982"/>
    <cellStyle name="Header2 4 57" xfId="4198"/>
    <cellStyle name="Header2 4 58" xfId="5459"/>
    <cellStyle name="Header2 4 59" xfId="5629"/>
    <cellStyle name="Header2 4 6" xfId="2154"/>
    <cellStyle name="Header2 4 60" xfId="5596"/>
    <cellStyle name="Header2 4 61" xfId="5574"/>
    <cellStyle name="Header2 4 62" xfId="5594"/>
    <cellStyle name="Header2 4 63" xfId="5726"/>
    <cellStyle name="Header2 4 64" xfId="5894"/>
    <cellStyle name="Header2 4 65" xfId="5973"/>
    <cellStyle name="Header2 4 66" xfId="5989"/>
    <cellStyle name="Header2 4 67" xfId="6229"/>
    <cellStyle name="Header2 4 68" xfId="6250"/>
    <cellStyle name="Header2 4 69" xfId="6206"/>
    <cellStyle name="Header2 4 7" xfId="1813"/>
    <cellStyle name="Header2 4 70" xfId="5971"/>
    <cellStyle name="Header2 4 71" xfId="6382"/>
    <cellStyle name="Header2 4 72" xfId="6144"/>
    <cellStyle name="Header2 4 73" xfId="6596"/>
    <cellStyle name="Header2 4 74" xfId="6730"/>
    <cellStyle name="Header2 4 75" xfId="6639"/>
    <cellStyle name="Header2 4 76" xfId="6652"/>
    <cellStyle name="Header2 4 77" xfId="6907"/>
    <cellStyle name="Header2 4 78" xfId="6901"/>
    <cellStyle name="Header2 4 79" xfId="6623"/>
    <cellStyle name="Header2 4 8" xfId="2272"/>
    <cellStyle name="Header2 4 80" xfId="7424"/>
    <cellStyle name="Header2 4 81" xfId="7707"/>
    <cellStyle name="Header2 4 82" xfId="7603"/>
    <cellStyle name="Header2 4 83" xfId="7652"/>
    <cellStyle name="Header2 4 84" xfId="7643"/>
    <cellStyle name="Header2 4 85" xfId="7616"/>
    <cellStyle name="Header2 4 86" xfId="7663"/>
    <cellStyle name="Header2 4 9" xfId="2178"/>
    <cellStyle name="Header2 40" xfId="4089"/>
    <cellStyle name="Header2 41" xfId="5067"/>
    <cellStyle name="Header2 42" xfId="4798"/>
    <cellStyle name="Header2 43" xfId="5628"/>
    <cellStyle name="Header2 44" xfId="5526"/>
    <cellStyle name="Header2 45" xfId="5617"/>
    <cellStyle name="Header2 46" xfId="5553"/>
    <cellStyle name="Header2 47" xfId="5708"/>
    <cellStyle name="Header2 48" xfId="5936"/>
    <cellStyle name="Header2 49" xfId="5898"/>
    <cellStyle name="Header2 5" xfId="821"/>
    <cellStyle name="Header2 5 10" xfId="1788"/>
    <cellStyle name="Header2 5 11" xfId="2033"/>
    <cellStyle name="Header2 5 12" xfId="1971"/>
    <cellStyle name="Header2 5 13" xfId="1850"/>
    <cellStyle name="Header2 5 14" xfId="2089"/>
    <cellStyle name="Header2 5 15" xfId="2677"/>
    <cellStyle name="Header2 5 16" xfId="2079"/>
    <cellStyle name="Header2 5 17" xfId="2429"/>
    <cellStyle name="Header2 5 18" xfId="1883"/>
    <cellStyle name="Header2 5 19" xfId="2093"/>
    <cellStyle name="Header2 5 2" xfId="1610"/>
    <cellStyle name="Header2 5 2 2" xfId="1701"/>
    <cellStyle name="Header2 5 2 3" xfId="1723"/>
    <cellStyle name="Header2 5 20" xfId="2806"/>
    <cellStyle name="Header2 5 21" xfId="2794"/>
    <cellStyle name="Header2 5 22" xfId="2803"/>
    <cellStyle name="Header2 5 23" xfId="1802"/>
    <cellStyle name="Header2 5 24" xfId="2687"/>
    <cellStyle name="Header2 5 25" xfId="1848"/>
    <cellStyle name="Header2 5 26" xfId="3074"/>
    <cellStyle name="Header2 5 27" xfId="2998"/>
    <cellStyle name="Header2 5 28" xfId="3020"/>
    <cellStyle name="Header2 5 29" xfId="3214"/>
    <cellStyle name="Header2 5 3" xfId="1495"/>
    <cellStyle name="Header2 5 30" xfId="3345"/>
    <cellStyle name="Header2 5 31" xfId="3316"/>
    <cellStyle name="Header2 5 32" xfId="3815"/>
    <cellStyle name="Header2 5 33" xfId="3723"/>
    <cellStyle name="Header2 5 34" xfId="3819"/>
    <cellStyle name="Header2 5 35" xfId="3603"/>
    <cellStyle name="Header2 5 36" xfId="4200"/>
    <cellStyle name="Header2 5 37" xfId="3639"/>
    <cellStyle name="Header2 5 38" xfId="4449"/>
    <cellStyle name="Header2 5 39" xfId="3966"/>
    <cellStyle name="Header2 5 4" xfId="1658"/>
    <cellStyle name="Header2 5 40" xfId="3933"/>
    <cellStyle name="Header2 5 41" xfId="4518"/>
    <cellStyle name="Header2 5 42" xfId="4270"/>
    <cellStyle name="Header2 5 43" xfId="4598"/>
    <cellStyle name="Header2 5 44" xfId="3436"/>
    <cellStyle name="Header2 5 45" xfId="4182"/>
    <cellStyle name="Header2 5 46" xfId="4451"/>
    <cellStyle name="Header2 5 47" xfId="4919"/>
    <cellStyle name="Header2 5 48" xfId="3945"/>
    <cellStyle name="Header2 5 49" xfId="4801"/>
    <cellStyle name="Header2 5 5" xfId="1194"/>
    <cellStyle name="Header2 5 50" xfId="4647"/>
    <cellStyle name="Header2 5 51" xfId="4721"/>
    <cellStyle name="Header2 5 52" xfId="4860"/>
    <cellStyle name="Header2 5 53" xfId="4892"/>
    <cellStyle name="Header2 5 54" xfId="4883"/>
    <cellStyle name="Header2 5 55" xfId="5241"/>
    <cellStyle name="Header2 5 56" xfId="5133"/>
    <cellStyle name="Header2 5 57" xfId="5010"/>
    <cellStyle name="Header2 5 58" xfId="5433"/>
    <cellStyle name="Header2 5 59" xfId="5607"/>
    <cellStyle name="Header2 5 6" xfId="2155"/>
    <cellStyle name="Header2 5 60" xfId="5622"/>
    <cellStyle name="Header2 5 61" xfId="5603"/>
    <cellStyle name="Header2 5 62" xfId="5562"/>
    <cellStyle name="Header2 5 63" xfId="5717"/>
    <cellStyle name="Header2 5 64" xfId="5961"/>
    <cellStyle name="Header2 5 65" xfId="6193"/>
    <cellStyle name="Header2 5 66" xfId="5835"/>
    <cellStyle name="Header2 5 67" xfId="5923"/>
    <cellStyle name="Header2 5 68" xfId="5931"/>
    <cellStyle name="Header2 5 69" xfId="6028"/>
    <cellStyle name="Header2 5 7" xfId="1812"/>
    <cellStyle name="Header2 5 70" xfId="6223"/>
    <cellStyle name="Header2 5 71" xfId="6352"/>
    <cellStyle name="Header2 5 72" xfId="6269"/>
    <cellStyle name="Header2 5 73" xfId="6475"/>
    <cellStyle name="Header2 5 74" xfId="6586"/>
    <cellStyle name="Header2 5 75" xfId="6640"/>
    <cellStyle name="Header2 5 76" xfId="6542"/>
    <cellStyle name="Header2 5 77" xfId="6819"/>
    <cellStyle name="Header2 5 78" xfId="6489"/>
    <cellStyle name="Header2 5 79" xfId="6564"/>
    <cellStyle name="Header2 5 8" xfId="1958"/>
    <cellStyle name="Header2 5 80" xfId="7320"/>
    <cellStyle name="Header2 5 81" xfId="7668"/>
    <cellStyle name="Header2 5 82" xfId="7709"/>
    <cellStyle name="Header2 5 83" xfId="7621"/>
    <cellStyle name="Header2 5 84" xfId="6999"/>
    <cellStyle name="Header2 5 85" xfId="7774"/>
    <cellStyle name="Header2 5 86" xfId="7694"/>
    <cellStyle name="Header2 5 9" xfId="2280"/>
    <cellStyle name="Header2 50" xfId="5969"/>
    <cellStyle name="Header2 51" xfId="5927"/>
    <cellStyle name="Header2 52" xfId="5803"/>
    <cellStyle name="Header2 53" xfId="5933"/>
    <cellStyle name="Header2 54" xfId="6287"/>
    <cellStyle name="Header2 55" xfId="6310"/>
    <cellStyle name="Header2 56" xfId="5962"/>
    <cellStyle name="Header2 57" xfId="6381"/>
    <cellStyle name="Header2 58" xfId="6347"/>
    <cellStyle name="Header2 59" xfId="6624"/>
    <cellStyle name="Header2 6" xfId="1285"/>
    <cellStyle name="Header2 6 10" xfId="3679"/>
    <cellStyle name="Header2 6 11" xfId="3485"/>
    <cellStyle name="Header2 6 12" xfId="4744"/>
    <cellStyle name="Header2 6 13" xfId="5350"/>
    <cellStyle name="Header2 6 14" xfId="5239"/>
    <cellStyle name="Header2 6 2" xfId="1380"/>
    <cellStyle name="Header2 6 3" xfId="1646"/>
    <cellStyle name="Header2 6 4" xfId="3353"/>
    <cellStyle name="Header2 6 5" xfId="4935"/>
    <cellStyle name="Header2 6 6" xfId="4786"/>
    <cellStyle name="Header2 6 7" xfId="5129"/>
    <cellStyle name="Header2 6 8" xfId="4706"/>
    <cellStyle name="Header2 6 9" xfId="4458"/>
    <cellStyle name="Header2 60" xfId="6685"/>
    <cellStyle name="Header2 61" xfId="6517"/>
    <cellStyle name="Header2 62" xfId="6719"/>
    <cellStyle name="Header2 63" xfId="6544"/>
    <cellStyle name="Header2 64" xfId="6898"/>
    <cellStyle name="Header2 65" xfId="6731"/>
    <cellStyle name="Header2 66" xfId="7422"/>
    <cellStyle name="Header2 67" xfId="7706"/>
    <cellStyle name="Header2 68" xfId="7685"/>
    <cellStyle name="Header2 69" xfId="7697"/>
    <cellStyle name="Header2 7" xfId="1763"/>
    <cellStyle name="Header2 70" xfId="7506"/>
    <cellStyle name="Header2 71" xfId="7441"/>
    <cellStyle name="Header2 72" xfId="7767"/>
    <cellStyle name="Header2 8" xfId="1829"/>
    <cellStyle name="Header2 9" xfId="2229"/>
    <cellStyle name="Heading 1 2" xfId="313"/>
    <cellStyle name="Heading 1 2 2" xfId="7425"/>
    <cellStyle name="Heading 1 3" xfId="314"/>
    <cellStyle name="Heading 2 2" xfId="315"/>
    <cellStyle name="Heading 2 2 2" xfId="7207"/>
    <cellStyle name="Heading 2 3" xfId="316"/>
    <cellStyle name="Heading 3 2" xfId="317"/>
    <cellStyle name="Heading 3 2 2" xfId="7109"/>
    <cellStyle name="Heading 3 3" xfId="318"/>
    <cellStyle name="Heading 4 2" xfId="319"/>
    <cellStyle name="Heading 4 2 2" xfId="7426"/>
    <cellStyle name="Heading 4 3" xfId="320"/>
    <cellStyle name="Hyperlink" xfId="7845" builtinId="8"/>
    <cellStyle name="Hyperlink 2" xfId="321"/>
    <cellStyle name="Hyperlink 2 2" xfId="969"/>
    <cellStyle name="Hyperlink 2 3" xfId="7216"/>
    <cellStyle name="Hyperlink 3" xfId="1088"/>
    <cellStyle name="Hyperlink 3 2" xfId="4156"/>
    <cellStyle name="Input [yellow]" xfId="322"/>
    <cellStyle name="Input [yellow] 2" xfId="323"/>
    <cellStyle name="Input [yellow] 2 2" xfId="1496"/>
    <cellStyle name="Input [yellow] 2 3" xfId="7169"/>
    <cellStyle name="Input [yellow] 3" xfId="770"/>
    <cellStyle name="Input [yellow] 3 2" xfId="7171"/>
    <cellStyle name="Input [yellow] 4" xfId="1497"/>
    <cellStyle name="Input [yellow] 4 2" xfId="7050"/>
    <cellStyle name="Input [yellow] 5" xfId="3279"/>
    <cellStyle name="Input [yellow] 6" xfId="4498"/>
    <cellStyle name="Input [yellow] 7" xfId="5943"/>
    <cellStyle name="Input [yellow] 8" xfId="7427"/>
    <cellStyle name="Input 2" xfId="324"/>
    <cellStyle name="Input 2 10" xfId="2014"/>
    <cellStyle name="Input 2 11" xfId="1857"/>
    <cellStyle name="Input 2 12" xfId="2430"/>
    <cellStyle name="Input 2 13" xfId="2240"/>
    <cellStyle name="Input 2 14" xfId="2746"/>
    <cellStyle name="Input 2 15" xfId="2808"/>
    <cellStyle name="Input 2 16" xfId="2639"/>
    <cellStyle name="Input 2 17" xfId="2788"/>
    <cellStyle name="Input 2 18" xfId="2855"/>
    <cellStyle name="Input 2 19" xfId="2347"/>
    <cellStyle name="Input 2 2" xfId="325"/>
    <cellStyle name="Input 2 2 10" xfId="2215"/>
    <cellStyle name="Input 2 2 11" xfId="2050"/>
    <cellStyle name="Input 2 2 12" xfId="2681"/>
    <cellStyle name="Input 2 2 13" xfId="2728"/>
    <cellStyle name="Input 2 2 14" xfId="2742"/>
    <cellStyle name="Input 2 2 15" xfId="2146"/>
    <cellStyle name="Input 2 2 16" xfId="2573"/>
    <cellStyle name="Input 2 2 17" xfId="2672"/>
    <cellStyle name="Input 2 2 18" xfId="2923"/>
    <cellStyle name="Input 2 2 19" xfId="3000"/>
    <cellStyle name="Input 2 2 2" xfId="1023"/>
    <cellStyle name="Input 2 2 2 10" xfId="2458"/>
    <cellStyle name="Input 2 2 2 11" xfId="2444"/>
    <cellStyle name="Input 2 2 2 12" xfId="1953"/>
    <cellStyle name="Input 2 2 2 13" xfId="1999"/>
    <cellStyle name="Input 2 2 2 14" xfId="2226"/>
    <cellStyle name="Input 2 2 2 15" xfId="2755"/>
    <cellStyle name="Input 2 2 2 16" xfId="2393"/>
    <cellStyle name="Input 2 2 2 17" xfId="2858"/>
    <cellStyle name="Input 2 2 2 18" xfId="1878"/>
    <cellStyle name="Input 2 2 2 19" xfId="2289"/>
    <cellStyle name="Input 2 2 2 2" xfId="1136"/>
    <cellStyle name="Input 2 2 2 20" xfId="3121"/>
    <cellStyle name="Input 2 2 2 21" xfId="3067"/>
    <cellStyle name="Input 2 2 2 22" xfId="3084"/>
    <cellStyle name="Input 2 2 2 23" xfId="3131"/>
    <cellStyle name="Input 2 2 2 24" xfId="3238"/>
    <cellStyle name="Input 2 2 2 25" xfId="3378"/>
    <cellStyle name="Input 2 2 2 26" xfId="4172"/>
    <cellStyle name="Input 2 2 2 27" xfId="3780"/>
    <cellStyle name="Input 2 2 2 28" xfId="4888"/>
    <cellStyle name="Input 2 2 2 29" xfId="4224"/>
    <cellStyle name="Input 2 2 2 3" xfId="1223"/>
    <cellStyle name="Input 2 2 2 30" xfId="4839"/>
    <cellStyle name="Input 2 2 2 31" xfId="4838"/>
    <cellStyle name="Input 2 2 2 32" xfId="4376"/>
    <cellStyle name="Input 2 2 2 33" xfId="4872"/>
    <cellStyle name="Input 2 2 2 34" xfId="5013"/>
    <cellStyle name="Input 2 2 2 35" xfId="4790"/>
    <cellStyle name="Input 2 2 2 36" xfId="5315"/>
    <cellStyle name="Input 2 2 2 37" xfId="5945"/>
    <cellStyle name="Input 2 2 2 38" xfId="5799"/>
    <cellStyle name="Input 2 2 2 39" xfId="6087"/>
    <cellStyle name="Input 2 2 2 4" xfId="1660"/>
    <cellStyle name="Input 2 2 2 5" xfId="1680"/>
    <cellStyle name="Input 2 2 2 6" xfId="2257"/>
    <cellStyle name="Input 2 2 2 7" xfId="2323"/>
    <cellStyle name="Input 2 2 2 8" xfId="2230"/>
    <cellStyle name="Input 2 2 2 9" xfId="2125"/>
    <cellStyle name="Input 2 2 20" xfId="3134"/>
    <cellStyle name="Input 2 2 21" xfId="2955"/>
    <cellStyle name="Input 2 2 22" xfId="3188"/>
    <cellStyle name="Input 2 2 23" xfId="3281"/>
    <cellStyle name="Input 2 2 24" xfId="3307"/>
    <cellStyle name="Input 2 2 25" xfId="3583"/>
    <cellStyle name="Input 2 2 26" xfId="3963"/>
    <cellStyle name="Input 2 2 27" xfId="4180"/>
    <cellStyle name="Input 2 2 28" xfId="3942"/>
    <cellStyle name="Input 2 2 29" xfId="4284"/>
    <cellStyle name="Input 2 2 3" xfId="940"/>
    <cellStyle name="Input 2 2 3 2" xfId="1299"/>
    <cellStyle name="Input 2 2 3 3" xfId="1155"/>
    <cellStyle name="Input 2 2 3 4" xfId="1173"/>
    <cellStyle name="Input 2 2 30" xfId="4455"/>
    <cellStyle name="Input 2 2 31" xfId="3454"/>
    <cellStyle name="Input 2 2 32" xfId="4557"/>
    <cellStyle name="Input 2 2 33" xfId="4639"/>
    <cellStyle name="Input 2 2 34" xfId="4072"/>
    <cellStyle name="Input 2 2 35" xfId="3714"/>
    <cellStyle name="Input 2 2 36" xfId="4286"/>
    <cellStyle name="Input 2 2 37" xfId="4586"/>
    <cellStyle name="Input 2 2 38" xfId="4610"/>
    <cellStyle name="Input 2 2 39" xfId="4877"/>
    <cellStyle name="Input 2 2 4" xfId="1102"/>
    <cellStyle name="Input 2 2 40" xfId="4473"/>
    <cellStyle name="Input 2 2 41" xfId="4803"/>
    <cellStyle name="Input 2 2 42" xfId="4868"/>
    <cellStyle name="Input 2 2 43" xfId="3786"/>
    <cellStyle name="Input 2 2 44" xfId="4671"/>
    <cellStyle name="Input 2 2 45" xfId="5220"/>
    <cellStyle name="Input 2 2 46" xfId="4979"/>
    <cellStyle name="Input 2 2 47" xfId="4782"/>
    <cellStyle name="Input 2 2 48" xfId="5125"/>
    <cellStyle name="Input 2 2 49" xfId="5251"/>
    <cellStyle name="Input 2 2 5" xfId="1212"/>
    <cellStyle name="Input 2 2 50" xfId="4317"/>
    <cellStyle name="Input 2 2 51" xfId="3729"/>
    <cellStyle name="Input 2 2 52" xfId="5115"/>
    <cellStyle name="Input 2 2 53" xfId="5532"/>
    <cellStyle name="Input 2 2 54" xfId="5618"/>
    <cellStyle name="Input 2 2 55" xfId="5495"/>
    <cellStyle name="Input 2 2 56" xfId="5571"/>
    <cellStyle name="Input 2 2 57" xfId="5547"/>
    <cellStyle name="Input 2 2 58" xfId="6085"/>
    <cellStyle name="Input 2 2 59" xfId="5864"/>
    <cellStyle name="Input 2 2 6" xfId="1988"/>
    <cellStyle name="Input 2 2 60" xfId="6000"/>
    <cellStyle name="Input 2 2 61" xfId="5998"/>
    <cellStyle name="Input 2 2 62" xfId="6045"/>
    <cellStyle name="Input 2 2 63" xfId="6262"/>
    <cellStyle name="Input 2 2 64" xfId="5822"/>
    <cellStyle name="Input 2 2 65" xfId="5818"/>
    <cellStyle name="Input 2 2 66" xfId="5972"/>
    <cellStyle name="Input 2 2 67" xfId="5981"/>
    <cellStyle name="Input 2 2 68" xfId="6403"/>
    <cellStyle name="Input 2 2 69" xfId="6711"/>
    <cellStyle name="Input 2 2 7" xfId="1924"/>
    <cellStyle name="Input 2 2 70" xfId="6531"/>
    <cellStyle name="Input 2 2 71" xfId="6638"/>
    <cellStyle name="Input 2 2 72" xfId="6511"/>
    <cellStyle name="Input 2 2 73" xfId="6887"/>
    <cellStyle name="Input 2 2 74" xfId="6583"/>
    <cellStyle name="Input 2 2 75" xfId="6794"/>
    <cellStyle name="Input 2 2 76" xfId="6750"/>
    <cellStyle name="Input 2 2 77" xfId="6695"/>
    <cellStyle name="Input 2 2 78" xfId="7100"/>
    <cellStyle name="Input 2 2 79" xfId="7742"/>
    <cellStyle name="Input 2 2 8" xfId="1926"/>
    <cellStyle name="Input 2 2 80" xfId="7653"/>
    <cellStyle name="Input 2 2 81" xfId="7660"/>
    <cellStyle name="Input 2 2 82" xfId="7753"/>
    <cellStyle name="Input 2 2 83" xfId="7667"/>
    <cellStyle name="Input 2 2 9" xfId="2499"/>
    <cellStyle name="Input 2 20" xfId="2950"/>
    <cellStyle name="Input 2 21" xfId="3037"/>
    <cellStyle name="Input 2 22" xfId="3280"/>
    <cellStyle name="Input 2 23" xfId="3323"/>
    <cellStyle name="Input 2 24" xfId="3788"/>
    <cellStyle name="Input 2 25" xfId="3757"/>
    <cellStyle name="Input 2 26" xfId="4181"/>
    <cellStyle name="Input 2 27" xfId="4093"/>
    <cellStyle name="Input 2 28" xfId="3736"/>
    <cellStyle name="Input 2 29" xfId="4347"/>
    <cellStyle name="Input 2 3" xfId="981"/>
    <cellStyle name="Input 2 3 10" xfId="1990"/>
    <cellStyle name="Input 2 3 11" xfId="1805"/>
    <cellStyle name="Input 2 3 12" xfId="2183"/>
    <cellStyle name="Input 2 3 13" xfId="2119"/>
    <cellStyle name="Input 2 3 14" xfId="2287"/>
    <cellStyle name="Input 2 3 15" xfId="1772"/>
    <cellStyle name="Input 2 3 16" xfId="1933"/>
    <cellStyle name="Input 2 3 17" xfId="1939"/>
    <cellStyle name="Input 2 3 18" xfId="2684"/>
    <cellStyle name="Input 2 3 19" xfId="2209"/>
    <cellStyle name="Input 2 3 2" xfId="1119"/>
    <cellStyle name="Input 2 3 2 2" xfId="1498"/>
    <cellStyle name="Input 2 3 2 3" xfId="1662"/>
    <cellStyle name="Input 2 3 2 4" xfId="1195"/>
    <cellStyle name="Input 2 3 20" xfId="2698"/>
    <cellStyle name="Input 2 3 21" xfId="2352"/>
    <cellStyle name="Input 2 3 22" xfId="2512"/>
    <cellStyle name="Input 2 3 23" xfId="2856"/>
    <cellStyle name="Input 2 3 24" xfId="2851"/>
    <cellStyle name="Input 2 3 25" xfId="3075"/>
    <cellStyle name="Input 2 3 26" xfId="3101"/>
    <cellStyle name="Input 2 3 27" xfId="3127"/>
    <cellStyle name="Input 2 3 28" xfId="3215"/>
    <cellStyle name="Input 2 3 29" xfId="3326"/>
    <cellStyle name="Input 2 3 3" xfId="1611"/>
    <cellStyle name="Input 2 3 3 2" xfId="1702"/>
    <cellStyle name="Input 2 3 3 3" xfId="1724"/>
    <cellStyle name="Input 2 3 30" xfId="3586"/>
    <cellStyle name="Input 2 3 31" xfId="3632"/>
    <cellStyle name="Input 2 3 32" xfId="4310"/>
    <cellStyle name="Input 2 3 33" xfId="3896"/>
    <cellStyle name="Input 2 3 34" xfId="4282"/>
    <cellStyle name="Input 2 3 35" xfId="3912"/>
    <cellStyle name="Input 2 3 36" xfId="4255"/>
    <cellStyle name="Input 2 3 37" xfId="4050"/>
    <cellStyle name="Input 2 3 38" xfId="4736"/>
    <cellStyle name="Input 2 3 39" xfId="4515"/>
    <cellStyle name="Input 2 3 4" xfId="1239"/>
    <cellStyle name="Input 2 3 40" xfId="4337"/>
    <cellStyle name="Input 2 3 41" xfId="4084"/>
    <cellStyle name="Input 2 3 42" xfId="4545"/>
    <cellStyle name="Input 2 3 43" xfId="4508"/>
    <cellStyle name="Input 2 3 44" xfId="4712"/>
    <cellStyle name="Input 2 3 45" xfId="4501"/>
    <cellStyle name="Input 2 3 46" xfId="4849"/>
    <cellStyle name="Input 2 3 47" xfId="4178"/>
    <cellStyle name="Input 2 3 48" xfId="4086"/>
    <cellStyle name="Input 2 3 49" xfId="4638"/>
    <cellStyle name="Input 2 3 5" xfId="1672"/>
    <cellStyle name="Input 2 3 50" xfId="4947"/>
    <cellStyle name="Input 2 3 51" xfId="4971"/>
    <cellStyle name="Input 2 3 52" xfId="3590"/>
    <cellStyle name="Input 2 3 53" xfId="5293"/>
    <cellStyle name="Input 2 3 54" xfId="4956"/>
    <cellStyle name="Input 2 3 55" xfId="5312"/>
    <cellStyle name="Input 2 3 56" xfId="5419"/>
    <cellStyle name="Input 2 3 57" xfId="5535"/>
    <cellStyle name="Input 2 3 58" xfId="5676"/>
    <cellStyle name="Input 2 3 59" xfId="5690"/>
    <cellStyle name="Input 2 3 6" xfId="2158"/>
    <cellStyle name="Input 2 3 60" xfId="5739"/>
    <cellStyle name="Input 2 3 61" xfId="5522"/>
    <cellStyle name="Input 2 3 62" xfId="5760"/>
    <cellStyle name="Input 2 3 63" xfId="5901"/>
    <cellStyle name="Input 2 3 64" xfId="5967"/>
    <cellStyle name="Input 2 3 65" xfId="5984"/>
    <cellStyle name="Input 2 3 66" xfId="6042"/>
    <cellStyle name="Input 2 3 67" xfId="5916"/>
    <cellStyle name="Input 2 3 68" xfId="6289"/>
    <cellStyle name="Input 2 3 69" xfId="6245"/>
    <cellStyle name="Input 2 3 7" xfId="2065"/>
    <cellStyle name="Input 2 3 70" xfId="6402"/>
    <cellStyle name="Input 2 3 71" xfId="6747"/>
    <cellStyle name="Input 2 3 72" xfId="6532"/>
    <cellStyle name="Input 2 3 73" xfId="6551"/>
    <cellStyle name="Input 2 3 74" xfId="6824"/>
    <cellStyle name="Input 2 3 75" xfId="6882"/>
    <cellStyle name="Input 2 3 76" xfId="6602"/>
    <cellStyle name="Input 2 3 77" xfId="6446"/>
    <cellStyle name="Input 2 3 78" xfId="7103"/>
    <cellStyle name="Input 2 3 79" xfId="7741"/>
    <cellStyle name="Input 2 3 8" xfId="1798"/>
    <cellStyle name="Input 2 3 80" xfId="7737"/>
    <cellStyle name="Input 2 3 81" xfId="7766"/>
    <cellStyle name="Input 2 3 82" xfId="7650"/>
    <cellStyle name="Input 2 3 83" xfId="7659"/>
    <cellStyle name="Input 2 3 9" xfId="1968"/>
    <cellStyle name="Input 2 30" xfId="4206"/>
    <cellStyle name="Input 2 31" xfId="4256"/>
    <cellStyle name="Input 2 32" xfId="3856"/>
    <cellStyle name="Input 2 33" xfId="3629"/>
    <cellStyle name="Input 2 34" xfId="3842"/>
    <cellStyle name="Input 2 35" xfId="3762"/>
    <cellStyle name="Input 2 36" xfId="4340"/>
    <cellStyle name="Input 2 37" xfId="4330"/>
    <cellStyle name="Input 2 38" xfId="4454"/>
    <cellStyle name="Input 2 39" xfId="4836"/>
    <cellStyle name="Input 2 4" xfId="771"/>
    <cellStyle name="Input 2 4 10" xfId="1822"/>
    <cellStyle name="Input 2 4 11" xfId="2117"/>
    <cellStyle name="Input 2 4 12" xfId="1884"/>
    <cellStyle name="Input 2 4 13" xfId="2138"/>
    <cellStyle name="Input 2 4 14" xfId="1876"/>
    <cellStyle name="Input 2 4 15" xfId="2357"/>
    <cellStyle name="Input 2 4 16" xfId="2634"/>
    <cellStyle name="Input 2 4 17" xfId="2506"/>
    <cellStyle name="Input 2 4 18" xfId="2694"/>
    <cellStyle name="Input 2 4 19" xfId="2736"/>
    <cellStyle name="Input 2 4 2" xfId="1612"/>
    <cellStyle name="Input 2 4 2 2" xfId="1703"/>
    <cellStyle name="Input 2 4 2 3" xfId="1725"/>
    <cellStyle name="Input 2 4 20" xfId="2496"/>
    <cellStyle name="Input 2 4 21" xfId="2319"/>
    <cellStyle name="Input 2 4 22" xfId="2805"/>
    <cellStyle name="Input 2 4 23" xfId="1853"/>
    <cellStyle name="Input 2 4 24" xfId="2720"/>
    <cellStyle name="Input 2 4 25" xfId="3076"/>
    <cellStyle name="Input 2 4 26" xfId="3057"/>
    <cellStyle name="Input 2 4 27" xfId="3133"/>
    <cellStyle name="Input 2 4 28" xfId="3216"/>
    <cellStyle name="Input 2 4 29" xfId="3335"/>
    <cellStyle name="Input 2 4 3" xfId="1499"/>
    <cellStyle name="Input 2 4 30" xfId="3790"/>
    <cellStyle name="Input 2 4 31" xfId="3728"/>
    <cellStyle name="Input 2 4 32" xfId="3636"/>
    <cellStyle name="Input 2 4 33" xfId="4150"/>
    <cellStyle name="Input 2 4 34" xfId="3494"/>
    <cellStyle name="Input 2 4 35" xfId="3578"/>
    <cellStyle name="Input 2 4 36" xfId="4082"/>
    <cellStyle name="Input 2 4 37" xfId="3502"/>
    <cellStyle name="Input 2 4 38" xfId="4684"/>
    <cellStyle name="Input 2 4 39" xfId="3537"/>
    <cellStyle name="Input 2 4 4" xfId="1663"/>
    <cellStyle name="Input 2 4 40" xfId="4605"/>
    <cellStyle name="Input 2 4 41" xfId="4154"/>
    <cellStyle name="Input 2 4 42" xfId="4867"/>
    <cellStyle name="Input 2 4 43" xfId="4211"/>
    <cellStyle name="Input 2 4 44" xfId="4631"/>
    <cellStyle name="Input 2 4 45" xfId="4311"/>
    <cellStyle name="Input 2 4 46" xfId="4732"/>
    <cellStyle name="Input 2 4 47" xfId="3566"/>
    <cellStyle name="Input 2 4 48" xfId="5176"/>
    <cellStyle name="Input 2 4 49" xfId="4030"/>
    <cellStyle name="Input 2 4 5" xfId="1628"/>
    <cellStyle name="Input 2 4 50" xfId="4939"/>
    <cellStyle name="Input 2 4 51" xfId="3838"/>
    <cellStyle name="Input 2 4 52" xfId="4407"/>
    <cellStyle name="Input 2 4 53" xfId="5032"/>
    <cellStyle name="Input 2 4 54" xfId="5361"/>
    <cellStyle name="Input 2 4 55" xfId="5443"/>
    <cellStyle name="Input 2 4 56" xfId="4677"/>
    <cellStyle name="Input 2 4 57" xfId="5599"/>
    <cellStyle name="Input 2 4 58" xfId="5528"/>
    <cellStyle name="Input 2 4 59" xfId="5684"/>
    <cellStyle name="Input 2 4 6" xfId="2159"/>
    <cellStyle name="Input 2 4 60" xfId="5586"/>
    <cellStyle name="Input 2 4 61" xfId="5702"/>
    <cellStyle name="Input 2 4 62" xfId="5976"/>
    <cellStyle name="Input 2 4 63" xfId="5902"/>
    <cellStyle name="Input 2 4 64" xfId="6169"/>
    <cellStyle name="Input 2 4 65" xfId="5928"/>
    <cellStyle name="Input 2 4 66" xfId="6280"/>
    <cellStyle name="Input 2 4 67" xfId="6306"/>
    <cellStyle name="Input 2 4 68" xfId="6330"/>
    <cellStyle name="Input 2 4 69" xfId="5915"/>
    <cellStyle name="Input 2 4 7" xfId="1744"/>
    <cellStyle name="Input 2 4 70" xfId="6010"/>
    <cellStyle name="Input 2 4 71" xfId="6613"/>
    <cellStyle name="Input 2 4 72" xfId="6797"/>
    <cellStyle name="Input 2 4 73" xfId="6657"/>
    <cellStyle name="Input 2 4 74" xfId="6658"/>
    <cellStyle name="Input 2 4 75" xfId="6903"/>
    <cellStyle name="Input 2 4 76" xfId="6648"/>
    <cellStyle name="Input 2 4 77" xfId="6935"/>
    <cellStyle name="Input 2 4 78" xfId="7297"/>
    <cellStyle name="Input 2 4 79" xfId="7657"/>
    <cellStyle name="Input 2 4 8" xfId="1959"/>
    <cellStyle name="Input 2 4 80" xfId="7712"/>
    <cellStyle name="Input 2 4 81" xfId="7689"/>
    <cellStyle name="Input 2 4 82" xfId="7613"/>
    <cellStyle name="Input 2 4 83" xfId="7762"/>
    <cellStyle name="Input 2 4 9" xfId="2078"/>
    <cellStyle name="Input 2 40" xfId="4499"/>
    <cellStyle name="Input 2 41" xfId="4729"/>
    <cellStyle name="Input 2 42" xfId="3423"/>
    <cellStyle name="Input 2 43" xfId="5223"/>
    <cellStyle name="Input 2 44" xfId="4312"/>
    <cellStyle name="Input 2 45" xfId="3596"/>
    <cellStyle name="Input 2 46" xfId="3456"/>
    <cellStyle name="Input 2 47" xfId="4871"/>
    <cellStyle name="Input 2 48" xfId="4808"/>
    <cellStyle name="Input 2 49" xfId="5009"/>
    <cellStyle name="Input 2 5" xfId="954"/>
    <cellStyle name="Input 2 5 10" xfId="1855"/>
    <cellStyle name="Input 2 5 11" xfId="2311"/>
    <cellStyle name="Input 2 5 12" xfId="2068"/>
    <cellStyle name="Input 2 5 13" xfId="1877"/>
    <cellStyle name="Input 2 5 14" xfId="2090"/>
    <cellStyle name="Input 2 5 15" xfId="2418"/>
    <cellStyle name="Input 2 5 16" xfId="2595"/>
    <cellStyle name="Input 2 5 17" xfId="2502"/>
    <cellStyle name="Input 2 5 18" xfId="2106"/>
    <cellStyle name="Input 2 5 19" xfId="2636"/>
    <cellStyle name="Input 2 5 2" xfId="1613"/>
    <cellStyle name="Input 2 5 2 2" xfId="1704"/>
    <cellStyle name="Input 2 5 2 3" xfId="1726"/>
    <cellStyle name="Input 2 5 20" xfId="2759"/>
    <cellStyle name="Input 2 5 21" xfId="2795"/>
    <cellStyle name="Input 2 5 22" xfId="2679"/>
    <cellStyle name="Input 2 5 23" xfId="2796"/>
    <cellStyle name="Input 2 5 24" xfId="2756"/>
    <cellStyle name="Input 2 5 25" xfId="3077"/>
    <cellStyle name="Input 2 5 26" xfId="3009"/>
    <cellStyle name="Input 2 5 27" xfId="3065"/>
    <cellStyle name="Input 2 5 28" xfId="3217"/>
    <cellStyle name="Input 2 5 29" xfId="3348"/>
    <cellStyle name="Input 2 5 3" xfId="1500"/>
    <cellStyle name="Input 2 5 30" xfId="3925"/>
    <cellStyle name="Input 2 5 31" xfId="4188"/>
    <cellStyle name="Input 2 5 32" xfId="3559"/>
    <cellStyle name="Input 2 5 33" xfId="4177"/>
    <cellStyle name="Input 2 5 34" xfId="3735"/>
    <cellStyle name="Input 2 5 35" xfId="4382"/>
    <cellStyle name="Input 2 5 36" xfId="3572"/>
    <cellStyle name="Input 2 5 37" xfId="4583"/>
    <cellStyle name="Input 2 5 38" xfId="4645"/>
    <cellStyle name="Input 2 5 39" xfId="4099"/>
    <cellStyle name="Input 2 5 4" xfId="1664"/>
    <cellStyle name="Input 2 5 40" xfId="4199"/>
    <cellStyle name="Input 2 5 41" xfId="4688"/>
    <cellStyle name="Input 2 5 42" xfId="3700"/>
    <cellStyle name="Input 2 5 43" xfId="4869"/>
    <cellStyle name="Input 2 5 44" xfId="4538"/>
    <cellStyle name="Input 2 5 45" xfId="4714"/>
    <cellStyle name="Input 2 5 46" xfId="3530"/>
    <cellStyle name="Input 2 5 47" xfId="3752"/>
    <cellStyle name="Input 2 5 48" xfId="3474"/>
    <cellStyle name="Input 2 5 49" xfId="3535"/>
    <cellStyle name="Input 2 5 5" xfId="1627"/>
    <cellStyle name="Input 2 5 50" xfId="3846"/>
    <cellStyle name="Input 2 5 51" xfId="4907"/>
    <cellStyle name="Input 2 5 52" xfId="3765"/>
    <cellStyle name="Input 2 5 53" xfId="4862"/>
    <cellStyle name="Input 2 5 54" xfId="4115"/>
    <cellStyle name="Input 2 5 55" xfId="3756"/>
    <cellStyle name="Input 2 5 56" xfId="5400"/>
    <cellStyle name="Input 2 5 57" xfId="5630"/>
    <cellStyle name="Input 2 5 58" xfId="5591"/>
    <cellStyle name="Input 2 5 59" xfId="5575"/>
    <cellStyle name="Input 2 5 6" xfId="2160"/>
    <cellStyle name="Input 2 5 60" xfId="5499"/>
    <cellStyle name="Input 2 5 61" xfId="5521"/>
    <cellStyle name="Input 2 5 62" xfId="5889"/>
    <cellStyle name="Input 2 5 63" xfId="5975"/>
    <cellStyle name="Input 2 5 64" xfId="5904"/>
    <cellStyle name="Input 2 5 65" xfId="6002"/>
    <cellStyle name="Input 2 5 66" xfId="5907"/>
    <cellStyle name="Input 2 5 67" xfId="6216"/>
    <cellStyle name="Input 2 5 68" xfId="5932"/>
    <cellStyle name="Input 2 5 69" xfId="6383"/>
    <cellStyle name="Input 2 5 7" xfId="2064"/>
    <cellStyle name="Input 2 5 70" xfId="6362"/>
    <cellStyle name="Input 2 5 71" xfId="6629"/>
    <cellStyle name="Input 2 5 72" xfId="6646"/>
    <cellStyle name="Input 2 5 73" xfId="6845"/>
    <cellStyle name="Input 2 5 74" xfId="6769"/>
    <cellStyle name="Input 2 5 75" xfId="6534"/>
    <cellStyle name="Input 2 5 76" xfId="6831"/>
    <cellStyle name="Input 2 5 77" xfId="6545"/>
    <cellStyle name="Input 2 5 78" xfId="7428"/>
    <cellStyle name="Input 2 5 79" xfId="7680"/>
    <cellStyle name="Input 2 5 8" xfId="1960"/>
    <cellStyle name="Input 2 5 80" xfId="7773"/>
    <cellStyle name="Input 2 5 81" xfId="7679"/>
    <cellStyle name="Input 2 5 82" xfId="7717"/>
    <cellStyle name="Input 2 5 83" xfId="7456"/>
    <cellStyle name="Input 2 5 9" xfId="2270"/>
    <cellStyle name="Input 2 50" xfId="4952"/>
    <cellStyle name="Input 2 51" xfId="5598"/>
    <cellStyle name="Input 2 52" xfId="5627"/>
    <cellStyle name="Input 2 53" xfId="5557"/>
    <cellStyle name="Input 2 54" xfId="5508"/>
    <cellStyle name="Input 2 55" xfId="5675"/>
    <cellStyle name="Input 2 56" xfId="5979"/>
    <cellStyle name="Input 2 57" xfId="5899"/>
    <cellStyle name="Input 2 58" xfId="5886"/>
    <cellStyle name="Input 2 59" xfId="6257"/>
    <cellStyle name="Input 2 6" xfId="1284"/>
    <cellStyle name="Input 2 6 10" xfId="5175"/>
    <cellStyle name="Input 2 6 11" xfId="5222"/>
    <cellStyle name="Input 2 6 12" xfId="5270"/>
    <cellStyle name="Input 2 6 13" xfId="5417"/>
    <cellStyle name="Input 2 6 14" xfId="4520"/>
    <cellStyle name="Input 2 6 15" xfId="5947"/>
    <cellStyle name="Input 2 6 2" xfId="1158"/>
    <cellStyle name="Input 2 6 3" xfId="1647"/>
    <cellStyle name="Input 2 6 4" xfId="3354"/>
    <cellStyle name="Input 2 6 5" xfId="4897"/>
    <cellStyle name="Input 2 6 6" xfId="4592"/>
    <cellStyle name="Input 2 6 7" xfId="4760"/>
    <cellStyle name="Input 2 6 8" xfId="4749"/>
    <cellStyle name="Input 2 6 9" xfId="4208"/>
    <cellStyle name="Input 2 60" xfId="6019"/>
    <cellStyle name="Input 2 61" xfId="6095"/>
    <cellStyle name="Input 2 62" xfId="6136"/>
    <cellStyle name="Input 2 63" xfId="5878"/>
    <cellStyle name="Input 2 64" xfId="6029"/>
    <cellStyle name="Input 2 65" xfId="6380"/>
    <cellStyle name="Input 2 66" xfId="6615"/>
    <cellStyle name="Input 2 67" xfId="6636"/>
    <cellStyle name="Input 2 68" xfId="6633"/>
    <cellStyle name="Input 2 69" xfId="6476"/>
    <cellStyle name="Input 2 7" xfId="1766"/>
    <cellStyle name="Input 2 70" xfId="6520"/>
    <cellStyle name="Input 2 71" xfId="6775"/>
    <cellStyle name="Input 2 72" xfId="6598"/>
    <cellStyle name="Input 2 73" xfId="7294"/>
    <cellStyle name="Input 2 74" xfId="7673"/>
    <cellStyle name="Input 2 75" xfId="7061"/>
    <cellStyle name="Input 2 76" xfId="7677"/>
    <cellStyle name="Input 2 77" xfId="7630"/>
    <cellStyle name="Input 2 78" xfId="7014"/>
    <cellStyle name="Input 2 8" xfId="1903"/>
    <cellStyle name="Input 2 9" xfId="1981"/>
    <cellStyle name="Input 3" xfId="326"/>
    <cellStyle name="Input 3 10" xfId="1893"/>
    <cellStyle name="Input 3 11" xfId="2417"/>
    <cellStyle name="Input 3 12" xfId="2536"/>
    <cellStyle name="Input 3 13" xfId="2738"/>
    <cellStyle name="Input 3 14" xfId="2802"/>
    <cellStyle name="Input 3 15" xfId="2507"/>
    <cellStyle name="Input 3 16" xfId="2711"/>
    <cellStyle name="Input 3 17" xfId="2771"/>
    <cellStyle name="Input 3 18" xfId="2056"/>
    <cellStyle name="Input 3 19" xfId="3079"/>
    <cellStyle name="Input 3 2" xfId="327"/>
    <cellStyle name="Input 3 2 10" xfId="2011"/>
    <cellStyle name="Input 3 2 11" xfId="2580"/>
    <cellStyle name="Input 3 2 12" xfId="2281"/>
    <cellStyle name="Input 3 2 13" xfId="2100"/>
    <cellStyle name="Input 3 2 14" xfId="2791"/>
    <cellStyle name="Input 3 2 15" xfId="2690"/>
    <cellStyle name="Input 3 2 16" xfId="2510"/>
    <cellStyle name="Input 3 2 17" xfId="2662"/>
    <cellStyle name="Input 3 2 18" xfId="2922"/>
    <cellStyle name="Input 3 2 19" xfId="3085"/>
    <cellStyle name="Input 3 2 2" xfId="1024"/>
    <cellStyle name="Input 3 2 2 10" xfId="1947"/>
    <cellStyle name="Input 3 2 2 11" xfId="2330"/>
    <cellStyle name="Input 3 2 2 12" xfId="1774"/>
    <cellStyle name="Input 3 2 2 13" xfId="2141"/>
    <cellStyle name="Input 3 2 2 14" xfId="2503"/>
    <cellStyle name="Input 3 2 2 15" xfId="2722"/>
    <cellStyle name="Input 3 2 2 16" xfId="1791"/>
    <cellStyle name="Input 3 2 2 17" xfId="2859"/>
    <cellStyle name="Input 3 2 2 18" xfId="2749"/>
    <cellStyle name="Input 3 2 2 19" xfId="2044"/>
    <cellStyle name="Input 3 2 2 2" xfId="1137"/>
    <cellStyle name="Input 3 2 2 20" xfId="3122"/>
    <cellStyle name="Input 3 2 2 21" xfId="3068"/>
    <cellStyle name="Input 3 2 2 22" xfId="3083"/>
    <cellStyle name="Input 3 2 2 23" xfId="2961"/>
    <cellStyle name="Input 3 2 2 24" xfId="3239"/>
    <cellStyle name="Input 3 2 2 25" xfId="3379"/>
    <cellStyle name="Input 3 2 2 26" xfId="4835"/>
    <cellStyle name="Input 3 2 2 27" xfId="4502"/>
    <cellStyle name="Input 3 2 2 28" xfId="4221"/>
    <cellStyle name="Input 3 2 2 29" xfId="4875"/>
    <cellStyle name="Input 3 2 2 3" xfId="1167"/>
    <cellStyle name="Input 3 2 2 30" xfId="5051"/>
    <cellStyle name="Input 3 2 2 31" xfId="4100"/>
    <cellStyle name="Input 3 2 2 32" xfId="4349"/>
    <cellStyle name="Input 3 2 2 33" xfId="5014"/>
    <cellStyle name="Input 3 2 2 34" xfId="4740"/>
    <cellStyle name="Input 3 2 2 35" xfId="3875"/>
    <cellStyle name="Input 3 2 2 36" xfId="5114"/>
    <cellStyle name="Input 3 2 2 37" xfId="5948"/>
    <cellStyle name="Input 3 2 2 38" xfId="6050"/>
    <cellStyle name="Input 3 2 2 39" xfId="6300"/>
    <cellStyle name="Input 3 2 2 4" xfId="1659"/>
    <cellStyle name="Input 3 2 2 5" xfId="1631"/>
    <cellStyle name="Input 3 2 2 6" xfId="2258"/>
    <cellStyle name="Input 3 2 2 7" xfId="2324"/>
    <cellStyle name="Input 3 2 2 8" xfId="1871"/>
    <cellStyle name="Input 3 2 2 9" xfId="2126"/>
    <cellStyle name="Input 3 2 20" xfId="3018"/>
    <cellStyle name="Input 3 2 21" xfId="3105"/>
    <cellStyle name="Input 3 2 22" xfId="3189"/>
    <cellStyle name="Input 3 2 23" xfId="3283"/>
    <cellStyle name="Input 3 2 24" xfId="3331"/>
    <cellStyle name="Input 3 2 25" xfId="3927"/>
    <cellStyle name="Input 3 2 26" xfId="4190"/>
    <cellStyle name="Input 3 2 27" xfId="4103"/>
    <cellStyle name="Input 3 2 28" xfId="3435"/>
    <cellStyle name="Input 3 2 29" xfId="3898"/>
    <cellStyle name="Input 3 2 3" xfId="941"/>
    <cellStyle name="Input 3 2 3 2" xfId="1298"/>
    <cellStyle name="Input 3 2 3 3" xfId="1369"/>
    <cellStyle name="Input 3 2 3 4" xfId="1441"/>
    <cellStyle name="Input 3 2 30" xfId="4383"/>
    <cellStyle name="Input 3 2 31" xfId="3635"/>
    <cellStyle name="Input 3 2 32" xfId="3589"/>
    <cellStyle name="Input 3 2 33" xfId="4356"/>
    <cellStyle name="Input 3 2 34" xfId="3658"/>
    <cellStyle name="Input 3 2 35" xfId="3641"/>
    <cellStyle name="Input 3 2 36" xfId="3461"/>
    <cellStyle name="Input 3 2 37" xfId="4153"/>
    <cellStyle name="Input 3 2 38" xfId="4241"/>
    <cellStyle name="Input 3 2 39" xfId="4147"/>
    <cellStyle name="Input 3 2 4" xfId="1103"/>
    <cellStyle name="Input 3 2 40" xfId="4627"/>
    <cellStyle name="Input 3 2 41" xfId="4946"/>
    <cellStyle name="Input 3 2 42" xfId="4777"/>
    <cellStyle name="Input 3 2 43" xfId="4419"/>
    <cellStyle name="Input 3 2 44" xfId="4827"/>
    <cellStyle name="Input 3 2 45" xfId="3901"/>
    <cellStyle name="Input 3 2 46" xfId="3495"/>
    <cellStyle name="Input 3 2 47" xfId="5140"/>
    <cellStyle name="Input 3 2 48" xfId="3748"/>
    <cellStyle name="Input 3 2 49" xfId="5177"/>
    <cellStyle name="Input 3 2 5" xfId="1209"/>
    <cellStyle name="Input 3 2 50" xfId="5048"/>
    <cellStyle name="Input 3 2 51" xfId="5437"/>
    <cellStyle name="Input 3 2 52" xfId="5318"/>
    <cellStyle name="Input 3 2 53" xfId="5632"/>
    <cellStyle name="Input 3 2 54" xfId="5590"/>
    <cellStyle name="Input 3 2 55" xfId="5485"/>
    <cellStyle name="Input 3 2 56" xfId="5576"/>
    <cellStyle name="Input 3 2 57" xfId="5561"/>
    <cellStyle name="Input 3 2 58" xfId="5887"/>
    <cellStyle name="Input 3 2 59" xfId="6163"/>
    <cellStyle name="Input 3 2 6" xfId="1775"/>
    <cellStyle name="Input 3 2 60" xfId="6106"/>
    <cellStyle name="Input 3 2 61" xfId="5974"/>
    <cellStyle name="Input 3 2 62" xfId="6116"/>
    <cellStyle name="Input 3 2 63" xfId="6047"/>
    <cellStyle name="Input 3 2 64" xfId="6258"/>
    <cellStyle name="Input 3 2 65" xfId="6295"/>
    <cellStyle name="Input 3 2 66" xfId="6102"/>
    <cellStyle name="Input 3 2 67" xfId="6385"/>
    <cellStyle name="Input 3 2 68" xfId="6294"/>
    <cellStyle name="Input 3 2 69" xfId="6627"/>
    <cellStyle name="Input 3 2 7" xfId="2051"/>
    <cellStyle name="Input 3 2 70" xfId="6434"/>
    <cellStyle name="Input 3 2 71" xfId="6673"/>
    <cellStyle name="Input 3 2 72" xfId="6774"/>
    <cellStyle name="Input 3 2 73" xfId="6692"/>
    <cellStyle name="Input 3 2 74" xfId="6791"/>
    <cellStyle name="Input 3 2 75" xfId="6748"/>
    <cellStyle name="Input 3 2 76" xfId="6464"/>
    <cellStyle name="Input 3 2 77" xfId="6662"/>
    <cellStyle name="Input 3 2 78" xfId="7430"/>
    <cellStyle name="Input 3 2 79" xfId="7678"/>
    <cellStyle name="Input 3 2 8" xfId="2109"/>
    <cellStyle name="Input 3 2 80" xfId="7618"/>
    <cellStyle name="Input 3 2 81" xfId="7620"/>
    <cellStyle name="Input 3 2 82" xfId="7695"/>
    <cellStyle name="Input 3 2 83" xfId="7533"/>
    <cellStyle name="Input 3 2 9" xfId="1961"/>
    <cellStyle name="Input 3 20" xfId="2971"/>
    <cellStyle name="Input 3 21" xfId="3148"/>
    <cellStyle name="Input 3 22" xfId="3282"/>
    <cellStyle name="Input 3 23" xfId="3332"/>
    <cellStyle name="Input 3 24" xfId="3926"/>
    <cellStyle name="Input 3 25" xfId="4189"/>
    <cellStyle name="Input 3 26" xfId="4104"/>
    <cellStyle name="Input 3 27" xfId="4400"/>
    <cellStyle name="Input 3 28" xfId="3880"/>
    <cellStyle name="Input 3 29" xfId="4510"/>
    <cellStyle name="Input 3 3" xfId="999"/>
    <cellStyle name="Input 3 3 10" xfId="2608"/>
    <cellStyle name="Input 3 3 11" xfId="2657"/>
    <cellStyle name="Input 3 3 12" xfId="2140"/>
    <cellStyle name="Input 3 3 13" xfId="1770"/>
    <cellStyle name="Input 3 3 14" xfId="2451"/>
    <cellStyle name="Input 3 3 15" xfId="2838"/>
    <cellStyle name="Input 3 3 16" xfId="2882"/>
    <cellStyle name="Input 3 3 17" xfId="2908"/>
    <cellStyle name="Input 3 3 18" xfId="2934"/>
    <cellStyle name="Input 3 3 19" xfId="3240"/>
    <cellStyle name="Input 3 3 2" xfId="1128"/>
    <cellStyle name="Input 3 3 20" xfId="3364"/>
    <cellStyle name="Input 3 3 21" xfId="4896"/>
    <cellStyle name="Input 3 3 22" xfId="3425"/>
    <cellStyle name="Input 3 3 23" xfId="3766"/>
    <cellStyle name="Input 3 3 24" xfId="4562"/>
    <cellStyle name="Input 3 3 25" xfId="4843"/>
    <cellStyle name="Input 3 3 26" xfId="3542"/>
    <cellStyle name="Input 3 3 27" xfId="3904"/>
    <cellStyle name="Input 3 3 28" xfId="4791"/>
    <cellStyle name="Input 3 3 29" xfId="4991"/>
    <cellStyle name="Input 3 3 3" xfId="1188"/>
    <cellStyle name="Input 3 3 30" xfId="4961"/>
    <cellStyle name="Input 3 3 31" xfId="5949"/>
    <cellStyle name="Input 3 3 4" xfId="1237"/>
    <cellStyle name="Input 3 3 5" xfId="1234"/>
    <cellStyle name="Input 3 3 6" xfId="2373"/>
    <cellStyle name="Input 3 3 7" xfId="2208"/>
    <cellStyle name="Input 3 3 8" xfId="2479"/>
    <cellStyle name="Input 3 3 9" xfId="2559"/>
    <cellStyle name="Input 3 30" xfId="4554"/>
    <cellStyle name="Input 3 31" xfId="3884"/>
    <cellStyle name="Input 3 32" xfId="4646"/>
    <cellStyle name="Input 3 33" xfId="3643"/>
    <cellStyle name="Input 3 34" xfId="4769"/>
    <cellStyle name="Input 3 35" xfId="4679"/>
    <cellStyle name="Input 3 36" xfId="3543"/>
    <cellStyle name="Input 3 37" xfId="4854"/>
    <cellStyle name="Input 3 38" xfId="3976"/>
    <cellStyle name="Input 3 39" xfId="4882"/>
    <cellStyle name="Input 3 4" xfId="816"/>
    <cellStyle name="Input 3 4 2" xfId="1326"/>
    <cellStyle name="Input 3 4 3" xfId="1203"/>
    <cellStyle name="Input 3 4 4" xfId="1437"/>
    <cellStyle name="Input 3 40" xfId="4833"/>
    <cellStyle name="Input 3 41" xfId="3849"/>
    <cellStyle name="Input 3 42" xfId="3774"/>
    <cellStyle name="Input 3 43" xfId="5171"/>
    <cellStyle name="Input 3 44" xfId="4859"/>
    <cellStyle name="Input 3 45" xfId="3779"/>
    <cellStyle name="Input 3 46" xfId="4920"/>
    <cellStyle name="Input 3 47" xfId="5340"/>
    <cellStyle name="Input 3 48" xfId="3522"/>
    <cellStyle name="Input 3 49" xfId="5341"/>
    <cellStyle name="Input 3 5" xfId="1842"/>
    <cellStyle name="Input 3 50" xfId="4959"/>
    <cellStyle name="Input 3 51" xfId="5473"/>
    <cellStyle name="Input 3 52" xfId="5631"/>
    <cellStyle name="Input 3 53" xfId="5570"/>
    <cellStyle name="Input 3 54" xfId="5696"/>
    <cellStyle name="Input 3 55" xfId="5722"/>
    <cellStyle name="Input 3 56" xfId="5737"/>
    <cellStyle name="Input 3 57" xfId="5888"/>
    <cellStyle name="Input 3 58" xfId="6170"/>
    <cellStyle name="Input 3 59" xfId="6214"/>
    <cellStyle name="Input 3 6" xfId="1993"/>
    <cellStyle name="Input 3 60" xfId="6153"/>
    <cellStyle name="Input 3 61" xfId="5875"/>
    <cellStyle name="Input 3 62" xfId="6043"/>
    <cellStyle name="Input 3 63" xfId="6225"/>
    <cellStyle name="Input 3 64" xfId="5816"/>
    <cellStyle name="Input 3 65" xfId="6351"/>
    <cellStyle name="Input 3 66" xfId="6384"/>
    <cellStyle name="Input 3 67" xfId="5765"/>
    <cellStyle name="Input 3 68" xfId="6628"/>
    <cellStyle name="Input 3 69" xfId="6500"/>
    <cellStyle name="Input 3 7" xfId="2405"/>
    <cellStyle name="Input 3 70" xfId="6717"/>
    <cellStyle name="Input 3 71" xfId="6608"/>
    <cellStyle name="Input 3 72" xfId="6665"/>
    <cellStyle name="Input 3 73" xfId="6881"/>
    <cellStyle name="Input 3 74" xfId="6709"/>
    <cellStyle name="Input 3 75" xfId="6515"/>
    <cellStyle name="Input 3 76" xfId="6866"/>
    <cellStyle name="Input 3 77" xfId="7429"/>
    <cellStyle name="Input 3 78" xfId="7226"/>
    <cellStyle name="Input 3 79" xfId="7729"/>
    <cellStyle name="Input 3 8" xfId="2392"/>
    <cellStyle name="Input 3 80" xfId="7787"/>
    <cellStyle name="Input 3 81" xfId="7688"/>
    <cellStyle name="Input 3 82" xfId="7699"/>
    <cellStyle name="Input 3 9" xfId="1741"/>
    <cellStyle name="Input 4" xfId="328"/>
    <cellStyle name="Input 4 10" xfId="2454"/>
    <cellStyle name="Input 4 11" xfId="2434"/>
    <cellStyle name="Input 4 12" xfId="2341"/>
    <cellStyle name="Input 4 13" xfId="2539"/>
    <cellStyle name="Input 4 14" xfId="2753"/>
    <cellStyle name="Input 4 15" xfId="2751"/>
    <cellStyle name="Input 4 16" xfId="2004"/>
    <cellStyle name="Input 4 17" xfId="2793"/>
    <cellStyle name="Input 4 18" xfId="2197"/>
    <cellStyle name="Input 4 19" xfId="3080"/>
    <cellStyle name="Input 4 2" xfId="329"/>
    <cellStyle name="Input 4 2 10" xfId="2267"/>
    <cellStyle name="Input 4 2 11" xfId="2170"/>
    <cellStyle name="Input 4 2 12" xfId="2144"/>
    <cellStyle name="Input 4 2 13" xfId="2727"/>
    <cellStyle name="Input 4 2 14" xfId="2077"/>
    <cellStyle name="Input 4 2 15" xfId="2708"/>
    <cellStyle name="Input 4 2 16" xfId="2735"/>
    <cellStyle name="Input 4 2 17" xfId="2441"/>
    <cellStyle name="Input 4 2 18" xfId="2798"/>
    <cellStyle name="Input 4 2 19" xfId="3152"/>
    <cellStyle name="Input 4 2 2" xfId="1025"/>
    <cellStyle name="Input 4 2 2 10" xfId="2459"/>
    <cellStyle name="Input 4 2 2 11" xfId="2431"/>
    <cellStyle name="Input 4 2 2 12" xfId="1941"/>
    <cellStyle name="Input 4 2 2 13" xfId="2582"/>
    <cellStyle name="Input 4 2 2 14" xfId="1777"/>
    <cellStyle name="Input 4 2 2 15" xfId="2590"/>
    <cellStyle name="Input 4 2 2 16" xfId="1998"/>
    <cellStyle name="Input 4 2 2 17" xfId="2860"/>
    <cellStyle name="Input 4 2 2 18" xfId="2760"/>
    <cellStyle name="Input 4 2 2 19" xfId="1948"/>
    <cellStyle name="Input 4 2 2 2" xfId="1138"/>
    <cellStyle name="Input 4 2 2 20" xfId="3123"/>
    <cellStyle name="Input 4 2 2 21" xfId="2978"/>
    <cellStyle name="Input 4 2 2 22" xfId="3130"/>
    <cellStyle name="Input 4 2 2 23" xfId="3094"/>
    <cellStyle name="Input 4 2 2 24" xfId="3241"/>
    <cellStyle name="Input 4 2 2 25" xfId="3380"/>
    <cellStyle name="Input 4 2 2 26" xfId="4764"/>
    <cellStyle name="Input 4 2 2 27" xfId="4083"/>
    <cellStyle name="Input 4 2 2 28" xfId="4402"/>
    <cellStyle name="Input 4 2 2 29" xfId="4852"/>
    <cellStyle name="Input 4 2 2 3" xfId="1433"/>
    <cellStyle name="Input 4 2 2 30" xfId="3754"/>
    <cellStyle name="Input 4 2 2 31" xfId="3784"/>
    <cellStyle name="Input 4 2 2 32" xfId="5266"/>
    <cellStyle name="Input 4 2 2 33" xfId="4472"/>
    <cellStyle name="Input 4 2 2 34" xfId="3719"/>
    <cellStyle name="Input 4 2 2 35" xfId="4924"/>
    <cellStyle name="Input 4 2 2 36" xfId="4916"/>
    <cellStyle name="Input 4 2 2 37" xfId="5950"/>
    <cellStyle name="Input 4 2 2 38" xfId="6140"/>
    <cellStyle name="Input 4 2 2 39" xfId="5966"/>
    <cellStyle name="Input 4 2 2 4" xfId="1235"/>
    <cellStyle name="Input 4 2 2 5" xfId="1632"/>
    <cellStyle name="Input 4 2 2 6" xfId="2259"/>
    <cellStyle name="Input 4 2 2 7" xfId="2325"/>
    <cellStyle name="Input 4 2 2 8" xfId="1870"/>
    <cellStyle name="Input 4 2 2 9" xfId="2427"/>
    <cellStyle name="Input 4 2 20" xfId="2956"/>
    <cellStyle name="Input 4 2 21" xfId="3129"/>
    <cellStyle name="Input 4 2 22" xfId="3190"/>
    <cellStyle name="Input 4 2 23" xfId="3285"/>
    <cellStyle name="Input 4 2 24" xfId="3306"/>
    <cellStyle name="Input 4 2 25" xfId="3930"/>
    <cellStyle name="Input 4 2 26" xfId="4192"/>
    <cellStyle name="Input 4 2 27" xfId="3753"/>
    <cellStyle name="Input 4 2 28" xfId="4289"/>
    <cellStyle name="Input 4 2 29" xfId="4291"/>
    <cellStyle name="Input 4 2 3" xfId="942"/>
    <cellStyle name="Input 4 2 3 2" xfId="1297"/>
    <cellStyle name="Input 4 2 3 3" xfId="1156"/>
    <cellStyle name="Input 4 2 3 4" xfId="1170"/>
    <cellStyle name="Input 4 2 30" xfId="4487"/>
    <cellStyle name="Input 4 2 31" xfId="4531"/>
    <cellStyle name="Input 4 2 32" xfId="4495"/>
    <cellStyle name="Input 4 2 33" xfId="3771"/>
    <cellStyle name="Input 4 2 34" xfId="4635"/>
    <cellStyle name="Input 4 2 35" xfId="4403"/>
    <cellStyle name="Input 4 2 36" xfId="4446"/>
    <cellStyle name="Input 4 2 37" xfId="4457"/>
    <cellStyle name="Input 4 2 38" xfId="4810"/>
    <cellStyle name="Input 4 2 39" xfId="3463"/>
    <cellStyle name="Input 4 2 4" xfId="1104"/>
    <cellStyle name="Input 4 2 40" xfId="4566"/>
    <cellStyle name="Input 4 2 41" xfId="4576"/>
    <cellStyle name="Input 4 2 42" xfId="4844"/>
    <cellStyle name="Input 4 2 43" xfId="4563"/>
    <cellStyle name="Input 4 2 44" xfId="3513"/>
    <cellStyle name="Input 4 2 45" xfId="5345"/>
    <cellStyle name="Input 4 2 46" xfId="4789"/>
    <cellStyle name="Input 4 2 47" xfId="4319"/>
    <cellStyle name="Input 4 2 48" xfId="5421"/>
    <cellStyle name="Input 4 2 49" xfId="4365"/>
    <cellStyle name="Input 4 2 5" xfId="1210"/>
    <cellStyle name="Input 4 2 50" xfId="5209"/>
    <cellStyle name="Input 4 2 51" xfId="5132"/>
    <cellStyle name="Input 4 2 52" xfId="5472"/>
    <cellStyle name="Input 4 2 53" xfId="5633"/>
    <cellStyle name="Input 4 2 54" xfId="5493"/>
    <cellStyle name="Input 4 2 55" xfId="5507"/>
    <cellStyle name="Input 4 2 56" xfId="5578"/>
    <cellStyle name="Input 4 2 57" xfId="5559"/>
    <cellStyle name="Input 4 2 58" xfId="5883"/>
    <cellStyle name="Input 4 2 59" xfId="5977"/>
    <cellStyle name="Input 4 2 6" xfId="2291"/>
    <cellStyle name="Input 4 2 60" xfId="6182"/>
    <cellStyle name="Input 4 2 61" xfId="6017"/>
    <cellStyle name="Input 4 2 62" xfId="5985"/>
    <cellStyle name="Input 4 2 63" xfId="6148"/>
    <cellStyle name="Input 4 2 64" xfId="5910"/>
    <cellStyle name="Input 4 2 65" xfId="6001"/>
    <cellStyle name="Input 4 2 66" xfId="6183"/>
    <cellStyle name="Input 4 2 67" xfId="6386"/>
    <cellStyle name="Input 4 2 68" xfId="6363"/>
    <cellStyle name="Input 4 2 69" xfId="6440"/>
    <cellStyle name="Input 4 2 7" xfId="1925"/>
    <cellStyle name="Input 4 2 70" xfId="6530"/>
    <cellStyle name="Input 4 2 71" xfId="6426"/>
    <cellStyle name="Input 4 2 72" xfId="6557"/>
    <cellStyle name="Input 4 2 73" xfId="6878"/>
    <cellStyle name="Input 4 2 74" xfId="6839"/>
    <cellStyle name="Input 4 2 75" xfId="6486"/>
    <cellStyle name="Input 4 2 76" xfId="6588"/>
    <cellStyle name="Input 4 2 77" xfId="6949"/>
    <cellStyle name="Input 4 2 78" xfId="7432"/>
    <cellStyle name="Input 4 2 79" xfId="7674"/>
    <cellStyle name="Input 4 2 8" xfId="1856"/>
    <cellStyle name="Input 4 2 80" xfId="7615"/>
    <cellStyle name="Input 4 2 81" xfId="7802"/>
    <cellStyle name="Input 4 2 82" xfId="7820"/>
    <cellStyle name="Input 4 2 83" xfId="7204"/>
    <cellStyle name="Input 4 2 9" xfId="2498"/>
    <cellStyle name="Input 4 20" xfId="3157"/>
    <cellStyle name="Input 4 21" xfId="3108"/>
    <cellStyle name="Input 4 22" xfId="3284"/>
    <cellStyle name="Input 4 23" xfId="3330"/>
    <cellStyle name="Input 4 24" xfId="3550"/>
    <cellStyle name="Input 4 25" xfId="3996"/>
    <cellStyle name="Input 4 26" xfId="4254"/>
    <cellStyle name="Input 4 27" xfId="3961"/>
    <cellStyle name="Input 4 28" xfId="3837"/>
    <cellStyle name="Input 4 29" xfId="3705"/>
    <cellStyle name="Input 4 3" xfId="1000"/>
    <cellStyle name="Input 4 3 10" xfId="2609"/>
    <cellStyle name="Input 4 3 11" xfId="2658"/>
    <cellStyle name="Input 4 3 12" xfId="1861"/>
    <cellStyle name="Input 4 3 13" xfId="1935"/>
    <cellStyle name="Input 4 3 14" xfId="1811"/>
    <cellStyle name="Input 4 3 15" xfId="2839"/>
    <cellStyle name="Input 4 3 16" xfId="2883"/>
    <cellStyle name="Input 4 3 17" xfId="2909"/>
    <cellStyle name="Input 4 3 18" xfId="2935"/>
    <cellStyle name="Input 4 3 19" xfId="3242"/>
    <cellStyle name="Input 4 3 2" xfId="1129"/>
    <cellStyle name="Input 4 3 20" xfId="3365"/>
    <cellStyle name="Input 4 3 21" xfId="4418"/>
    <cellStyle name="Input 4 3 22" xfId="4163"/>
    <cellStyle name="Input 4 3 23" xfId="3644"/>
    <cellStyle name="Input 4 3 24" xfId="4720"/>
    <cellStyle name="Input 4 3 25" xfId="4921"/>
    <cellStyle name="Input 4 3 26" xfId="4482"/>
    <cellStyle name="Input 4 3 27" xfId="5166"/>
    <cellStyle name="Input 4 3 28" xfId="5343"/>
    <cellStyle name="Input 4 3 29" xfId="4906"/>
    <cellStyle name="Input 4 3 3" xfId="1450"/>
    <cellStyle name="Input 4 3 30" xfId="5430"/>
    <cellStyle name="Input 4 3 31" xfId="5951"/>
    <cellStyle name="Input 4 3 4" xfId="1193"/>
    <cellStyle name="Input 4 3 5" xfId="1546"/>
    <cellStyle name="Input 4 3 6" xfId="2374"/>
    <cellStyle name="Input 4 3 7" xfId="2015"/>
    <cellStyle name="Input 4 3 8" xfId="2480"/>
    <cellStyle name="Input 4 3 9" xfId="2560"/>
    <cellStyle name="Input 4 30" xfId="3915"/>
    <cellStyle name="Input 4 31" xfId="4292"/>
    <cellStyle name="Input 4 32" xfId="3498"/>
    <cellStyle name="Input 4 33" xfId="4550"/>
    <cellStyle name="Input 4 34" xfId="4587"/>
    <cellStyle name="Input 4 35" xfId="4597"/>
    <cellStyle name="Input 4 36" xfId="4694"/>
    <cellStyle name="Input 4 37" xfId="4239"/>
    <cellStyle name="Input 4 38" xfId="4685"/>
    <cellStyle name="Input 4 39" xfId="4594"/>
    <cellStyle name="Input 4 4" xfId="815"/>
    <cellStyle name="Input 4 4 2" xfId="1325"/>
    <cellStyle name="Input 4 4 3" xfId="1204"/>
    <cellStyle name="Input 4 4 4" xfId="1391"/>
    <cellStyle name="Input 4 40" xfId="3465"/>
    <cellStyle name="Input 4 41" xfId="4752"/>
    <cellStyle name="Input 4 42" xfId="4194"/>
    <cellStyle name="Input 4 43" xfId="4902"/>
    <cellStyle name="Input 4 44" xfId="4541"/>
    <cellStyle name="Input 4 45" xfId="5006"/>
    <cellStyle name="Input 4 46" xfId="5420"/>
    <cellStyle name="Input 4 47" xfId="4751"/>
    <cellStyle name="Input 4 48" xfId="5031"/>
    <cellStyle name="Input 4 49" xfId="5461"/>
    <cellStyle name="Input 4 5" xfId="1843"/>
    <cellStyle name="Input 4 50" xfId="5057"/>
    <cellStyle name="Input 4 51" xfId="5458"/>
    <cellStyle name="Input 4 52" xfId="5517"/>
    <cellStyle name="Input 4 53" xfId="5682"/>
    <cellStyle name="Input 4 54" xfId="5592"/>
    <cellStyle name="Input 4 55" xfId="5610"/>
    <cellStyle name="Input 4 56" xfId="5723"/>
    <cellStyle name="Input 4 57" xfId="6101"/>
    <cellStyle name="Input 4 58" xfId="6133"/>
    <cellStyle name="Input 4 59" xfId="5914"/>
    <cellStyle name="Input 4 6" xfId="1992"/>
    <cellStyle name="Input 4 60" xfId="5777"/>
    <cellStyle name="Input 4 61" xfId="6240"/>
    <cellStyle name="Input 4 62" xfId="5780"/>
    <cellStyle name="Input 4 63" xfId="6284"/>
    <cellStyle name="Input 4 64" xfId="5858"/>
    <cellStyle name="Input 4 65" xfId="6309"/>
    <cellStyle name="Input 4 66" xfId="5823"/>
    <cellStyle name="Input 4 67" xfId="6404"/>
    <cellStyle name="Input 4 68" xfId="6756"/>
    <cellStyle name="Input 4 69" xfId="6582"/>
    <cellStyle name="Input 4 7" xfId="1796"/>
    <cellStyle name="Input 4 70" xfId="6867"/>
    <cellStyle name="Input 4 71" xfId="6816"/>
    <cellStyle name="Input 4 72" xfId="6541"/>
    <cellStyle name="Input 4 73" xfId="6691"/>
    <cellStyle name="Input 4 74" xfId="6593"/>
    <cellStyle name="Input 4 75" xfId="6569"/>
    <cellStyle name="Input 4 76" xfId="6495"/>
    <cellStyle name="Input 4 77" xfId="7074"/>
    <cellStyle name="Input 4 78" xfId="7748"/>
    <cellStyle name="Input 4 79" xfId="7807"/>
    <cellStyle name="Input 4 8" xfId="2389"/>
    <cellStyle name="Input 4 80" xfId="7655"/>
    <cellStyle name="Input 4 81" xfId="7829"/>
    <cellStyle name="Input 4 82" xfId="7710"/>
    <cellStyle name="Input 4 9" xfId="1912"/>
    <cellStyle name="Input 5" xfId="330"/>
    <cellStyle name="Input 5 10" xfId="2572"/>
    <cellStyle name="Input 5 11" xfId="1914"/>
    <cellStyle name="Input 5 12" xfId="2497"/>
    <cellStyle name="Input 5 13" xfId="2737"/>
    <cellStyle name="Input 5 14" xfId="2801"/>
    <cellStyle name="Input 5 15" xfId="2814"/>
    <cellStyle name="Input 5 16" xfId="1825"/>
    <cellStyle name="Input 5 17" xfId="2705"/>
    <cellStyle name="Input 5 18" xfId="2920"/>
    <cellStyle name="Input 5 19" xfId="2966"/>
    <cellStyle name="Input 5 2" xfId="331"/>
    <cellStyle name="Input 5 2 10" xfId="1969"/>
    <cellStyle name="Input 5 2 11" xfId="2579"/>
    <cellStyle name="Input 5 2 12" xfId="2682"/>
    <cellStyle name="Input 5 2 13" xfId="2423"/>
    <cellStyle name="Input 5 2 14" xfId="2790"/>
    <cellStyle name="Input 5 2 15" xfId="1904"/>
    <cellStyle name="Input 5 2 16" xfId="2780"/>
    <cellStyle name="Input 5 2 17" xfId="1807"/>
    <cellStyle name="Input 5 2 18" xfId="2007"/>
    <cellStyle name="Input 5 2 19" xfId="3086"/>
    <cellStyle name="Input 5 2 2" xfId="1026"/>
    <cellStyle name="Input 5 2 2 10" xfId="1943"/>
    <cellStyle name="Input 5 2 2 11" xfId="1830"/>
    <cellStyle name="Input 5 2 2 12" xfId="2231"/>
    <cellStyle name="Input 5 2 2 13" xfId="1963"/>
    <cellStyle name="Input 5 2 2 14" xfId="2214"/>
    <cellStyle name="Input 5 2 2 15" xfId="2543"/>
    <cellStyle name="Input 5 2 2 16" xfId="2696"/>
    <cellStyle name="Input 5 2 2 17" xfId="2861"/>
    <cellStyle name="Input 5 2 2 18" xfId="2414"/>
    <cellStyle name="Input 5 2 2 19" xfId="2819"/>
    <cellStyle name="Input 5 2 2 2" xfId="1139"/>
    <cellStyle name="Input 5 2 2 20" xfId="3124"/>
    <cellStyle name="Input 5 2 2 21" xfId="2954"/>
    <cellStyle name="Input 5 2 2 22" xfId="2949"/>
    <cellStyle name="Input 5 2 2 23" xfId="3082"/>
    <cellStyle name="Input 5 2 2 24" xfId="3243"/>
    <cellStyle name="Input 5 2 2 25" xfId="3381"/>
    <cellStyle name="Input 5 2 2 26" xfId="4201"/>
    <cellStyle name="Input 5 2 2 27" xfId="3581"/>
    <cellStyle name="Input 5 2 2 28" xfId="4316"/>
    <cellStyle name="Input 5 2 2 29" xfId="4202"/>
    <cellStyle name="Input 5 2 2 3" xfId="1166"/>
    <cellStyle name="Input 5 2 2 30" xfId="4047"/>
    <cellStyle name="Input 5 2 2 31" xfId="4796"/>
    <cellStyle name="Input 5 2 2 32" xfId="5348"/>
    <cellStyle name="Input 5 2 2 33" xfId="4733"/>
    <cellStyle name="Input 5 2 2 34" xfId="4437"/>
    <cellStyle name="Input 5 2 2 35" xfId="5232"/>
    <cellStyle name="Input 5 2 2 36" xfId="5243"/>
    <cellStyle name="Input 5 2 2 37" xfId="5953"/>
    <cellStyle name="Input 5 2 2 38" xfId="6350"/>
    <cellStyle name="Input 5 2 2 39" xfId="6334"/>
    <cellStyle name="Input 5 2 2 4" xfId="1398"/>
    <cellStyle name="Input 5 2 2 5" xfId="1268"/>
    <cellStyle name="Input 5 2 2 6" xfId="2260"/>
    <cellStyle name="Input 5 2 2 7" xfId="2326"/>
    <cellStyle name="Input 5 2 2 8" xfId="1746"/>
    <cellStyle name="Input 5 2 2 9" xfId="1794"/>
    <cellStyle name="Input 5 2 20" xfId="2979"/>
    <cellStyle name="Input 5 2 21" xfId="3040"/>
    <cellStyle name="Input 5 2 22" xfId="3191"/>
    <cellStyle name="Input 5 2 23" xfId="3287"/>
    <cellStyle name="Input 5 2 24" xfId="3304"/>
    <cellStyle name="Input 5 2 25" xfId="3491"/>
    <cellStyle name="Input 5 2 26" xfId="4158"/>
    <cellStyle name="Input 5 2 27" xfId="3893"/>
    <cellStyle name="Input 5 2 28" xfId="4038"/>
    <cellStyle name="Input 5 2 29" xfId="3546"/>
    <cellStyle name="Input 5 2 3" xfId="943"/>
    <cellStyle name="Input 5 2 3 2" xfId="1276"/>
    <cellStyle name="Input 5 2 3 3" xfId="1180"/>
    <cellStyle name="Input 5 2 3 4" xfId="1649"/>
    <cellStyle name="Input 5 2 30" xfId="4293"/>
    <cellStyle name="Input 5 2 31" xfId="3937"/>
    <cellStyle name="Input 5 2 32" xfId="4174"/>
    <cellStyle name="Input 5 2 33" xfId="3606"/>
    <cellStyle name="Input 5 2 34" xfId="3980"/>
    <cellStyle name="Input 5 2 35" xfId="4009"/>
    <cellStyle name="Input 5 2 36" xfId="4686"/>
    <cellStyle name="Input 5 2 37" xfId="4299"/>
    <cellStyle name="Input 5 2 38" xfId="4090"/>
    <cellStyle name="Input 5 2 39" xfId="4891"/>
    <cellStyle name="Input 5 2 4" xfId="1105"/>
    <cellStyle name="Input 5 2 40" xfId="4781"/>
    <cellStyle name="Input 5 2 41" xfId="4660"/>
    <cellStyle name="Input 5 2 42" xfId="4820"/>
    <cellStyle name="Input 5 2 43" xfId="4772"/>
    <cellStyle name="Input 5 2 44" xfId="4544"/>
    <cellStyle name="Input 5 2 45" xfId="4260"/>
    <cellStyle name="Input 5 2 46" xfId="5142"/>
    <cellStyle name="Input 5 2 47" xfId="4333"/>
    <cellStyle name="Input 5 2 48" xfId="5231"/>
    <cellStyle name="Input 5 2 49" xfId="5370"/>
    <cellStyle name="Input 5 2 5" xfId="1213"/>
    <cellStyle name="Input 5 2 50" xfId="5104"/>
    <cellStyle name="Input 5 2 51" xfId="5284"/>
    <cellStyle name="Input 5 2 52" xfId="5250"/>
    <cellStyle name="Input 5 2 53" xfId="5506"/>
    <cellStyle name="Input 5 2 54" xfId="5486"/>
    <cellStyle name="Input 5 2 55" xfId="5660"/>
    <cellStyle name="Input 5 2 56" xfId="5503"/>
    <cellStyle name="Input 5 2 57" xfId="5729"/>
    <cellStyle name="Input 5 2 58" xfId="6126"/>
    <cellStyle name="Input 5 2 59" xfId="5792"/>
    <cellStyle name="Input 5 2 6" xfId="2332"/>
    <cellStyle name="Input 5 2 60" xfId="6115"/>
    <cellStyle name="Input 5 2 61" xfId="5986"/>
    <cellStyle name="Input 5 2 62" xfId="6023"/>
    <cellStyle name="Input 5 2 63" xfId="6006"/>
    <cellStyle name="Input 5 2 64" xfId="6157"/>
    <cellStyle name="Input 5 2 65" xfId="6046"/>
    <cellStyle name="Input 5 2 66" xfId="6355"/>
    <cellStyle name="Input 5 2 67" xfId="6339"/>
    <cellStyle name="Input 5 2 68" xfId="6406"/>
    <cellStyle name="Input 5 2 69" xfId="6770"/>
    <cellStyle name="Input 5 2 7" xfId="2150"/>
    <cellStyle name="Input 5 2 70" xfId="6614"/>
    <cellStyle name="Input 5 2 71" xfId="6477"/>
    <cellStyle name="Input 5 2 72" xfId="6571"/>
    <cellStyle name="Input 5 2 73" xfId="6690"/>
    <cellStyle name="Input 5 2 74" xfId="6809"/>
    <cellStyle name="Input 5 2 75" xfId="6562"/>
    <cellStyle name="Input 5 2 76" xfId="6674"/>
    <cellStyle name="Input 5 2 77" xfId="6576"/>
    <cellStyle name="Input 5 2 78" xfId="7028"/>
    <cellStyle name="Input 5 2 79" xfId="7640"/>
    <cellStyle name="Input 5 2 8" xfId="2131"/>
    <cellStyle name="Input 5 2 80" xfId="7017"/>
    <cellStyle name="Input 5 2 81" xfId="7800"/>
    <cellStyle name="Input 5 2 82" xfId="7793"/>
    <cellStyle name="Input 5 2 83" xfId="7542"/>
    <cellStyle name="Input 5 2 9" xfId="2407"/>
    <cellStyle name="Input 5 20" xfId="2970"/>
    <cellStyle name="Input 5 21" xfId="3059"/>
    <cellStyle name="Input 5 22" xfId="3286"/>
    <cellStyle name="Input 5 23" xfId="3305"/>
    <cellStyle name="Input 5 24" xfId="3592"/>
    <cellStyle name="Input 5 25" xfId="3954"/>
    <cellStyle name="Input 5 26" xfId="4306"/>
    <cellStyle name="Input 5 27" xfId="3449"/>
    <cellStyle name="Input 5 28" xfId="4096"/>
    <cellStyle name="Input 5 29" xfId="3692"/>
    <cellStyle name="Input 5 3" xfId="1001"/>
    <cellStyle name="Input 5 3 10" xfId="2610"/>
    <cellStyle name="Input 5 3 11" xfId="2659"/>
    <cellStyle name="Input 5 3 12" xfId="2105"/>
    <cellStyle name="Input 5 3 13" xfId="1854"/>
    <cellStyle name="Input 5 3 14" xfId="1875"/>
    <cellStyle name="Input 5 3 15" xfId="2840"/>
    <cellStyle name="Input 5 3 16" xfId="2884"/>
    <cellStyle name="Input 5 3 17" xfId="2910"/>
    <cellStyle name="Input 5 3 18" xfId="2936"/>
    <cellStyle name="Input 5 3 19" xfId="3244"/>
    <cellStyle name="Input 5 3 2" xfId="1130"/>
    <cellStyle name="Input 5 3 20" xfId="3366"/>
    <cellStyle name="Input 5 3 21" xfId="4819"/>
    <cellStyle name="Input 5 3 22" xfId="3602"/>
    <cellStyle name="Input 5 3 23" xfId="3816"/>
    <cellStyle name="Input 5 3 24" xfId="4794"/>
    <cellStyle name="Input 5 3 25" xfId="4094"/>
    <cellStyle name="Input 5 3 26" xfId="5054"/>
    <cellStyle name="Input 5 3 27" xfId="3782"/>
    <cellStyle name="Input 5 3 28" xfId="4662"/>
    <cellStyle name="Input 5 3 29" xfId="4908"/>
    <cellStyle name="Input 5 3 3" xfId="1449"/>
    <cellStyle name="Input 5 3 30" xfId="5237"/>
    <cellStyle name="Input 5 3 31" xfId="5954"/>
    <cellStyle name="Input 5 3 4" xfId="1667"/>
    <cellStyle name="Input 5 3 5" xfId="1679"/>
    <cellStyle name="Input 5 3 6" xfId="2375"/>
    <cellStyle name="Input 5 3 7" xfId="2031"/>
    <cellStyle name="Input 5 3 8" xfId="2481"/>
    <cellStyle name="Input 5 3 9" xfId="2561"/>
    <cellStyle name="Input 5 30" xfId="3878"/>
    <cellStyle name="Input 5 31" xfId="4215"/>
    <cellStyle name="Input 5 32" xfId="4141"/>
    <cellStyle name="Input 5 33" xfId="3894"/>
    <cellStyle name="Input 5 34" xfId="4390"/>
    <cellStyle name="Input 5 35" xfId="3439"/>
    <cellStyle name="Input 5 36" xfId="4514"/>
    <cellStyle name="Input 5 37" xfId="4874"/>
    <cellStyle name="Input 5 38" xfId="4187"/>
    <cellStyle name="Input 5 39" xfId="3789"/>
    <cellStyle name="Input 5 4" xfId="814"/>
    <cellStyle name="Input 5 4 2" xfId="1324"/>
    <cellStyle name="Input 5 4 3" xfId="1205"/>
    <cellStyle name="Input 5 4 4" xfId="1263"/>
    <cellStyle name="Input 5 40" xfId="3747"/>
    <cellStyle name="Input 5 41" xfId="4953"/>
    <cellStyle name="Input 5 42" xfId="4226"/>
    <cellStyle name="Input 5 43" xfId="3575"/>
    <cellStyle name="Input 5 44" xfId="4821"/>
    <cellStyle name="Input 5 45" xfId="4960"/>
    <cellStyle name="Input 5 46" xfId="3545"/>
    <cellStyle name="Input 5 47" xfId="4601"/>
    <cellStyle name="Input 5 48" xfId="3481"/>
    <cellStyle name="Input 5 49" xfId="4876"/>
    <cellStyle name="Input 5 5" xfId="1844"/>
    <cellStyle name="Input 5 50" xfId="5058"/>
    <cellStyle name="Input 5 51" xfId="5385"/>
    <cellStyle name="Input 5 52" xfId="5541"/>
    <cellStyle name="Input 5 53" xfId="5667"/>
    <cellStyle name="Input 5 54" xfId="5538"/>
    <cellStyle name="Input 5 55" xfId="5501"/>
    <cellStyle name="Input 5 56" xfId="5519"/>
    <cellStyle name="Input 5 57" xfId="6080"/>
    <cellStyle name="Input 5 58" xfId="6003"/>
    <cellStyle name="Input 5 59" xfId="5877"/>
    <cellStyle name="Input 5 6" xfId="1991"/>
    <cellStyle name="Input 5 60" xfId="5832"/>
    <cellStyle name="Input 5 61" xfId="5779"/>
    <cellStyle name="Input 5 62" xfId="5848"/>
    <cellStyle name="Input 5 63" xfId="6290"/>
    <cellStyle name="Input 5 64" xfId="5868"/>
    <cellStyle name="Input 5 65" xfId="6111"/>
    <cellStyle name="Input 5 66" xfId="6113"/>
    <cellStyle name="Input 5 67" xfId="6400"/>
    <cellStyle name="Input 5 68" xfId="6654"/>
    <cellStyle name="Input 5 69" xfId="6550"/>
    <cellStyle name="Input 5 7" xfId="2062"/>
    <cellStyle name="Input 5 70" xfId="6642"/>
    <cellStyle name="Input 5 71" xfId="6634"/>
    <cellStyle name="Input 5 72" xfId="6787"/>
    <cellStyle name="Input 5 73" xfId="6761"/>
    <cellStyle name="Input 5 74" xfId="6911"/>
    <cellStyle name="Input 5 75" xfId="6928"/>
    <cellStyle name="Input 5 76" xfId="6945"/>
    <cellStyle name="Input 5 77" xfId="7110"/>
    <cellStyle name="Input 5 78" xfId="7705"/>
    <cellStyle name="Input 5 79" xfId="7718"/>
    <cellStyle name="Input 5 8" xfId="1967"/>
    <cellStyle name="Input 5 80" xfId="7641"/>
    <cellStyle name="Input 5 81" xfId="7755"/>
    <cellStyle name="Input 5 82" xfId="7722"/>
    <cellStyle name="Input 5 9" xfId="2225"/>
    <cellStyle name="Input 6" xfId="332"/>
    <cellStyle name="Input 6 10" xfId="2194"/>
    <cellStyle name="Input 6 11" xfId="2163"/>
    <cellStyle name="Input 6 12" xfId="1994"/>
    <cellStyle name="Input 6 13" xfId="2127"/>
    <cellStyle name="Input 6 14" xfId="1950"/>
    <cellStyle name="Input 6 15" xfId="1931"/>
    <cellStyle name="Input 6 16" xfId="2827"/>
    <cellStyle name="Input 6 17" xfId="1831"/>
    <cellStyle name="Input 6 18" xfId="2731"/>
    <cellStyle name="Input 6 19" xfId="2967"/>
    <cellStyle name="Input 6 2" xfId="333"/>
    <cellStyle name="Input 6 2 10" xfId="2440"/>
    <cellStyle name="Input 6 2 11" xfId="2242"/>
    <cellStyle name="Input 6 2 12" xfId="2378"/>
    <cellStyle name="Input 6 2 13" xfId="2523"/>
    <cellStyle name="Input 6 2 14" xfId="2740"/>
    <cellStyle name="Input 6 2 15" xfId="2741"/>
    <cellStyle name="Input 6 2 16" xfId="2866"/>
    <cellStyle name="Input 6 2 17" xfId="2092"/>
    <cellStyle name="Input 6 2 18" xfId="2622"/>
    <cellStyle name="Input 6 2 19" xfId="3151"/>
    <cellStyle name="Input 6 2 2" xfId="1027"/>
    <cellStyle name="Input 6 2 2 10" xfId="1944"/>
    <cellStyle name="Input 6 2 2 11" xfId="2422"/>
    <cellStyle name="Input 6 2 2 12" xfId="2198"/>
    <cellStyle name="Input 6 2 2 13" xfId="2164"/>
    <cellStyle name="Input 6 2 2 14" xfId="2630"/>
    <cellStyle name="Input 6 2 2 15" xfId="2310"/>
    <cellStyle name="Input 6 2 2 16" xfId="2412"/>
    <cellStyle name="Input 6 2 2 17" xfId="2862"/>
    <cellStyle name="Input 6 2 2 18" xfId="2826"/>
    <cellStyle name="Input 6 2 2 19" xfId="1970"/>
    <cellStyle name="Input 6 2 2 2" xfId="1140"/>
    <cellStyle name="Input 6 2 2 20" xfId="3125"/>
    <cellStyle name="Input 6 2 2 21" xfId="3069"/>
    <cellStyle name="Input 6 2 2 22" xfId="3033"/>
    <cellStyle name="Input 6 2 2 23" xfId="3014"/>
    <cellStyle name="Input 6 2 2 24" xfId="3245"/>
    <cellStyle name="Input 6 2 2 25" xfId="3382"/>
    <cellStyle name="Input 6 2 2 26" xfId="3696"/>
    <cellStyle name="Input 6 2 2 27" xfId="4073"/>
    <cellStyle name="Input 6 2 2 28" xfId="4770"/>
    <cellStyle name="Input 6 2 2 29" xfId="4678"/>
    <cellStyle name="Input 6 2 2 3" xfId="1429"/>
    <cellStyle name="Input 6 2 2 30" xfId="4196"/>
    <cellStyle name="Input 6 2 2 31" xfId="4775"/>
    <cellStyle name="Input 6 2 2 32" xfId="4608"/>
    <cellStyle name="Input 6 2 2 33" xfId="4323"/>
    <cellStyle name="Input 6 2 2 34" xfId="4667"/>
    <cellStyle name="Input 6 2 2 35" xfId="5152"/>
    <cellStyle name="Input 6 2 2 36" xfId="4962"/>
    <cellStyle name="Input 6 2 2 37" xfId="5956"/>
    <cellStyle name="Input 6 2 2 38" xfId="6270"/>
    <cellStyle name="Input 6 2 2 39" xfId="6064"/>
    <cellStyle name="Input 6 2 2 4" xfId="1197"/>
    <cellStyle name="Input 6 2 2 5" xfId="1232"/>
    <cellStyle name="Input 6 2 2 6" xfId="2261"/>
    <cellStyle name="Input 6 2 2 7" xfId="2327"/>
    <cellStyle name="Input 6 2 2 8" xfId="1929"/>
    <cellStyle name="Input 6 2 2 9" xfId="1979"/>
    <cellStyle name="Input 6 2 20" xfId="3078"/>
    <cellStyle name="Input 6 2 21" xfId="2965"/>
    <cellStyle name="Input 6 2 22" xfId="3192"/>
    <cellStyle name="Input 6 2 23" xfId="3289"/>
    <cellStyle name="Input 6 2 24" xfId="3302"/>
    <cellStyle name="Input 6 2 25" xfId="3640"/>
    <cellStyle name="Input 6 2 26" xfId="3655"/>
    <cellStyle name="Input 6 2 27" xfId="4234"/>
    <cellStyle name="Input 6 2 28" xfId="3843"/>
    <cellStyle name="Input 6 2 29" xfId="3997"/>
    <cellStyle name="Input 6 2 3" xfId="944"/>
    <cellStyle name="Input 6 2 3 2" xfId="1296"/>
    <cellStyle name="Input 6 2 3 3" xfId="1372"/>
    <cellStyle name="Input 6 2 3 4" xfId="1643"/>
    <cellStyle name="Input 6 2 30" xfId="4450"/>
    <cellStyle name="Input 6 2 31" xfId="3955"/>
    <cellStyle name="Input 6 2 32" xfId="3755"/>
    <cellStyle name="Input 6 2 33" xfId="4092"/>
    <cellStyle name="Input 6 2 34" xfId="4223"/>
    <cellStyle name="Input 6 2 35" xfId="4682"/>
    <cellStyle name="Input 6 2 36" xfId="4590"/>
    <cellStyle name="Input 6 2 37" xfId="4049"/>
    <cellStyle name="Input 6 2 38" xfId="4695"/>
    <cellStyle name="Input 6 2 39" xfId="4719"/>
    <cellStyle name="Input 6 2 4" xfId="1106"/>
    <cellStyle name="Input 6 2 40" xfId="4739"/>
    <cellStyle name="Input 6 2 41" xfId="3558"/>
    <cellStyle name="Input 6 2 42" xfId="4915"/>
    <cellStyle name="Input 6 2 43" xfId="4857"/>
    <cellStyle name="Input 6 2 44" xfId="3715"/>
    <cellStyle name="Input 6 2 45" xfId="4207"/>
    <cellStyle name="Input 6 2 46" xfId="4552"/>
    <cellStyle name="Input 6 2 47" xfId="4564"/>
    <cellStyle name="Input 6 2 48" xfId="5036"/>
    <cellStyle name="Input 6 2 49" xfId="4626"/>
    <cellStyle name="Input 6 2 5" xfId="1198"/>
    <cellStyle name="Input 6 2 50" xfId="5375"/>
    <cellStyle name="Input 6 2 51" xfId="4926"/>
    <cellStyle name="Input 6 2 52" xfId="5441"/>
    <cellStyle name="Input 6 2 53" xfId="5558"/>
    <cellStyle name="Input 6 2 54" xfId="5573"/>
    <cellStyle name="Input 6 2 55" xfId="5555"/>
    <cellStyle name="Input 6 2 56" xfId="5692"/>
    <cellStyle name="Input 6 2 57" xfId="5693"/>
    <cellStyle name="Input 6 2 58" xfId="6053"/>
    <cellStyle name="Input 6 2 59" xfId="5865"/>
    <cellStyle name="Input 6 2 6" xfId="1987"/>
    <cellStyle name="Input 6 2 60" xfId="6005"/>
    <cellStyle name="Input 6 2 61" xfId="5867"/>
    <cellStyle name="Input 6 2 62" xfId="5837"/>
    <cellStyle name="Input 6 2 63" xfId="6038"/>
    <cellStyle name="Input 6 2 64" xfId="6238"/>
    <cellStyle name="Input 6 2 65" xfId="5963"/>
    <cellStyle name="Input 6 2 66" xfId="6356"/>
    <cellStyle name="Input 6 2 67" xfId="6377"/>
    <cellStyle name="Input 6 2 68" xfId="6389"/>
    <cellStyle name="Input 6 2 69" xfId="6630"/>
    <cellStyle name="Input 6 2 7" xfId="2339"/>
    <cellStyle name="Input 6 2 70" xfId="6789"/>
    <cellStyle name="Input 6 2 71" xfId="6783"/>
    <cellStyle name="Input 6 2 72" xfId="6467"/>
    <cellStyle name="Input 6 2 73" xfId="6888"/>
    <cellStyle name="Input 6 2 74" xfId="6452"/>
    <cellStyle name="Input 6 2 75" xfId="6649"/>
    <cellStyle name="Input 6 2 76" xfId="6647"/>
    <cellStyle name="Input 6 2 77" xfId="6714"/>
    <cellStyle name="Input 6 2 78" xfId="7154"/>
    <cellStyle name="Input 6 2 79" xfId="7730"/>
    <cellStyle name="Input 6 2 8" xfId="1824"/>
    <cellStyle name="Input 6 2 80" xfId="7669"/>
    <cellStyle name="Input 6 2 81" xfId="7497"/>
    <cellStyle name="Input 6 2 82" xfId="7715"/>
    <cellStyle name="Input 6 2 83" xfId="7832"/>
    <cellStyle name="Input 6 2 9" xfId="2115"/>
    <cellStyle name="Input 6 20" xfId="3027"/>
    <cellStyle name="Input 6 21" xfId="3010"/>
    <cellStyle name="Input 6 22" xfId="3288"/>
    <cellStyle name="Input 6 23" xfId="3303"/>
    <cellStyle name="Input 6 24" xfId="3595"/>
    <cellStyle name="Input 6 25" xfId="3950"/>
    <cellStyle name="Input 6 26" xfId="4300"/>
    <cellStyle name="Input 6 27" xfId="4392"/>
    <cellStyle name="Input 6 28" xfId="4275"/>
    <cellStyle name="Input 6 29" xfId="3744"/>
    <cellStyle name="Input 6 3" xfId="1002"/>
    <cellStyle name="Input 6 3 10" xfId="2611"/>
    <cellStyle name="Input 6 3 11" xfId="2660"/>
    <cellStyle name="Input 6 3 12" xfId="2673"/>
    <cellStyle name="Input 6 3 13" xfId="2222"/>
    <cellStyle name="Input 6 3 14" xfId="2575"/>
    <cellStyle name="Input 6 3 15" xfId="2841"/>
    <cellStyle name="Input 6 3 16" xfId="2885"/>
    <cellStyle name="Input 6 3 17" xfId="2911"/>
    <cellStyle name="Input 6 3 18" xfId="2937"/>
    <cellStyle name="Input 6 3 19" xfId="3246"/>
    <cellStyle name="Input 6 3 2" xfId="1131"/>
    <cellStyle name="Input 6 3 20" xfId="3367"/>
    <cellStyle name="Input 6 3 21" xfId="4273"/>
    <cellStyle name="Input 6 3 22" xfId="4261"/>
    <cellStyle name="Input 6 3 23" xfId="4672"/>
    <cellStyle name="Input 6 3 24" xfId="4471"/>
    <cellStyle name="Input 6 3 25" xfId="4811"/>
    <cellStyle name="Input 6 3 26" xfId="3892"/>
    <cellStyle name="Input 6 3 27" xfId="4716"/>
    <cellStyle name="Input 6 3 28" xfId="4210"/>
    <cellStyle name="Input 6 3 29" xfId="5267"/>
    <cellStyle name="Input 6 3 3" xfId="1187"/>
    <cellStyle name="Input 6 3 30" xfId="3443"/>
    <cellStyle name="Input 6 3 31" xfId="5957"/>
    <cellStyle name="Input 6 3 4" xfId="1666"/>
    <cellStyle name="Input 6 3 5" xfId="1383"/>
    <cellStyle name="Input 6 3 6" xfId="2376"/>
    <cellStyle name="Input 6 3 7" xfId="1735"/>
    <cellStyle name="Input 6 3 8" xfId="2482"/>
    <cellStyle name="Input 6 3 9" xfId="2562"/>
    <cellStyle name="Input 6 30" xfId="3421"/>
    <cellStyle name="Input 6 31" xfId="3483"/>
    <cellStyle name="Input 6 32" xfId="4559"/>
    <cellStyle name="Input 6 33" xfId="3876"/>
    <cellStyle name="Input 6 34" xfId="4676"/>
    <cellStyle name="Input 6 35" xfId="3568"/>
    <cellStyle name="Input 6 36" xfId="4438"/>
    <cellStyle name="Input 6 37" xfId="3624"/>
    <cellStyle name="Input 6 38" xfId="4354"/>
    <cellStyle name="Input 6 39" xfId="3857"/>
    <cellStyle name="Input 6 4" xfId="813"/>
    <cellStyle name="Input 6 4 2" xfId="1323"/>
    <cellStyle name="Input 6 4 3" xfId="1206"/>
    <cellStyle name="Input 6 4 4" xfId="1168"/>
    <cellStyle name="Input 6 40" xfId="3654"/>
    <cellStyle name="Input 6 41" xfId="5053"/>
    <cellStyle name="Input 6 42" xfId="5261"/>
    <cellStyle name="Input 6 43" xfId="4767"/>
    <cellStyle name="Input 6 44" xfId="4560"/>
    <cellStyle name="Input 6 45" xfId="4957"/>
    <cellStyle name="Input 6 46" xfId="5265"/>
    <cellStyle name="Input 6 47" xfId="5432"/>
    <cellStyle name="Input 6 48" xfId="4866"/>
    <cellStyle name="Input 6 49" xfId="5046"/>
    <cellStyle name="Input 6 5" xfId="1845"/>
    <cellStyle name="Input 6 50" xfId="3633"/>
    <cellStyle name="Input 6 51" xfId="5401"/>
    <cellStyle name="Input 6 52" xfId="5543"/>
    <cellStyle name="Input 6 53" xfId="5666"/>
    <cellStyle name="Input 6 54" xfId="5724"/>
    <cellStyle name="Input 6 55" xfId="5716"/>
    <cellStyle name="Input 6 56" xfId="5511"/>
    <cellStyle name="Input 6 57" xfId="6078"/>
    <cellStyle name="Input 6 58" xfId="6198"/>
    <cellStyle name="Input 6 59" xfId="6132"/>
    <cellStyle name="Input 6 6" xfId="2211"/>
    <cellStyle name="Input 6 60" xfId="5838"/>
    <cellStyle name="Input 6 61" xfId="6239"/>
    <cellStyle name="Input 6 62" xfId="6228"/>
    <cellStyle name="Input 6 63" xfId="6071"/>
    <cellStyle name="Input 6 64" xfId="5866"/>
    <cellStyle name="Input 6 65" xfId="6077"/>
    <cellStyle name="Input 6 66" xfId="6357"/>
    <cellStyle name="Input 6 67" xfId="6399"/>
    <cellStyle name="Input 6 68" xfId="6743"/>
    <cellStyle name="Input 6 69" xfId="6556"/>
    <cellStyle name="Input 6 7" xfId="2061"/>
    <cellStyle name="Input 6 70" xfId="6462"/>
    <cellStyle name="Input 6 71" xfId="6715"/>
    <cellStyle name="Input 6 72" xfId="6555"/>
    <cellStyle name="Input 6 73" xfId="6536"/>
    <cellStyle name="Input 6 74" xfId="6817"/>
    <cellStyle name="Input 6 75" xfId="6485"/>
    <cellStyle name="Input 6 76" xfId="6494"/>
    <cellStyle name="Input 6 77" xfId="7113"/>
    <cellStyle name="Input 6 78" xfId="7740"/>
    <cellStyle name="Input 6 79" xfId="7442"/>
    <cellStyle name="Input 6 8" xfId="2244"/>
    <cellStyle name="Input 6 80" xfId="7453"/>
    <cellStyle name="Input 6 81" xfId="7383"/>
    <cellStyle name="Input 6 82" xfId="7821"/>
    <cellStyle name="Input 6 9" xfId="2128"/>
    <cellStyle name="Input 7" xfId="334"/>
    <cellStyle name="Input 7 10" xfId="2396"/>
    <cellStyle name="Input 7 11" xfId="2110"/>
    <cellStyle name="Input 7 12" xfId="2331"/>
    <cellStyle name="Input 7 13" xfId="1901"/>
    <cellStyle name="Input 7 14" xfId="2757"/>
    <cellStyle name="Input 7 15" xfId="2785"/>
    <cellStyle name="Input 7 16" xfId="2763"/>
    <cellStyle name="Input 7 17" xfId="2772"/>
    <cellStyle name="Input 7 18" xfId="2627"/>
    <cellStyle name="Input 7 19" xfId="2968"/>
    <cellStyle name="Input 7 2" xfId="335"/>
    <cellStyle name="Input 7 2 10" xfId="2073"/>
    <cellStyle name="Input 7 2 11" xfId="2338"/>
    <cellStyle name="Input 7 2 12" xfId="2190"/>
    <cellStyle name="Input 7 2 13" xfId="2686"/>
    <cellStyle name="Input 7 2 14" xfId="2789"/>
    <cellStyle name="Input 7 2 15" xfId="2157"/>
    <cellStyle name="Input 7 2 16" xfId="2865"/>
    <cellStyle name="Input 7 2 17" xfId="2864"/>
    <cellStyle name="Input 7 2 18" xfId="2921"/>
    <cellStyle name="Input 7 2 19" xfId="2986"/>
    <cellStyle name="Input 7 2 2" xfId="1028"/>
    <cellStyle name="Input 7 2 2 10" xfId="2256"/>
    <cellStyle name="Input 7 2 2 11" xfId="1995"/>
    <cellStyle name="Input 7 2 2 12" xfId="2428"/>
    <cellStyle name="Input 7 2 2 13" xfId="2504"/>
    <cellStyle name="Input 7 2 2 14" xfId="2605"/>
    <cellStyle name="Input 7 2 2 15" xfId="2294"/>
    <cellStyle name="Input 7 2 2 16" xfId="1978"/>
    <cellStyle name="Input 7 2 2 17" xfId="2863"/>
    <cellStyle name="Input 7 2 2 18" xfId="2680"/>
    <cellStyle name="Input 7 2 2 19" xfId="2241"/>
    <cellStyle name="Input 7 2 2 2" xfId="1141"/>
    <cellStyle name="Input 7 2 2 20" xfId="3126"/>
    <cellStyle name="Input 7 2 2 21" xfId="3070"/>
    <cellStyle name="Input 7 2 2 22" xfId="3032"/>
    <cellStyle name="Input 7 2 2 23" xfId="3095"/>
    <cellStyle name="Input 7 2 2 24" xfId="3247"/>
    <cellStyle name="Input 7 2 2 25" xfId="3383"/>
    <cellStyle name="Input 7 2 2 26" xfId="4834"/>
    <cellStyle name="Input 7 2 2 27" xfId="4512"/>
    <cellStyle name="Input 7 2 2 28" xfId="3911"/>
    <cellStyle name="Input 7 2 2 29" xfId="3761"/>
    <cellStyle name="Input 7 2 2 3" xfId="1428"/>
    <cellStyle name="Input 7 2 2 30" xfId="4711"/>
    <cellStyle name="Input 7 2 2 31" xfId="4649"/>
    <cellStyle name="Input 7 2 2 32" xfId="3982"/>
    <cellStyle name="Input 7 2 2 33" xfId="4329"/>
    <cellStyle name="Input 7 2 2 34" xfId="4731"/>
    <cellStyle name="Input 7 2 2 35" xfId="5414"/>
    <cellStyle name="Input 7 2 2 36" xfId="5365"/>
    <cellStyle name="Input 7 2 2 37" xfId="5958"/>
    <cellStyle name="Input 7 2 2 38" xfId="6320"/>
    <cellStyle name="Input 7 2 2 39" xfId="5908"/>
    <cellStyle name="Input 7 2 2 4" xfId="1266"/>
    <cellStyle name="Input 7 2 2 5" xfId="1633"/>
    <cellStyle name="Input 7 2 2 6" xfId="2262"/>
    <cellStyle name="Input 7 2 2 7" xfId="2328"/>
    <cellStyle name="Input 7 2 2 8" xfId="1928"/>
    <cellStyle name="Input 7 2 2 9" xfId="1980"/>
    <cellStyle name="Input 7 2 20" xfId="2959"/>
    <cellStyle name="Input 7 2 21" xfId="3007"/>
    <cellStyle name="Input 7 2 22" xfId="3193"/>
    <cellStyle name="Input 7 2 23" xfId="3291"/>
    <cellStyle name="Input 7 2 24" xfId="3400"/>
    <cellStyle name="Input 7 2 25" xfId="3413"/>
    <cellStyle name="Input 7 2 26" xfId="4119"/>
    <cellStyle name="Input 7 2 27" xfId="4396"/>
    <cellStyle name="Input 7 2 28" xfId="4441"/>
    <cellStyle name="Input 7 2 29" xfId="4489"/>
    <cellStyle name="Input 7 2 3" xfId="945"/>
    <cellStyle name="Input 7 2 3 2" xfId="1295"/>
    <cellStyle name="Input 7 2 3 3" xfId="1176"/>
    <cellStyle name="Input 7 2 3 4" xfId="1644"/>
    <cellStyle name="Input 7 2 30" xfId="4533"/>
    <cellStyle name="Input 7 2 31" xfId="4580"/>
    <cellStyle name="Input 7 2 32" xfId="4622"/>
    <cellStyle name="Input 7 2 33" xfId="4707"/>
    <cellStyle name="Input 7 2 34" xfId="3738"/>
    <cellStyle name="Input 7 2 35" xfId="4812"/>
    <cellStyle name="Input 7 2 36" xfId="3677"/>
    <cellStyle name="Input 7 2 37" xfId="4889"/>
    <cellStyle name="Input 7 2 38" xfId="3680"/>
    <cellStyle name="Input 7 2 39" xfId="3591"/>
    <cellStyle name="Input 7 2 4" xfId="1107"/>
    <cellStyle name="Input 7 2 40" xfId="3652"/>
    <cellStyle name="Input 7 2 41" xfId="4387"/>
    <cellStyle name="Input 7 2 42" xfId="4941"/>
    <cellStyle name="Input 7 2 43" xfId="5264"/>
    <cellStyle name="Input 7 2 44" xfId="4322"/>
    <cellStyle name="Input 7 2 45" xfId="4371"/>
    <cellStyle name="Input 7 2 46" xfId="5296"/>
    <cellStyle name="Input 7 2 47" xfId="3988"/>
    <cellStyle name="Input 7 2 48" xfId="4830"/>
    <cellStyle name="Input 7 2 49" xfId="5444"/>
    <cellStyle name="Input 7 2 5" xfId="1687"/>
    <cellStyle name="Input 7 2 50" xfId="5460"/>
    <cellStyle name="Input 7 2 51" xfId="5335"/>
    <cellStyle name="Input 7 2 52" xfId="5225"/>
    <cellStyle name="Input 7 2 53" xfId="5482"/>
    <cellStyle name="Input 7 2 54" xfId="5698"/>
    <cellStyle name="Input 7 2 55" xfId="5488"/>
    <cellStyle name="Input 7 2 56" xfId="5706"/>
    <cellStyle name="Input 7 2 57" xfId="5747"/>
    <cellStyle name="Input 7 2 58" xfId="6188"/>
    <cellStyle name="Input 7 2 59" xfId="5773"/>
    <cellStyle name="Input 7 2 6" xfId="2188"/>
    <cellStyle name="Input 7 2 60" xfId="6231"/>
    <cellStyle name="Input 7 2 61" xfId="6234"/>
    <cellStyle name="Input 7 2 62" xfId="6276"/>
    <cellStyle name="Input 7 2 63" xfId="6302"/>
    <cellStyle name="Input 7 2 64" xfId="6326"/>
    <cellStyle name="Input 7 2 65" xfId="6084"/>
    <cellStyle name="Input 7 2 66" xfId="5800"/>
    <cellStyle name="Input 7 2 67" xfId="5809"/>
    <cellStyle name="Input 7 2 68" xfId="6414"/>
    <cellStyle name="Input 7 2 69" xfId="6788"/>
    <cellStyle name="Input 7 2 7" xfId="1949"/>
    <cellStyle name="Input 7 2 70" xfId="6664"/>
    <cellStyle name="Input 7 2 71" xfId="6865"/>
    <cellStyle name="Input 7 2 72" xfId="6877"/>
    <cellStyle name="Input 7 2 73" xfId="6488"/>
    <cellStyle name="Input 7 2 74" xfId="6566"/>
    <cellStyle name="Input 7 2 75" xfId="6909"/>
    <cellStyle name="Input 7 2 76" xfId="6938"/>
    <cellStyle name="Input 7 2 77" xfId="6603"/>
    <cellStyle name="Input 7 2 78" xfId="6960"/>
    <cellStyle name="Input 7 2 79" xfId="7778"/>
    <cellStyle name="Input 7 2 8" xfId="2238"/>
    <cellStyle name="Input 7 2 80" xfId="7803"/>
    <cellStyle name="Input 7 2 81" xfId="6962"/>
    <cellStyle name="Input 7 2 82" xfId="7828"/>
    <cellStyle name="Input 7 2 83" xfId="7735"/>
    <cellStyle name="Input 7 2 9" xfId="2042"/>
    <cellStyle name="Input 7 20" xfId="3026"/>
    <cellStyle name="Input 7 21" xfId="3011"/>
    <cellStyle name="Input 7 22" xfId="3290"/>
    <cellStyle name="Input 7 23" xfId="3404"/>
    <cellStyle name="Input 7 24" xfId="3599"/>
    <cellStyle name="Input 7 25" xfId="3948"/>
    <cellStyle name="Input 7 26" xfId="4031"/>
    <cellStyle name="Input 7 27" xfId="4044"/>
    <cellStyle name="Input 7 28" xfId="4506"/>
    <cellStyle name="Input 7 29" xfId="4551"/>
    <cellStyle name="Input 7 3" xfId="1003"/>
    <cellStyle name="Input 7 3 10" xfId="2612"/>
    <cellStyle name="Input 7 3 11" xfId="2661"/>
    <cellStyle name="Input 7 3 12" xfId="1986"/>
    <cellStyle name="Input 7 3 13" xfId="2624"/>
    <cellStyle name="Input 7 3 14" xfId="1964"/>
    <cellStyle name="Input 7 3 15" xfId="2842"/>
    <cellStyle name="Input 7 3 16" xfId="2886"/>
    <cellStyle name="Input 7 3 17" xfId="2912"/>
    <cellStyle name="Input 7 3 18" xfId="2938"/>
    <cellStyle name="Input 7 3 19" xfId="3248"/>
    <cellStyle name="Input 7 3 2" xfId="1132"/>
    <cellStyle name="Input 7 3 20" xfId="3368"/>
    <cellStyle name="Input 7 3 21" xfId="3949"/>
    <cellStyle name="Input 7 3 22" xfId="4800"/>
    <cellStyle name="Input 7 3 23" xfId="5055"/>
    <cellStyle name="Input 7 3 24" xfId="4945"/>
    <cellStyle name="Input 7 3 25" xfId="4648"/>
    <cellStyle name="Input 7 3 26" xfId="5215"/>
    <cellStyle name="Input 7 3 27" xfId="4766"/>
    <cellStyle name="Input 7 3 28" xfId="3593"/>
    <cellStyle name="Input 7 3 29" xfId="3750"/>
    <cellStyle name="Input 7 3 3" xfId="1447"/>
    <cellStyle name="Input 7 3 30" xfId="4018"/>
    <cellStyle name="Input 7 3 31" xfId="5959"/>
    <cellStyle name="Input 7 3 4" xfId="1665"/>
    <cellStyle name="Input 7 3 5" xfId="1484"/>
    <cellStyle name="Input 7 3 6" xfId="2377"/>
    <cellStyle name="Input 7 3 7" xfId="2387"/>
    <cellStyle name="Input 7 3 8" xfId="2483"/>
    <cellStyle name="Input 7 3 9" xfId="2563"/>
    <cellStyle name="Input 7 30" xfId="4596"/>
    <cellStyle name="Input 7 31" xfId="3746"/>
    <cellStyle name="Input 7 32" xfId="3810"/>
    <cellStyle name="Input 7 33" xfId="4741"/>
    <cellStyle name="Input 7 34" xfId="3809"/>
    <cellStyle name="Input 7 35" xfId="3598"/>
    <cellStyle name="Input 7 36" xfId="3672"/>
    <cellStyle name="Input 7 37" xfId="4917"/>
    <cellStyle name="Input 7 38" xfId="4116"/>
    <cellStyle name="Input 7 39" xfId="4780"/>
    <cellStyle name="Input 7 4" xfId="812"/>
    <cellStyle name="Input 7 4 2" xfId="1322"/>
    <cellStyle name="Input 7 4 3" xfId="1207"/>
    <cellStyle name="Input 7 4 4" xfId="1366"/>
    <cellStyle name="Input 7 40" xfId="4900"/>
    <cellStyle name="Input 7 41" xfId="5130"/>
    <cellStyle name="Input 7 42" xfId="3501"/>
    <cellStyle name="Input 7 43" xfId="3797"/>
    <cellStyle name="Input 7 44" xfId="5306"/>
    <cellStyle name="Input 7 45" xfId="4955"/>
    <cellStyle name="Input 7 46" xfId="3918"/>
    <cellStyle name="Input 7 47" xfId="5203"/>
    <cellStyle name="Input 7 48" xfId="5156"/>
    <cellStyle name="Input 7 49" xfId="4593"/>
    <cellStyle name="Input 7 5" xfId="1846"/>
    <cellStyle name="Input 7 50" xfId="5207"/>
    <cellStyle name="Input 7 51" xfId="4657"/>
    <cellStyle name="Input 7 52" xfId="5544"/>
    <cellStyle name="Input 7 53" xfId="5711"/>
    <cellStyle name="Input 7 54" xfId="5546"/>
    <cellStyle name="Input 7 55" xfId="5703"/>
    <cellStyle name="Input 7 56" xfId="5509"/>
    <cellStyle name="Input 7 57" xfId="6072"/>
    <cellStyle name="Input 7 58" xfId="5817"/>
    <cellStyle name="Input 7 59" xfId="6054"/>
    <cellStyle name="Input 7 6" xfId="2210"/>
    <cellStyle name="Input 7 60" xfId="6024"/>
    <cellStyle name="Input 7 61" xfId="6285"/>
    <cellStyle name="Input 7 62" xfId="6308"/>
    <cellStyle name="Input 7 63" xfId="6331"/>
    <cellStyle name="Input 7 64" xfId="6323"/>
    <cellStyle name="Input 7 65" xfId="6086"/>
    <cellStyle name="Input 7 66" xfId="6341"/>
    <cellStyle name="Input 7 67" xfId="6417"/>
    <cellStyle name="Input 7 68" xfId="6741"/>
    <cellStyle name="Input 7 69" xfId="6820"/>
    <cellStyle name="Input 7 7" xfId="2060"/>
    <cellStyle name="Input 7 70" xfId="6697"/>
    <cellStyle name="Input 7 71" xfId="6853"/>
    <cellStyle name="Input 7 72" xfId="6672"/>
    <cellStyle name="Input 7 73" xfId="6503"/>
    <cellStyle name="Input 7 74" xfId="6493"/>
    <cellStyle name="Input 7 75" xfId="6528"/>
    <cellStyle name="Input 7 76" xfId="6468"/>
    <cellStyle name="Input 7 77" xfId="7117"/>
    <cellStyle name="Input 7 78" xfId="7691"/>
    <cellStyle name="Input 7 79" xfId="7734"/>
    <cellStyle name="Input 7 8" xfId="2135"/>
    <cellStyle name="Input 7 80" xfId="7645"/>
    <cellStyle name="Input 7 81" xfId="7648"/>
    <cellStyle name="Input 7 82" xfId="7738"/>
    <cellStyle name="Input 7 9" xfId="2107"/>
    <cellStyle name="Item_Current" xfId="881"/>
    <cellStyle name="keisen" xfId="882"/>
    <cellStyle name="keisen 2" xfId="3868"/>
    <cellStyle name="Link Currency (0)" xfId="336"/>
    <cellStyle name="Link Currency (0) 2" xfId="337"/>
    <cellStyle name="Link Currency (0) 2 2" xfId="338"/>
    <cellStyle name="Link Currency (0) 2 3" xfId="7279"/>
    <cellStyle name="Link Currency (0) 3" xfId="339"/>
    <cellStyle name="Link Currency (0) 3 2" xfId="7282"/>
    <cellStyle name="Link Currency (0) 4" xfId="1501"/>
    <cellStyle name="Link Currency (0) 4 2" xfId="7435"/>
    <cellStyle name="Link Currency (0) 5" xfId="7433"/>
    <cellStyle name="Link Currency (0)_31311 YR9 ECN DETAILS" xfId="340"/>
    <cellStyle name="Link Currency (2)" xfId="341"/>
    <cellStyle name="Link Currency (2) 2" xfId="342"/>
    <cellStyle name="Link Currency (2) 2 2" xfId="343"/>
    <cellStyle name="Link Currency (2) 2 3" xfId="1502"/>
    <cellStyle name="Link Currency (2) 2 4" xfId="7335"/>
    <cellStyle name="Link Currency (2) 3" xfId="344"/>
    <cellStyle name="Link Currency (2) 3 2" xfId="1503"/>
    <cellStyle name="Link Currency (2) 3 3" xfId="7034"/>
    <cellStyle name="Link Currency (2) 4" xfId="772"/>
    <cellStyle name="Link Currency (2) 4 2" xfId="7437"/>
    <cellStyle name="Link Currency (2) 5" xfId="7436"/>
    <cellStyle name="Link Units (0)" xfId="345"/>
    <cellStyle name="Link Units (0) 2" xfId="346"/>
    <cellStyle name="Link Units (0) 2 2" xfId="347"/>
    <cellStyle name="Link Units (0) 2 3" xfId="7229"/>
    <cellStyle name="Link Units (0) 3" xfId="348"/>
    <cellStyle name="Link Units (0) 3 2" xfId="7097"/>
    <cellStyle name="Link Units (0) 4" xfId="1504"/>
    <cellStyle name="Link Units (0) 4 2" xfId="7438"/>
    <cellStyle name="Link Units (0) 5" xfId="7434"/>
    <cellStyle name="Link Units (0)_31311 YR9 ECN DETAILS" xfId="349"/>
    <cellStyle name="Link Units (1)" xfId="350"/>
    <cellStyle name="Link Units (1) 2" xfId="351"/>
    <cellStyle name="Link Units (1) 2 2" xfId="352"/>
    <cellStyle name="Link Units (1) 2 3" xfId="1505"/>
    <cellStyle name="Link Units (1) 2 4" xfId="7439"/>
    <cellStyle name="Link Units (1) 3" xfId="353"/>
    <cellStyle name="Link Units (1) 3 2" xfId="1506"/>
    <cellStyle name="Link Units (1) 3 3" xfId="7129"/>
    <cellStyle name="Link Units (1) 4" xfId="773"/>
    <cellStyle name="Link Units (1) 4 2" xfId="6998"/>
    <cellStyle name="Link Units (1) 5" xfId="7178"/>
    <cellStyle name="Link Units (2)" xfId="354"/>
    <cellStyle name="Link Units (2) 2" xfId="355"/>
    <cellStyle name="Link Units (2) 2 2" xfId="356"/>
    <cellStyle name="Link Units (2) 2 3" xfId="1507"/>
    <cellStyle name="Link Units (2) 2 4" xfId="7393"/>
    <cellStyle name="Link Units (2) 3" xfId="357"/>
    <cellStyle name="Link Units (2) 3 2" xfId="1508"/>
    <cellStyle name="Link Units (2) 3 3" xfId="7277"/>
    <cellStyle name="Link Units (2) 4" xfId="774"/>
    <cellStyle name="Link Units (2) 4 2" xfId="7280"/>
    <cellStyle name="Link Units (2) 5" xfId="6996"/>
    <cellStyle name="Linked Cell 2" xfId="358"/>
    <cellStyle name="Linked Cell 2 2" xfId="7440"/>
    <cellStyle name="Linked Cell 3" xfId="359"/>
    <cellStyle name="Milliers [0]_!!!GO" xfId="360"/>
    <cellStyle name="Milliers_!!!GO" xfId="361"/>
    <cellStyle name="Model" xfId="883"/>
    <cellStyle name="Model 2" xfId="3940"/>
    <cellStyle name="Model 3" xfId="4203"/>
    <cellStyle name="Monétaire [0]_!!!GO" xfId="362"/>
    <cellStyle name="Monétaire_!!!GO" xfId="363"/>
    <cellStyle name="Monﾈtaire [0]_!!!GO" xfId="884"/>
    <cellStyle name="Monﾈtaire_!!!GO" xfId="885"/>
    <cellStyle name="Mon騁aire [0]_!!!GO" xfId="886"/>
    <cellStyle name="Mon騁aire_!!!GO" xfId="887"/>
    <cellStyle name="Neutral 2" xfId="364"/>
    <cellStyle name="Neutral 2 2" xfId="776"/>
    <cellStyle name="Neutral 2 2 2" xfId="7395"/>
    <cellStyle name="Neutral 2 3" xfId="1509"/>
    <cellStyle name="Neutral 2 3 2" xfId="7399"/>
    <cellStyle name="Neutral 2 4" xfId="1510"/>
    <cellStyle name="Neutral 2 4 2" xfId="7402"/>
    <cellStyle name="Neutral 2 5" xfId="4940"/>
    <cellStyle name="Neutral 2 6" xfId="7073"/>
    <cellStyle name="Neutral 3" xfId="365"/>
    <cellStyle name="no dec" xfId="366"/>
    <cellStyle name="no dec 2" xfId="367"/>
    <cellStyle name="no dec 2 2" xfId="368"/>
    <cellStyle name="no dec 3" xfId="369"/>
    <cellStyle name="no dec 4" xfId="3616"/>
    <cellStyle name="Nor}al" xfId="370"/>
    <cellStyle name="Nor}al 2" xfId="371"/>
    <cellStyle name="Nor}al 2 2" xfId="372"/>
    <cellStyle name="Nor}al 3" xfId="373"/>
    <cellStyle name="Nor}al_31311 YR9 ECN DETAILS" xfId="374"/>
    <cellStyle name="Normal" xfId="0" builtinId="0"/>
    <cellStyle name="Normal - Style1" xfId="375"/>
    <cellStyle name="Normal - Style1 2" xfId="376"/>
    <cellStyle name="Normal - Style1 2 2" xfId="377"/>
    <cellStyle name="Normal - Style1 2 3" xfId="982"/>
    <cellStyle name="Normal - Style1 2 4" xfId="7158"/>
    <cellStyle name="Normal - Style1 3" xfId="378"/>
    <cellStyle name="Normal - Style1 3 2" xfId="1511"/>
    <cellStyle name="Normal - Style1 3 3" xfId="7274"/>
    <cellStyle name="Normal - Style1 4" xfId="777"/>
    <cellStyle name="Normal - Style1 4 2" xfId="7161"/>
    <cellStyle name="Normal - Style1 5" xfId="4785"/>
    <cellStyle name="Normal - Style1 6" xfId="7005"/>
    <cellStyle name="Normal - Style1_31311 YR9 ECN DETAILS" xfId="379"/>
    <cellStyle name="Normal 10" xfId="380"/>
    <cellStyle name="Normal 10 2" xfId="381"/>
    <cellStyle name="Normal 10 2 2" xfId="3402"/>
    <cellStyle name="Normal 10 3" xfId="7444"/>
    <cellStyle name="Normal 100" xfId="4443"/>
    <cellStyle name="Normal 101" xfId="4490"/>
    <cellStyle name="Normal 102" xfId="4534"/>
    <cellStyle name="Normal 103" xfId="4581"/>
    <cellStyle name="Normal 104" xfId="4623"/>
    <cellStyle name="Normal 105" xfId="4665"/>
    <cellStyle name="Normal 106" xfId="4708"/>
    <cellStyle name="Normal 107" xfId="3758"/>
    <cellStyle name="Normal 108" xfId="4578"/>
    <cellStyle name="Normal 109" xfId="3582"/>
    <cellStyle name="Normal 11" xfId="382"/>
    <cellStyle name="Normal 11 2" xfId="383"/>
    <cellStyle name="Normal 11 2 2" xfId="965"/>
    <cellStyle name="Normal 11 2 2 2" xfId="1077"/>
    <cellStyle name="Normal 11 2 2 2 2 2" xfId="1093"/>
    <cellStyle name="Normal 11 2 2 2 2 2 2" xfId="2305"/>
    <cellStyle name="Normal 11 2 2 2 2 2 2 2" xfId="4166"/>
    <cellStyle name="Normal 11 2 2 3" xfId="7447"/>
    <cellStyle name="Normal 11 2 3" xfId="1010"/>
    <cellStyle name="Normal 11 2 4" xfId="927"/>
    <cellStyle name="Normal 11 2 5" xfId="7446"/>
    <cellStyle name="Normal 11 3" xfId="932"/>
    <cellStyle name="Normal 11 3 2" xfId="4151"/>
    <cellStyle name="Normal 11 3 3" xfId="7448"/>
    <cellStyle name="Normal 11 4" xfId="1004"/>
    <cellStyle name="Normal 11 4 2" xfId="1512"/>
    <cellStyle name="Normal 11 4 3" xfId="7449"/>
    <cellStyle name="Normal 11 5" xfId="817"/>
    <cellStyle name="Normal 11 5 2" xfId="7450"/>
    <cellStyle name="Normal 11 6" xfId="1589"/>
    <cellStyle name="Normal 11 6 2" xfId="7167"/>
    <cellStyle name="Normal 11 7" xfId="2245"/>
    <cellStyle name="Normal 11 8" xfId="7445"/>
    <cellStyle name="Normal 110" xfId="4659"/>
    <cellStyle name="Normal 111" xfId="4855"/>
    <cellStyle name="Normal 112" xfId="3764"/>
    <cellStyle name="Normal 113" xfId="4288"/>
    <cellStyle name="Normal 114" xfId="5297"/>
    <cellStyle name="Normal 115" xfId="5445"/>
    <cellStyle name="Normal 116" xfId="5331"/>
    <cellStyle name="Normal 117" xfId="5230"/>
    <cellStyle name="Normal 118" xfId="5376"/>
    <cellStyle name="Normal 119" xfId="5143"/>
    <cellStyle name="Normal 12" xfId="384"/>
    <cellStyle name="Normal 12 2" xfId="385"/>
    <cellStyle name="Normal 12 2 2" xfId="386"/>
    <cellStyle name="Normal 12 2 2 2" xfId="1030"/>
    <cellStyle name="Normal 12 2 2 3" xfId="1302"/>
    <cellStyle name="Normal 12 2 2 4" xfId="7451"/>
    <cellStyle name="Normal 12 2 3" xfId="1029"/>
    <cellStyle name="Normal 12 2 4" xfId="1301"/>
    <cellStyle name="Normal 12 2 5" xfId="7255"/>
    <cellStyle name="Normal 12 3" xfId="387"/>
    <cellStyle name="Normal 12 3 2" xfId="1031"/>
    <cellStyle name="Normal 12 3 3" xfId="1303"/>
    <cellStyle name="Normal 12 3 4" xfId="6993"/>
    <cellStyle name="Normal 12 4" xfId="388"/>
    <cellStyle name="Normal 12 4 2" xfId="389"/>
    <cellStyle name="Normal 12 4 3" xfId="1304"/>
    <cellStyle name="Normal 12 4 4" xfId="7452"/>
    <cellStyle name="Normal 12 5" xfId="818"/>
    <cellStyle name="Normal 12 5 2" xfId="3939"/>
    <cellStyle name="Normal 12 6" xfId="1514"/>
    <cellStyle name="Normal 12 6 2" xfId="3952"/>
    <cellStyle name="Normal 12 7" xfId="1515"/>
    <cellStyle name="Normal 12 7 2" xfId="3953"/>
    <cellStyle name="Normal 12 8" xfId="3811"/>
    <cellStyle name="Normal 120" xfId="5268"/>
    <cellStyle name="Normal 121" xfId="5481"/>
    <cellStyle name="Normal 122" xfId="5699"/>
    <cellStyle name="Normal 123" xfId="5689"/>
    <cellStyle name="Normal 124" xfId="5656"/>
    <cellStyle name="Normal 125" xfId="5748"/>
    <cellStyle name="Normal 126" xfId="5758"/>
    <cellStyle name="Normal 127" xfId="6200"/>
    <cellStyle name="Normal 128" xfId="6209"/>
    <cellStyle name="Normal 129" xfId="6189"/>
    <cellStyle name="Normal 13" xfId="390"/>
    <cellStyle name="Normal 13 2" xfId="7454"/>
    <cellStyle name="Normal 130" xfId="5772"/>
    <cellStyle name="Normal 131" xfId="6232"/>
    <cellStyle name="Normal 132" xfId="5806"/>
    <cellStyle name="Normal 133" xfId="6277"/>
    <cellStyle name="Normal 134" xfId="6303"/>
    <cellStyle name="Normal 135" xfId="6327"/>
    <cellStyle name="Normal 136" xfId="6345"/>
    <cellStyle name="Normal 137" xfId="5805"/>
    <cellStyle name="Normal 138" xfId="6318"/>
    <cellStyle name="Normal 139" xfId="6321"/>
    <cellStyle name="Normal 14" xfId="391"/>
    <cellStyle name="Normal 14 2" xfId="392"/>
    <cellStyle name="Normal 14 2 2" xfId="3768"/>
    <cellStyle name="Normal 14 3" xfId="983"/>
    <cellStyle name="Normal 14 4" xfId="7455"/>
    <cellStyle name="Normal 140" xfId="6415"/>
    <cellStyle name="Normal 141" xfId="6425"/>
    <cellStyle name="Normal 142" xfId="6573"/>
    <cellStyle name="Normal 143" xfId="6810"/>
    <cellStyle name="Normal 144" xfId="6484"/>
    <cellStyle name="Normal 145" xfId="6699"/>
    <cellStyle name="Normal 146" xfId="6435"/>
    <cellStyle name="Normal 147" xfId="6560"/>
    <cellStyle name="Normal 148" xfId="6889"/>
    <cellStyle name="Normal 149" xfId="6669"/>
    <cellStyle name="Normal 15" xfId="393"/>
    <cellStyle name="Normal 15 2" xfId="819"/>
    <cellStyle name="Normal 15 2 2" xfId="3956"/>
    <cellStyle name="Normal 15 3" xfId="1516"/>
    <cellStyle name="Normal 15 3 2" xfId="3957"/>
    <cellStyle name="Normal 15 4" xfId="1517"/>
    <cellStyle name="Normal 15 4 2" xfId="3958"/>
    <cellStyle name="Normal 15 5" xfId="3490"/>
    <cellStyle name="Normal 150" xfId="6836"/>
    <cellStyle name="Normal 151" xfId="6600"/>
    <cellStyle name="Normal 152" xfId="6631"/>
    <cellStyle name="Normal 153" xfId="6499"/>
    <cellStyle name="Normal 154" xfId="6597"/>
    <cellStyle name="Normal 155" xfId="6527"/>
    <cellStyle name="Normal 156" xfId="6939"/>
    <cellStyle name="Normal 157" xfId="6852"/>
    <cellStyle name="Normal 158" xfId="6868"/>
    <cellStyle name="Normal 159" xfId="6689"/>
    <cellStyle name="Normal 16" xfId="394"/>
    <cellStyle name="Normal 16 2" xfId="1007"/>
    <cellStyle name="Normal 16 3" xfId="1288"/>
    <cellStyle name="Normal 16 4" xfId="7458"/>
    <cellStyle name="Normal 160" xfId="6433"/>
    <cellStyle name="Normal 161" xfId="6799"/>
    <cellStyle name="Normal 162" xfId="6959"/>
    <cellStyle name="Normal 163" xfId="7599"/>
    <cellStyle name="Normal 164" xfId="7779"/>
    <cellStyle name="Normal 165" xfId="7508"/>
    <cellStyle name="Normal 166" xfId="7702"/>
    <cellStyle name="Normal 167" xfId="7041"/>
    <cellStyle name="Normal 168" xfId="7815"/>
    <cellStyle name="Normal 169" xfId="7239"/>
    <cellStyle name="Normal 17" xfId="395"/>
    <cellStyle name="Normal 17 2" xfId="396"/>
    <cellStyle name="Normal 17 2 2" xfId="1032"/>
    <cellStyle name="Normal 17 2 3" xfId="1305"/>
    <cellStyle name="Normal 17 2 4" xfId="7396"/>
    <cellStyle name="Normal 17 3" xfId="1009"/>
    <cellStyle name="Normal 17 4" xfId="1292"/>
    <cellStyle name="Normal 17 5" xfId="7072"/>
    <cellStyle name="Normal 170" xfId="7541"/>
    <cellStyle name="Normal 18" xfId="397"/>
    <cellStyle name="Normal 18 2" xfId="928"/>
    <cellStyle name="Normal 18 2 2" xfId="7338"/>
    <cellStyle name="Normal 18 3" xfId="1518"/>
    <cellStyle name="Normal 18 3 2" xfId="7346"/>
    <cellStyle name="Normal 18 4" xfId="1519"/>
    <cellStyle name="Normal 18 4 2" xfId="7146"/>
    <cellStyle name="Normal 18 5" xfId="7363"/>
    <cellStyle name="Normal 19" xfId="398"/>
    <cellStyle name="Normal 19 2" xfId="399"/>
    <cellStyle name="Normal 19 3" xfId="1306"/>
    <cellStyle name="Normal 19 4" xfId="7011"/>
    <cellStyle name="Normal 2" xfId="400"/>
    <cellStyle name="Normal 2 10" xfId="5477"/>
    <cellStyle name="Normal 2 2" xfId="401"/>
    <cellStyle name="Normal 2 2 2" xfId="402"/>
    <cellStyle name="Normal 2 2 2 2" xfId="403"/>
    <cellStyle name="Normal 2 2 2 2 2" xfId="5476"/>
    <cellStyle name="Normal 2 2 2 3" xfId="1307"/>
    <cellStyle name="Normal 2 2 2 4" xfId="7462"/>
    <cellStyle name="Normal 2 2 3" xfId="404"/>
    <cellStyle name="Normal 2 2 4" xfId="405"/>
    <cellStyle name="Normal 2 2 5" xfId="779"/>
    <cellStyle name="Normal 2 2 6" xfId="3962"/>
    <cellStyle name="Normal 2 3" xfId="406"/>
    <cellStyle name="Normal 2 3 2" xfId="407"/>
    <cellStyle name="Normal 2 3 2 2" xfId="3269"/>
    <cellStyle name="Normal 2 3 2 3" xfId="7317"/>
    <cellStyle name="Normal 2 3 3" xfId="3964"/>
    <cellStyle name="Normal 2 4" xfId="408"/>
    <cellStyle name="Normal 2 4 2" xfId="998"/>
    <cellStyle name="Normal 2 4 2 2" xfId="1085"/>
    <cellStyle name="Normal 2 4 2 2 2" xfId="1092"/>
    <cellStyle name="Normal 2 4 2 2 2 2" xfId="1597"/>
    <cellStyle name="Normal 2 4 2 2 3" xfId="5423"/>
    <cellStyle name="Normal 2 4 2 2 4" xfId="7464"/>
    <cellStyle name="Normal 2 4 3" xfId="1091"/>
    <cellStyle name="Normal 2 4 4" xfId="7463"/>
    <cellStyle name="Normal 2 5" xfId="409"/>
    <cellStyle name="Normal 2 5 2" xfId="1520"/>
    <cellStyle name="Normal 2 5 3" xfId="7465"/>
    <cellStyle name="Normal 2 6" xfId="778"/>
    <cellStyle name="Normal 2 6 2" xfId="7466"/>
    <cellStyle name="Normal 2 7" xfId="1521"/>
    <cellStyle name="Normal 2 7 2" xfId="7467"/>
    <cellStyle name="Normal 2 8" xfId="3969"/>
    <cellStyle name="Normal 2 8 2" xfId="5475"/>
    <cellStyle name="Normal 2 8 3" xfId="6885"/>
    <cellStyle name="Normal 2 8 4" xfId="7468"/>
    <cellStyle name="Normal 2 9" xfId="7460"/>
    <cellStyle name="Normal 20" xfId="410"/>
    <cellStyle name="Normal 20 2" xfId="1033"/>
    <cellStyle name="Normal 20 3" xfId="1308"/>
    <cellStyle name="Normal 20 4" xfId="7027"/>
    <cellStyle name="Normal 21" xfId="411"/>
    <cellStyle name="Normal 21 2" xfId="1034"/>
    <cellStyle name="Normal 21 3" xfId="1309"/>
    <cellStyle name="Normal 21 4" xfId="7459"/>
    <cellStyle name="Normal 22" xfId="412"/>
    <cellStyle name="Normal 22 2" xfId="413"/>
    <cellStyle name="Normal 22 2 2" xfId="1036"/>
    <cellStyle name="Normal 22 2 3" xfId="1311"/>
    <cellStyle name="Normal 22 2 4" xfId="7397"/>
    <cellStyle name="Normal 22 3" xfId="1035"/>
    <cellStyle name="Normal 22 4" xfId="1310"/>
    <cellStyle name="Normal 22 5" xfId="7071"/>
    <cellStyle name="Normal 23" xfId="414"/>
    <cellStyle name="Normal 23 2" xfId="1037"/>
    <cellStyle name="Normal 23 3" xfId="1312"/>
    <cellStyle name="Normal 23 4" xfId="7364"/>
    <cellStyle name="Normal 24" xfId="415"/>
    <cellStyle name="Normal 24 2" xfId="416"/>
    <cellStyle name="Normal 24 3" xfId="3462"/>
    <cellStyle name="Normal 25" xfId="417"/>
    <cellStyle name="Normal 25 2" xfId="3860"/>
    <cellStyle name="Normal 26" xfId="418"/>
    <cellStyle name="Normal 26 2" xfId="3733"/>
    <cellStyle name="Normal 27" xfId="419"/>
    <cellStyle name="Normal 27 2" xfId="3866"/>
    <cellStyle name="Normal 28" xfId="420"/>
    <cellStyle name="Normal 28 2" xfId="3871"/>
    <cellStyle name="Normal 29" xfId="421"/>
    <cellStyle name="Normal 29 2" xfId="3467"/>
    <cellStyle name="Normal 3" xfId="1"/>
    <cellStyle name="Normal 3 10" xfId="780"/>
    <cellStyle name="Normal 3 10 2" xfId="3408"/>
    <cellStyle name="Normal 3 10 3" xfId="3971"/>
    <cellStyle name="Normal 3 11" xfId="1522"/>
    <cellStyle name="Normal 3 11 2" xfId="3974"/>
    <cellStyle name="Normal 3 12" xfId="1523"/>
    <cellStyle name="Normal 3 12 2" xfId="3977"/>
    <cellStyle name="Normal 3 13" xfId="3970"/>
    <cellStyle name="Normal 3 2" xfId="422"/>
    <cellStyle name="Normal 3 2 10" xfId="423"/>
    <cellStyle name="Normal 3 2 10 2" xfId="1355"/>
    <cellStyle name="Normal 3 2 10 3" xfId="7476"/>
    <cellStyle name="Normal 3 2 11" xfId="424"/>
    <cellStyle name="Normal 3 2 11 2" xfId="7339"/>
    <cellStyle name="Normal 3 2 12" xfId="425"/>
    <cellStyle name="Normal 3 2 13" xfId="426"/>
    <cellStyle name="Normal 3 2 14" xfId="7475"/>
    <cellStyle name="Normal 3 2 2" xfId="427"/>
    <cellStyle name="Normal 3 2 2 2" xfId="1038"/>
    <cellStyle name="Normal 3 2 2 3" xfId="1313"/>
    <cellStyle name="Normal 3 2 2 4" xfId="7477"/>
    <cellStyle name="Normal 3 2 3" xfId="428"/>
    <cellStyle name="Normal 3 2 3 2" xfId="429"/>
    <cellStyle name="Normal 3 2 3 2 2" xfId="7286"/>
    <cellStyle name="Normal 3 2 3 3" xfId="1039"/>
    <cellStyle name="Normal 3 2 3 4" xfId="1314"/>
    <cellStyle name="Normal 3 2 3 5" xfId="7019"/>
    <cellStyle name="Normal 3 2 4" xfId="430"/>
    <cellStyle name="Normal 3 2 4 2" xfId="1040"/>
    <cellStyle name="Normal 3 2 4 3" xfId="1315"/>
    <cellStyle name="Normal 3 2 4 4" xfId="7478"/>
    <cellStyle name="Normal 3 2 5" xfId="431"/>
    <cellStyle name="Normal 3 2 5 2" xfId="1070"/>
    <cellStyle name="Normal 3 2 5 3" xfId="1346"/>
    <cellStyle name="Normal 3 2 5 4" xfId="7177"/>
    <cellStyle name="Normal 3 2 6" xfId="432"/>
    <cellStyle name="Normal 3 2 6 2" xfId="1076"/>
    <cellStyle name="Normal 3 2 6 3" xfId="1350"/>
    <cellStyle name="Normal 3 2 6 4" xfId="7479"/>
    <cellStyle name="Normal 3 2 7" xfId="433"/>
    <cellStyle name="Normal 3 2 7 2" xfId="1078"/>
    <cellStyle name="Normal 3 2 7 3" xfId="1351"/>
    <cellStyle name="Normal 3 2 7 4" xfId="7481"/>
    <cellStyle name="Normal 3 2 8" xfId="434"/>
    <cellStyle name="Normal 3 2 8 2" xfId="1079"/>
    <cellStyle name="Normal 3 2 8 3" xfId="1352"/>
    <cellStyle name="Normal 3 2 8 4" xfId="7482"/>
    <cellStyle name="Normal 3 2 9" xfId="435"/>
    <cellStyle name="Normal 3 2 9 2" xfId="1081"/>
    <cellStyle name="Normal 3 2 9 2 2" xfId="1087"/>
    <cellStyle name="Normal 3 2 9 2 2 2" xfId="1595"/>
    <cellStyle name="Normal 3 2 9 2 2 3" xfId="1590"/>
    <cellStyle name="Normal 3 2 9 2 3" xfId="1593"/>
    <cellStyle name="Normal 3 2 9 2 4" xfId="1524"/>
    <cellStyle name="Normal 3 2 9 2 5" xfId="2317"/>
    <cellStyle name="Normal 3 2 9 2 6" xfId="7484"/>
    <cellStyle name="Normal 3 2 9 3" xfId="1086"/>
    <cellStyle name="Normal 3 2 9 3 2" xfId="1587"/>
    <cellStyle name="Normal 3 2 9 3 3" xfId="7485"/>
    <cellStyle name="Normal 3 2 9 4" xfId="1096"/>
    <cellStyle name="Normal 3 2 9 5" xfId="1353"/>
    <cellStyle name="Normal 3 2 9 6" xfId="2394"/>
    <cellStyle name="Normal 3 2 9 7" xfId="7483"/>
    <cellStyle name="Normal 3 3" xfId="436"/>
    <cellStyle name="Normal 3 3 2" xfId="1041"/>
    <cellStyle name="Normal 3 3 3" xfId="1316"/>
    <cellStyle name="Normal 3 3 4" xfId="7224"/>
    <cellStyle name="Normal 3 4" xfId="437"/>
    <cellStyle name="Normal 3 4 2" xfId="1042"/>
    <cellStyle name="Normal 3 4 3" xfId="1317"/>
    <cellStyle name="Normal 3 4 4" xfId="7227"/>
    <cellStyle name="Normal 3 5" xfId="438"/>
    <cellStyle name="Normal 3 5 2" xfId="1043"/>
    <cellStyle name="Normal 3 5 3" xfId="1318"/>
    <cellStyle name="Normal 3 5 4" xfId="7093"/>
    <cellStyle name="Normal 3 6" xfId="439"/>
    <cellStyle name="Normal 3 6 2" xfId="1044"/>
    <cellStyle name="Normal 3 6 3" xfId="1319"/>
    <cellStyle name="Normal 3 6 4" xfId="7486"/>
    <cellStyle name="Normal 3 7" xfId="440"/>
    <cellStyle name="Normal 3 7 2" xfId="1045"/>
    <cellStyle name="Normal 3 7 3" xfId="7487"/>
    <cellStyle name="Normal 3 8" xfId="441"/>
    <cellStyle name="Normal 3 8 2" xfId="1046"/>
    <cellStyle name="Normal 3 8 3" xfId="1320"/>
    <cellStyle name="Normal 3 8 4" xfId="7488"/>
    <cellStyle name="Normal 3 9" xfId="442"/>
    <cellStyle name="Normal 3 9 2" xfId="1047"/>
    <cellStyle name="Normal 3 9 3" xfId="1321"/>
    <cellStyle name="Normal 3 9 4" xfId="7489"/>
    <cellStyle name="Normal 30" xfId="443"/>
    <cellStyle name="Normal 30 2" xfId="3861"/>
    <cellStyle name="Normal 31" xfId="444"/>
    <cellStyle name="Normal 31 2" xfId="3732"/>
    <cellStyle name="Normal 32" xfId="445"/>
    <cellStyle name="Normal 32 2" xfId="3867"/>
    <cellStyle name="Normal 33" xfId="446"/>
    <cellStyle name="Normal 33 2" xfId="3872"/>
    <cellStyle name="Normal 34" xfId="447"/>
    <cellStyle name="Normal 34 2" xfId="3466"/>
    <cellStyle name="Normal 35" xfId="448"/>
    <cellStyle name="Normal 35 2" xfId="3998"/>
    <cellStyle name="Normal 36" xfId="449"/>
    <cellStyle name="Normal 36 2" xfId="3685"/>
    <cellStyle name="Normal 37" xfId="450"/>
    <cellStyle name="Normal 37 2" xfId="3688"/>
    <cellStyle name="Normal 38" xfId="451"/>
    <cellStyle name="Normal 38 2" xfId="3690"/>
    <cellStyle name="Normal 39" xfId="452"/>
    <cellStyle name="Normal 39 2" xfId="3671"/>
    <cellStyle name="Normal 4" xfId="453"/>
    <cellStyle name="Normal 4 2" xfId="454"/>
    <cellStyle name="Normal 4 2 2" xfId="888"/>
    <cellStyle name="Normal 4 2 2 2" xfId="7493"/>
    <cellStyle name="Normal 4 2 3" xfId="1526"/>
    <cellStyle name="Normal 4 2 3 2" xfId="7494"/>
    <cellStyle name="Normal 4 2 4" xfId="1527"/>
    <cellStyle name="Normal 4 2 4 2" xfId="7495"/>
    <cellStyle name="Normal 4 2 5" xfId="7492"/>
    <cellStyle name="Normal 4 3" xfId="455"/>
    <cellStyle name="Normal 4 3 2" xfId="7496"/>
    <cellStyle name="Normal 4 4" xfId="456"/>
    <cellStyle name="Normal 4 4 2" xfId="4146"/>
    <cellStyle name="Normal 4 5" xfId="802"/>
    <cellStyle name="Normal 4 6" xfId="7491"/>
    <cellStyle name="Normal 4_YP8 A3" xfId="457"/>
    <cellStyle name="Normal 40" xfId="458"/>
    <cellStyle name="Normal 40 2" xfId="3999"/>
    <cellStyle name="Normal 41" xfId="459"/>
    <cellStyle name="Normal 41 2" xfId="3684"/>
    <cellStyle name="Normal 42" xfId="460"/>
    <cellStyle name="Normal 42 2" xfId="3687"/>
    <cellStyle name="Normal 43" xfId="461"/>
    <cellStyle name="Normal 43 2" xfId="3689"/>
    <cellStyle name="Normal 44" xfId="462"/>
    <cellStyle name="Normal 44 2" xfId="3670"/>
    <cellStyle name="Normal 45" xfId="463"/>
    <cellStyle name="Normal 45 2" xfId="4006"/>
    <cellStyle name="Normal 46" xfId="464"/>
    <cellStyle name="Normal 46 2" xfId="4008"/>
    <cellStyle name="Normal 47" xfId="465"/>
    <cellStyle name="Normal 47 2" xfId="4011"/>
    <cellStyle name="Normal 48" xfId="466"/>
    <cellStyle name="Normal 48 2" xfId="4014"/>
    <cellStyle name="Normal 49" xfId="467"/>
    <cellStyle name="Normal 49 2" xfId="3817"/>
    <cellStyle name="Normal 5" xfId="468"/>
    <cellStyle name="Normal 5 2" xfId="469"/>
    <cellStyle name="Normal 5 2 2" xfId="1048"/>
    <cellStyle name="Normal 5 2 3" xfId="1330"/>
    <cellStyle name="Normal 5 2 4" xfId="7503"/>
    <cellStyle name="Normal 5 3" xfId="470"/>
    <cellStyle name="Normal 5 3 2" xfId="1049"/>
    <cellStyle name="Normal 5 3 3" xfId="1331"/>
    <cellStyle name="Normal 5 3 4" xfId="7470"/>
    <cellStyle name="Normal 5 4" xfId="781"/>
    <cellStyle name="Normal 5 4 2" xfId="3975"/>
    <cellStyle name="Normal 5 5" xfId="1528"/>
    <cellStyle name="Normal 5 5 2" xfId="3978"/>
    <cellStyle name="Normal 5 6" xfId="1529"/>
    <cellStyle name="Normal 5 6 2" xfId="3437"/>
    <cellStyle name="Normal 5 7" xfId="4016"/>
    <cellStyle name="Normal 50" xfId="471"/>
    <cellStyle name="Normal 50 2" xfId="4007"/>
    <cellStyle name="Normal 51" xfId="472"/>
    <cellStyle name="Normal 51 2" xfId="1050"/>
    <cellStyle name="Normal 51 3" xfId="1333"/>
    <cellStyle name="Normal 51 4" xfId="7498"/>
    <cellStyle name="Normal 52" xfId="473"/>
    <cellStyle name="Normal 52 2" xfId="1051"/>
    <cellStyle name="Normal 52 3" xfId="1334"/>
    <cellStyle name="Normal 52 4" xfId="7499"/>
    <cellStyle name="Normal 53" xfId="474"/>
    <cellStyle name="Normal 53 2" xfId="1052"/>
    <cellStyle name="Normal 53 3" xfId="1335"/>
    <cellStyle name="Normal 53 4" xfId="7501"/>
    <cellStyle name="Normal 54" xfId="475"/>
    <cellStyle name="Normal 54 2" xfId="1053"/>
    <cellStyle name="Normal 54 3" xfId="1336"/>
    <cellStyle name="Normal 54 4" xfId="7321"/>
    <cellStyle name="Normal 55" xfId="476"/>
    <cellStyle name="Normal 55 2" xfId="3820"/>
    <cellStyle name="Normal 56" xfId="477"/>
    <cellStyle name="Normal 56 2" xfId="1054"/>
    <cellStyle name="Normal 56 3" xfId="1338"/>
    <cellStyle name="Normal 56 4" xfId="7327"/>
    <cellStyle name="Normal 57" xfId="478"/>
    <cellStyle name="Normal 57 2" xfId="479"/>
    <cellStyle name="Normal 57 2 2" xfId="1069"/>
    <cellStyle name="Normal 57 2 3" xfId="7381"/>
    <cellStyle name="Normal 57 3" xfId="961"/>
    <cellStyle name="Normal 57 3 2" xfId="7504"/>
    <cellStyle name="Normal 57 4" xfId="1531"/>
    <cellStyle name="Normal 57 4 2" xfId="7505"/>
    <cellStyle name="Normal 57 5" xfId="6989"/>
    <cellStyle name="Normal 58" xfId="480"/>
    <cellStyle name="Normal 58 2" xfId="1072"/>
    <cellStyle name="Normal 58 3" xfId="962"/>
    <cellStyle name="Normal 58 4" xfId="6968"/>
    <cellStyle name="Normal 59" xfId="481"/>
    <cellStyle name="Normal 59 2" xfId="1074"/>
    <cellStyle name="Normal 59 3" xfId="1349"/>
    <cellStyle name="Normal 59 4" xfId="7081"/>
    <cellStyle name="Normal 6" xfId="482"/>
    <cellStyle name="Normal 6 2" xfId="483"/>
    <cellStyle name="Normal 6 2 2" xfId="783"/>
    <cellStyle name="Normal 6 2 2 2" xfId="4022"/>
    <cellStyle name="Normal 6 2 3" xfId="1532"/>
    <cellStyle name="Normal 6 2 3 2" xfId="4023"/>
    <cellStyle name="Normal 6 2 4" xfId="1533"/>
    <cellStyle name="Normal 6 2 4 2" xfId="4024"/>
    <cellStyle name="Normal 6 2 5" xfId="4020"/>
    <cellStyle name="Normal 6 3" xfId="484"/>
    <cellStyle name="Normal 6 3 2" xfId="1055"/>
    <cellStyle name="Normal 6 3 3" xfId="1339"/>
    <cellStyle name="Normal 6 3 4" xfId="6980"/>
    <cellStyle name="Normal 6 4" xfId="782"/>
    <cellStyle name="Normal 6 4 2" xfId="4025"/>
    <cellStyle name="Normal 6 5" xfId="1534"/>
    <cellStyle name="Normal 6 5 2" xfId="4026"/>
    <cellStyle name="Normal 6 6" xfId="1535"/>
    <cellStyle name="Normal 6 6 2" xfId="4027"/>
    <cellStyle name="Normal 6 7" xfId="4019"/>
    <cellStyle name="Normal 60" xfId="485"/>
    <cellStyle name="Normal 60 2" xfId="975"/>
    <cellStyle name="Normal 60 3" xfId="7323"/>
    <cellStyle name="Normal 61" xfId="486"/>
    <cellStyle name="Normal 61 2" xfId="3264"/>
    <cellStyle name="Normal 61 3" xfId="3350"/>
    <cellStyle name="Normal 61 4" xfId="7326"/>
    <cellStyle name="Normal 62" xfId="727"/>
    <cellStyle name="Normal 62 2" xfId="1275"/>
    <cellStyle name="Normal 62 2 2" xfId="4165"/>
    <cellStyle name="Normal 62 3" xfId="2314"/>
    <cellStyle name="Normal 62 4" xfId="6988"/>
    <cellStyle name="Normal 63" xfId="811"/>
    <cellStyle name="Normal 63 2" xfId="1345"/>
    <cellStyle name="Normal 63 3" xfId="3268"/>
    <cellStyle name="Normal 63 4" xfId="5769"/>
    <cellStyle name="Normal 63 5" xfId="6886"/>
    <cellStyle name="Normal 64" xfId="1328"/>
    <cellStyle name="Normal 64 2" xfId="3409"/>
    <cellStyle name="Normal 64 2 2" xfId="4164"/>
    <cellStyle name="Normal 64 3" xfId="4159"/>
    <cellStyle name="Normal 64 4" xfId="5768"/>
    <cellStyle name="Normal 65" xfId="1152"/>
    <cellStyle name="Normal 65 2" xfId="4162"/>
    <cellStyle name="Normal 65 3" xfId="5478"/>
    <cellStyle name="Normal 65 4" xfId="6801"/>
    <cellStyle name="Normal 66" xfId="1249"/>
    <cellStyle name="Normal 66 2" xfId="5479"/>
    <cellStyle name="Normal 66 3" xfId="6418"/>
    <cellStyle name="Normal 67" xfId="1211"/>
    <cellStyle name="Normal 68" xfId="1221"/>
    <cellStyle name="Normal 69" xfId="1098"/>
    <cellStyle name="Normal 7" xfId="487"/>
    <cellStyle name="Normal 7 2" xfId="488"/>
    <cellStyle name="Normal 7 2 2" xfId="820"/>
    <cellStyle name="Normal 7 2 2 2" xfId="7215"/>
    <cellStyle name="Normal 7 2 3" xfId="1536"/>
    <cellStyle name="Normal 7 2 3 2" xfId="7510"/>
    <cellStyle name="Normal 7 2 4" xfId="1537"/>
    <cellStyle name="Normal 7 2 4 2" xfId="7512"/>
    <cellStyle name="Normal 7 2 5" xfId="6966"/>
    <cellStyle name="Normal 7 3" xfId="489"/>
    <cellStyle name="Normal 7 3 2" xfId="1056"/>
    <cellStyle name="Normal 7 3 3" xfId="1340"/>
    <cellStyle name="Normal 7 3 4" xfId="7513"/>
    <cellStyle name="Normal 7 4" xfId="490"/>
    <cellStyle name="Normal 7 4 2" xfId="988"/>
    <cellStyle name="Normal 7 5" xfId="1281"/>
    <cellStyle name="Normal 7 6" xfId="7509"/>
    <cellStyle name="Normal 70" xfId="1733"/>
    <cellStyle name="Normal 71" xfId="1913"/>
    <cellStyle name="Normal 72" xfId="2147"/>
    <cellStyle name="Normal 73" xfId="2424"/>
    <cellStyle name="Normal 74" xfId="2066"/>
    <cellStyle name="Normal 75" xfId="2180"/>
    <cellStyle name="Normal 76" xfId="1761"/>
    <cellStyle name="Normal 77" xfId="1867"/>
    <cellStyle name="Normal 78" xfId="2288"/>
    <cellStyle name="Normal 79" xfId="2585"/>
    <cellStyle name="Normal 8" xfId="491"/>
    <cellStyle name="Normal 8 2" xfId="492"/>
    <cellStyle name="Normal 8 2 2" xfId="1057"/>
    <cellStyle name="Normal 8 2 3" xfId="1341"/>
    <cellStyle name="Normal 8 2 4" xfId="7423"/>
    <cellStyle name="Normal 8 3" xfId="1005"/>
    <cellStyle name="Normal 8 4" xfId="1286"/>
    <cellStyle name="Normal 8 5" xfId="7514"/>
    <cellStyle name="Normal 80" xfId="2343"/>
    <cellStyle name="Normal 81" xfId="2670"/>
    <cellStyle name="Normal 82" xfId="2027"/>
    <cellStyle name="Normal 83" xfId="2747"/>
    <cellStyle name="Normal 84" xfId="2614"/>
    <cellStyle name="Normal 85" xfId="2811"/>
    <cellStyle name="Normal 86" xfId="1862"/>
    <cellStyle name="Normal 87" xfId="2342"/>
    <cellStyle name="Normal 88" xfId="2781"/>
    <cellStyle name="Normal 89" xfId="2448"/>
    <cellStyle name="Normal 9" xfId="493"/>
    <cellStyle name="Normal 9 2" xfId="949"/>
    <cellStyle name="Normal 9 2 2" xfId="7049"/>
    <cellStyle name="Normal 9 3" xfId="1006"/>
    <cellStyle name="Normal 9 4" xfId="1287"/>
    <cellStyle name="Normal 9 5" xfId="7515"/>
    <cellStyle name="Normal 90" xfId="1739"/>
    <cellStyle name="Normal 91" xfId="2948"/>
    <cellStyle name="Normal 92" xfId="3029"/>
    <cellStyle name="Normal 93" xfId="3159"/>
    <cellStyle name="Normal 94" xfId="2991"/>
    <cellStyle name="Normal 95" xfId="3015"/>
    <cellStyle name="Normal 96" xfId="3183"/>
    <cellStyle name="Normal 97" xfId="3412"/>
    <cellStyle name="Normal 98" xfId="4010"/>
    <cellStyle name="Normal 99" xfId="4398"/>
    <cellStyle name="Normale_master sourcing plan powertrain purchasing1" xfId="494"/>
    <cellStyle name="Normalny_Arkusz1" xfId="495"/>
    <cellStyle name="Note 2" xfId="496"/>
    <cellStyle name="Note 2 10" xfId="2402"/>
    <cellStyle name="Note 2 11" xfId="2447"/>
    <cellStyle name="Note 2 12" xfId="2232"/>
    <cellStyle name="Note 2 13" xfId="1852"/>
    <cellStyle name="Note 2 14" xfId="2500"/>
    <cellStyle name="Note 2 15" xfId="1972"/>
    <cellStyle name="Note 2 16" xfId="2432"/>
    <cellStyle name="Note 2 17" xfId="1889"/>
    <cellStyle name="Note 2 18" xfId="2390"/>
    <cellStyle name="Note 2 19" xfId="2809"/>
    <cellStyle name="Note 2 2" xfId="497"/>
    <cellStyle name="Note 2 2 10" xfId="1816"/>
    <cellStyle name="Note 2 2 11" xfId="2525"/>
    <cellStyle name="Note 2 2 12" xfId="2129"/>
    <cellStyle name="Note 2 2 13" xfId="1747"/>
    <cellStyle name="Note 2 2 14" xfId="2787"/>
    <cellStyle name="Note 2 2 15" xfId="1781"/>
    <cellStyle name="Note 2 2 16" xfId="2743"/>
    <cellStyle name="Note 2 2 17" xfId="2589"/>
    <cellStyle name="Note 2 2 18" xfId="2825"/>
    <cellStyle name="Note 2 2 19" xfId="3025"/>
    <cellStyle name="Note 2 2 2" xfId="1058"/>
    <cellStyle name="Note 2 2 2 10" xfId="2514"/>
    <cellStyle name="Note 2 2 2 11" xfId="2544"/>
    <cellStyle name="Note 2 2 2 12" xfId="2592"/>
    <cellStyle name="Note 2 2 2 13" xfId="2642"/>
    <cellStyle name="Note 2 2 2 14" xfId="2445"/>
    <cellStyle name="Note 2 2 2 15" xfId="2557"/>
    <cellStyle name="Note 2 2 2 16" xfId="2631"/>
    <cellStyle name="Note 2 2 2 17" xfId="2828"/>
    <cellStyle name="Note 2 2 2 18" xfId="2868"/>
    <cellStyle name="Note 2 2 2 19" xfId="2896"/>
    <cellStyle name="Note 2 2 2 2" xfId="1142"/>
    <cellStyle name="Note 2 2 2 20" xfId="2924"/>
    <cellStyle name="Note 2 2 2 21" xfId="3137"/>
    <cellStyle name="Note 2 2 2 22" xfId="3019"/>
    <cellStyle name="Note 2 2 2 23" xfId="3162"/>
    <cellStyle name="Note 2 2 2 24" xfId="3173"/>
    <cellStyle name="Note 2 2 2 25" xfId="3249"/>
    <cellStyle name="Note 2 2 2 26" xfId="4658"/>
    <cellStyle name="Note 2 2 2 27" xfId="4064"/>
    <cellStyle name="Note 2 2 2 28" xfId="4746"/>
    <cellStyle name="Note 2 2 2 29" xfId="4113"/>
    <cellStyle name="Note 2 2 2 3" xfId="1164"/>
    <cellStyle name="Note 2 2 2 30" xfId="4954"/>
    <cellStyle name="Note 2 2 2 31" xfId="4986"/>
    <cellStyle name="Note 2 2 2 32" xfId="4511"/>
    <cellStyle name="Note 2 2 2 33" xfId="4966"/>
    <cellStyle name="Note 2 2 2 34" xfId="5056"/>
    <cellStyle name="Note 2 2 2 35" xfId="4346"/>
    <cellStyle name="Note 2 2 2 36" xfId="5329"/>
    <cellStyle name="Note 2 2 2 37" xfId="6075"/>
    <cellStyle name="Note 2 2 2 38" xfId="5903"/>
    <cellStyle name="Note 2 2 2 39" xfId="6365"/>
    <cellStyle name="Note 2 2 2 4" xfId="1655"/>
    <cellStyle name="Note 2 2 2 5" xfId="1172"/>
    <cellStyle name="Note 2 2 2 6" xfId="2292"/>
    <cellStyle name="Note 2 2 2 7" xfId="2355"/>
    <cellStyle name="Note 2 2 2 8" xfId="2008"/>
    <cellStyle name="Note 2 2 2 9" xfId="2462"/>
    <cellStyle name="Note 2 2 20" xfId="3024"/>
    <cellStyle name="Note 2 2 21" xfId="2992"/>
    <cellStyle name="Note 2 2 22" xfId="3194"/>
    <cellStyle name="Note 2 2 23" xfId="3298"/>
    <cellStyle name="Note 2 2 24" xfId="4036"/>
    <cellStyle name="Note 2 2 25" xfId="4298"/>
    <cellStyle name="Note 2 2 26" xfId="4144"/>
    <cellStyle name="Note 2 2 27" xfId="4268"/>
    <cellStyle name="Note 2 2 28" xfId="3497"/>
    <cellStyle name="Note 2 2 29" xfId="4048"/>
    <cellStyle name="Note 2 2 3" xfId="950"/>
    <cellStyle name="Note 2 2 3 2" xfId="1290"/>
    <cellStyle name="Note 2 2 3 3" xfId="1157"/>
    <cellStyle name="Note 2 2 3 4" xfId="1175"/>
    <cellStyle name="Note 2 2 30" xfId="4278"/>
    <cellStyle name="Note 2 2 31" xfId="3922"/>
    <cellStyle name="Note 2 2 32" xfId="4265"/>
    <cellStyle name="Note 2 2 33" xfId="3681"/>
    <cellStyle name="Note 2 2 34" xfId="3473"/>
    <cellStyle name="Note 2 2 35" xfId="4779"/>
    <cellStyle name="Note 2 2 36" xfId="3743"/>
    <cellStyle name="Note 2 2 37" xfId="4618"/>
    <cellStyle name="Note 2 2 38" xfId="3886"/>
    <cellStyle name="Note 2 2 39" xfId="4824"/>
    <cellStyle name="Note 2 2 4" xfId="1108"/>
    <cellStyle name="Note 2 2 40" xfId="4670"/>
    <cellStyle name="Note 2 2 41" xfId="4527"/>
    <cellStyle name="Note 2 2 42" xfId="4985"/>
    <cellStyle name="Note 2 2 43" xfId="5126"/>
    <cellStyle name="Note 2 2 44" xfId="4965"/>
    <cellStyle name="Note 2 2 45" xfId="5060"/>
    <cellStyle name="Note 2 2 46" xfId="5346"/>
    <cellStyle name="Note 2 2 47" xfId="4675"/>
    <cellStyle name="Note 2 2 48" xfId="5086"/>
    <cellStyle name="Note 2 2 49" xfId="5389"/>
    <cellStyle name="Note 2 2 5" xfId="1688"/>
    <cellStyle name="Note 2 2 50" xfId="5157"/>
    <cellStyle name="Note 2 2 51" xfId="5669"/>
    <cellStyle name="Note 2 2 52" xfId="5539"/>
    <cellStyle name="Note 2 2 53" xfId="5654"/>
    <cellStyle name="Note 2 2 54" xfId="5516"/>
    <cellStyle name="Note 2 2 55" xfId="5616"/>
    <cellStyle name="Note 2 2 56" xfId="6074"/>
    <cellStyle name="Note 2 2 57" xfId="5819"/>
    <cellStyle name="Note 2 2 58" xfId="6097"/>
    <cellStyle name="Note 2 2 59" xfId="5845"/>
    <cellStyle name="Note 2 2 6" xfId="2182"/>
    <cellStyle name="Note 2 2 60" xfId="5775"/>
    <cellStyle name="Note 2 2 61" xfId="6032"/>
    <cellStyle name="Note 2 2 62" xfId="6066"/>
    <cellStyle name="Note 2 2 63" xfId="6207"/>
    <cellStyle name="Note 2 2 64" xfId="5859"/>
    <cellStyle name="Note 2 2 65" xfId="5983"/>
    <cellStyle name="Note 2 2 66" xfId="6394"/>
    <cellStyle name="Note 2 2 67" xfId="6027"/>
    <cellStyle name="Note 2 2 68" xfId="6546"/>
    <cellStyle name="Note 2 2 69" xfId="6736"/>
    <cellStyle name="Note 2 2 7" xfId="1754"/>
    <cellStyle name="Note 2 2 70" xfId="6441"/>
    <cellStyle name="Note 2 2 71" xfId="6684"/>
    <cellStyle name="Note 2 2 72" xfId="6524"/>
    <cellStyle name="Note 2 2 73" xfId="6856"/>
    <cellStyle name="Note 2 2 74" xfId="6910"/>
    <cellStyle name="Note 2 2 75" xfId="6923"/>
    <cellStyle name="Note 2 2 76" xfId="6954"/>
    <cellStyle name="Note 2 2 77" xfId="7517"/>
    <cellStyle name="Note 2 2 78" xfId="7635"/>
    <cellStyle name="Note 2 2 79" xfId="7671"/>
    <cellStyle name="Note 2 2 8" xfId="1894"/>
    <cellStyle name="Note 2 2 80" xfId="7612"/>
    <cellStyle name="Note 2 2 81" xfId="7716"/>
    <cellStyle name="Note 2 2 82" xfId="7619"/>
    <cellStyle name="Note 2 2 9" xfId="2388"/>
    <cellStyle name="Note 2 20" xfId="2881"/>
    <cellStyle name="Note 2 21" xfId="3038"/>
    <cellStyle name="Note 2 22" xfId="3153"/>
    <cellStyle name="Note 2 23" xfId="3299"/>
    <cellStyle name="Note 2 24" xfId="4035"/>
    <cellStyle name="Note 2 25" xfId="4297"/>
    <cellStyle name="Note 2 26" xfId="3519"/>
    <cellStyle name="Note 2 27" xfId="3890"/>
    <cellStyle name="Note 2 28" xfId="3908"/>
    <cellStyle name="Note 2 29" xfId="4244"/>
    <cellStyle name="Note 2 3" xfId="984"/>
    <cellStyle name="Note 2 3 10" xfId="1864"/>
    <cellStyle name="Note 2 3 11" xfId="2175"/>
    <cellStyle name="Note 2 3 12" xfId="1890"/>
    <cellStyle name="Note 2 3 13" xfId="2070"/>
    <cellStyle name="Note 2 3 14" xfId="1910"/>
    <cellStyle name="Note 2 3 15" xfId="1908"/>
    <cellStyle name="Note 2 3 16" xfId="1946"/>
    <cellStyle name="Note 2 3 17" xfId="2075"/>
    <cellStyle name="Note 2 3 18" xfId="2237"/>
    <cellStyle name="Note 2 3 19" xfId="2764"/>
    <cellStyle name="Note 2 3 2" xfId="1120"/>
    <cellStyle name="Note 2 3 2 2" xfId="1538"/>
    <cellStyle name="Note 2 3 2 3" xfId="1681"/>
    <cellStyle name="Note 2 3 2 4" xfId="1174"/>
    <cellStyle name="Note 2 3 20" xfId="2493"/>
    <cellStyle name="Note 2 3 21" xfId="2777"/>
    <cellStyle name="Note 2 3 22" xfId="1898"/>
    <cellStyle name="Note 2 3 23" xfId="2421"/>
    <cellStyle name="Note 2 3 24" xfId="2730"/>
    <cellStyle name="Note 2 3 25" xfId="3088"/>
    <cellStyle name="Note 2 3 26" xfId="2984"/>
    <cellStyle name="Note 2 3 27" xfId="3013"/>
    <cellStyle name="Note 2 3 28" xfId="3218"/>
    <cellStyle name="Note 2 3 29" xfId="3322"/>
    <cellStyle name="Note 2 3 3" xfId="1614"/>
    <cellStyle name="Note 2 3 3 2" xfId="1705"/>
    <cellStyle name="Note 2 3 3 3" xfId="1727"/>
    <cellStyle name="Note 2 3 30" xfId="3329"/>
    <cellStyle name="Note 2 3 31" xfId="3666"/>
    <cellStyle name="Note 2 3 32" xfId="3869"/>
    <cellStyle name="Note 2 3 33" xfId="3417"/>
    <cellStyle name="Note 2 3 34" xfId="4148"/>
    <cellStyle name="Note 2 3 35" xfId="3767"/>
    <cellStyle name="Note 2 3 36" xfId="3745"/>
    <cellStyle name="Note 2 3 37" xfId="3482"/>
    <cellStyle name="Note 2 3 38" xfId="4414"/>
    <cellStyle name="Note 2 3 39" xfId="3776"/>
    <cellStyle name="Note 2 3 4" xfId="1300"/>
    <cellStyle name="Note 2 3 40" xfId="4428"/>
    <cellStyle name="Note 2 3 41" xfId="3717"/>
    <cellStyle name="Note 2 3 42" xfId="3630"/>
    <cellStyle name="Note 2 3 43" xfId="4573"/>
    <cellStyle name="Note 2 3 44" xfId="3889"/>
    <cellStyle name="Note 2 3 45" xfId="3446"/>
    <cellStyle name="Note 2 3 46" xfId="4411"/>
    <cellStyle name="Note 2 3 47" xfId="4690"/>
    <cellStyle name="Note 2 3 48" xfId="3835"/>
    <cellStyle name="Note 2 3 49" xfId="4987"/>
    <cellStyle name="Note 2 3 5" xfId="1525"/>
    <cellStyle name="Note 2 3 50" xfId="3777"/>
    <cellStyle name="Note 2 3 51" xfId="4967"/>
    <cellStyle name="Note 2 3 52" xfId="4641"/>
    <cellStyle name="Note 2 3 53" xfId="4848"/>
    <cellStyle name="Note 2 3 54" xfId="5002"/>
    <cellStyle name="Note 2 3 55" xfId="5463"/>
    <cellStyle name="Note 2 3 56" xfId="5008"/>
    <cellStyle name="Note 2 3 57" xfId="5566"/>
    <cellStyle name="Note 2 3 58" xfId="5565"/>
    <cellStyle name="Note 2 3 59" xfId="5568"/>
    <cellStyle name="Note 2 3 6" xfId="2199"/>
    <cellStyle name="Note 2 3 60" xfId="5513"/>
    <cellStyle name="Note 2 3 61" xfId="5497"/>
    <cellStyle name="Note 2 3 62" xfId="6030"/>
    <cellStyle name="Note 2 3 63" xfId="6011"/>
    <cellStyle name="Note 2 3 64" xfId="6205"/>
    <cellStyle name="Note 2 3 65" xfId="5794"/>
    <cellStyle name="Note 2 3 66" xfId="6179"/>
    <cellStyle name="Note 2 3 67" xfId="6105"/>
    <cellStyle name="Note 2 3 68" xfId="6127"/>
    <cellStyle name="Note 2 3 69" xfId="6039"/>
    <cellStyle name="Note 2 3 7" xfId="1738"/>
    <cellStyle name="Note 2 3 70" xfId="5802"/>
    <cellStyle name="Note 2 3 71" xfId="6453"/>
    <cellStyle name="Note 2 3 72" xfId="6590"/>
    <cellStyle name="Note 2 3 73" xfId="6874"/>
    <cellStyle name="Note 2 3 74" xfId="6688"/>
    <cellStyle name="Note 2 3 75" xfId="6919"/>
    <cellStyle name="Note 2 3 76" xfId="6516"/>
    <cellStyle name="Note 2 3 77" xfId="6661"/>
    <cellStyle name="Note 2 3 78" xfId="7183"/>
    <cellStyle name="Note 2 3 79" xfId="7725"/>
    <cellStyle name="Note 2 3 8" xfId="2019"/>
    <cellStyle name="Note 2 3 80" xfId="7644"/>
    <cellStyle name="Note 2 3 81" xfId="7786"/>
    <cellStyle name="Note 2 3 82" xfId="7830"/>
    <cellStyle name="Note 2 3 83" xfId="7075"/>
    <cellStyle name="Note 2 3 9" xfId="2139"/>
    <cellStyle name="Note 2 30" xfId="3605"/>
    <cellStyle name="Note 2 31" xfId="4539"/>
    <cellStyle name="Note 2 32" xfId="3698"/>
    <cellStyle name="Note 2 33" xfId="4250"/>
    <cellStyle name="Note 2 34" xfId="4406"/>
    <cellStyle name="Note 2 35" xfId="4674"/>
    <cellStyle name="Note 2 36" xfId="4818"/>
    <cellStyle name="Note 2 37" xfId="3960"/>
    <cellStyle name="Note 2 38" xfId="3442"/>
    <cellStyle name="Note 2 39" xfId="5049"/>
    <cellStyle name="Note 2 4" xfId="784"/>
    <cellStyle name="Note 2 4 10" xfId="1757"/>
    <cellStyle name="Note 2 4 11" xfId="2085"/>
    <cellStyle name="Note 2 4 12" xfId="2348"/>
    <cellStyle name="Note 2 4 13" xfId="2400"/>
    <cellStyle name="Note 2 4 14" xfId="2063"/>
    <cellStyle name="Note 2 4 15" xfId="2577"/>
    <cellStyle name="Note 2 4 16" xfId="2581"/>
    <cellStyle name="Note 2 4 17" xfId="2623"/>
    <cellStyle name="Note 2 4 18" xfId="2509"/>
    <cellStyle name="Note 2 4 19" xfId="2765"/>
    <cellStyle name="Note 2 4 2" xfId="1615"/>
    <cellStyle name="Note 2 4 2 2" xfId="1706"/>
    <cellStyle name="Note 2 4 2 3" xfId="1728"/>
    <cellStyle name="Note 2 4 20" xfId="2591"/>
    <cellStyle name="Note 2 4 21" xfId="2778"/>
    <cellStyle name="Note 2 4 22" xfId="2654"/>
    <cellStyle name="Note 2 4 23" xfId="2083"/>
    <cellStyle name="Note 2 4 24" xfId="2103"/>
    <cellStyle name="Note 2 4 25" xfId="3089"/>
    <cellStyle name="Note 2 4 26" xfId="3087"/>
    <cellStyle name="Note 2 4 27" xfId="3154"/>
    <cellStyle name="Note 2 4 28" xfId="3219"/>
    <cellStyle name="Note 2 4 29" xfId="3339"/>
    <cellStyle name="Note 2 4 3" xfId="1539"/>
    <cellStyle name="Note 2 4 30" xfId="3342"/>
    <cellStyle name="Note 2 4 31" xfId="3844"/>
    <cellStyle name="Note 2 4 32" xfId="3660"/>
    <cellStyle name="Note 2 4 33" xfId="3587"/>
    <cellStyle name="Note 2 4 34" xfId="3773"/>
    <cellStyle name="Note 2 4 35" xfId="4176"/>
    <cellStyle name="Note 2 4 36" xfId="3787"/>
    <cellStyle name="Note 2 4 37" xfId="3651"/>
    <cellStyle name="Note 2 4 38" xfId="4105"/>
    <cellStyle name="Note 2 4 39" xfId="3985"/>
    <cellStyle name="Note 2 4 4" xfId="1682"/>
    <cellStyle name="Note 2 4 40" xfId="4668"/>
    <cellStyle name="Note 2 4 41" xfId="3555"/>
    <cellStyle name="Note 2 4 42" xfId="3796"/>
    <cellStyle name="Note 2 4 43" xfId="4784"/>
    <cellStyle name="Note 2 4 44" xfId="4640"/>
    <cellStyle name="Note 2 4 45" xfId="4629"/>
    <cellStyle name="Note 2 4 46" xfId="4925"/>
    <cellStyle name="Note 2 4 47" xfId="4893"/>
    <cellStyle name="Note 2 4 48" xfId="4384"/>
    <cellStyle name="Note 2 4 49" xfId="4988"/>
    <cellStyle name="Note 2 4 5" xfId="1229"/>
    <cellStyle name="Note 2 4 50" xfId="4453"/>
    <cellStyle name="Note 2 4 51" xfId="4969"/>
    <cellStyle name="Note 2 4 52" xfId="4703"/>
    <cellStyle name="Note 2 4 53" xfId="4619"/>
    <cellStyle name="Note 2 4 54" xfId="5352"/>
    <cellStyle name="Note 2 4 55" xfId="4949"/>
    <cellStyle name="Note 2 4 56" xfId="4543"/>
    <cellStyle name="Note 2 4 57" xfId="5614"/>
    <cellStyle name="Note 2 4 58" xfId="5496"/>
    <cellStyle name="Note 2 4 59" xfId="5612"/>
    <cellStyle name="Note 2 4 6" xfId="2200"/>
    <cellStyle name="Note 2 4 60" xfId="5585"/>
    <cellStyle name="Note 2 4 61" xfId="5589"/>
    <cellStyle name="Note 2 4 62" xfId="5935"/>
    <cellStyle name="Note 2 4 63" xfId="5919"/>
    <cellStyle name="Note 2 4 64" xfId="6035"/>
    <cellStyle name="Note 2 4 65" xfId="5825"/>
    <cellStyle name="Note 2 4 66" xfId="6090"/>
    <cellStyle name="Note 2 4 67" xfId="6007"/>
    <cellStyle name="Note 2 4 68" xfId="6219"/>
    <cellStyle name="Note 2 4 69" xfId="6324"/>
    <cellStyle name="Note 2 4 7" xfId="2041"/>
    <cellStyle name="Note 2 4 70" xfId="6335"/>
    <cellStyle name="Note 2 4 71" xfId="6667"/>
    <cellStyle name="Note 2 4 72" xfId="6782"/>
    <cellStyle name="Note 2 4 73" xfId="6626"/>
    <cellStyle name="Note 2 4 74" xfId="6525"/>
    <cellStyle name="Note 2 4 75" xfId="6496"/>
    <cellStyle name="Note 2 4 76" xfId="6814"/>
    <cellStyle name="Note 2 4 77" xfId="6955"/>
    <cellStyle name="Note 2 4 78" xfId="7350"/>
    <cellStyle name="Note 2 4 79" xfId="7681"/>
    <cellStyle name="Note 2 4 8" xfId="2122"/>
    <cellStyle name="Note 2 4 80" xfId="7708"/>
    <cellStyle name="Note 2 4 81" xfId="7701"/>
    <cellStyle name="Note 2 4 82" xfId="7062"/>
    <cellStyle name="Note 2 4 83" xfId="7646"/>
    <cellStyle name="Note 2 4 9" xfId="2223"/>
    <cellStyle name="Note 2 40" xfId="3529"/>
    <cellStyle name="Note 2 41" xfId="4840"/>
    <cellStyle name="Note 2 42" xfId="4984"/>
    <cellStyle name="Note 2 43" xfId="4229"/>
    <cellStyle name="Note 2 44" xfId="4963"/>
    <cellStyle name="Note 2 45" xfId="5059"/>
    <cellStyle name="Note 2 46" xfId="5003"/>
    <cellStyle name="Note 2 47" xfId="5347"/>
    <cellStyle name="Note 2 48" xfId="4927"/>
    <cellStyle name="Note 2 49" xfId="5464"/>
    <cellStyle name="Note 2 5" xfId="953"/>
    <cellStyle name="Note 2 5 10" xfId="1858"/>
    <cellStyle name="Note 2 5 11" xfId="2399"/>
    <cellStyle name="Note 2 5 12" xfId="2220"/>
    <cellStyle name="Note 2 5 13" xfId="2359"/>
    <cellStyle name="Note 2 5 14" xfId="2268"/>
    <cellStyle name="Note 2 5 15" xfId="2513"/>
    <cellStyle name="Note 2 5 16" xfId="2263"/>
    <cellStyle name="Note 2 5 17" xfId="1897"/>
    <cellStyle name="Note 2 5 18" xfId="1841"/>
    <cellStyle name="Note 2 5 19" xfId="2766"/>
    <cellStyle name="Note 2 5 2" xfId="1616"/>
    <cellStyle name="Note 2 5 2 2" xfId="1707"/>
    <cellStyle name="Note 2 5 2 3" xfId="1729"/>
    <cellStyle name="Note 2 5 20" xfId="2641"/>
    <cellStyle name="Note 2 5 21" xfId="2021"/>
    <cellStyle name="Note 2 5 22" xfId="2312"/>
    <cellStyle name="Note 2 5 23" xfId="1827"/>
    <cellStyle name="Note 2 5 24" xfId="1909"/>
    <cellStyle name="Note 2 5 25" xfId="3090"/>
    <cellStyle name="Note 2 5 26" xfId="3135"/>
    <cellStyle name="Note 2 5 27" xfId="2987"/>
    <cellStyle name="Note 2 5 28" xfId="3220"/>
    <cellStyle name="Note 2 5 29" xfId="3336"/>
    <cellStyle name="Note 2 5 3" xfId="1540"/>
    <cellStyle name="Note 2 5 30" xfId="3318"/>
    <cellStyle name="Note 2 5 31" xfId="3553"/>
    <cellStyle name="Note 2 5 32" xfId="3722"/>
    <cellStyle name="Note 2 5 33" xfId="3804"/>
    <cellStyle name="Note 2 5 34" xfId="3420"/>
    <cellStyle name="Note 2 5 35" xfId="4085"/>
    <cellStyle name="Note 2 5 36" xfId="4357"/>
    <cellStyle name="Note 2 5 37" xfId="4216"/>
    <cellStyle name="Note 2 5 38" xfId="3919"/>
    <cellStyle name="Note 2 5 39" xfId="4537"/>
    <cellStyle name="Note 2 5 4" xfId="1683"/>
    <cellStyle name="Note 2 5 40" xfId="3813"/>
    <cellStyle name="Note 2 5 41" xfId="4816"/>
    <cellStyle name="Note 2 5 42" xfId="3829"/>
    <cellStyle name="Note 2 5 43" xfId="3447"/>
    <cellStyle name="Note 2 5 44" xfId="4372"/>
    <cellStyle name="Note 2 5 45" xfId="4423"/>
    <cellStyle name="Note 2 5 46" xfId="3854"/>
    <cellStyle name="Note 2 5 47" xfId="4247"/>
    <cellStyle name="Note 2 5 48" xfId="4467"/>
    <cellStyle name="Note 2 5 49" xfId="4989"/>
    <cellStyle name="Note 2 5 5" xfId="1265"/>
    <cellStyle name="Note 2 5 50" xfId="5224"/>
    <cellStyle name="Note 2 5 51" xfId="4970"/>
    <cellStyle name="Note 2 5 52" xfId="5005"/>
    <cellStyle name="Note 2 5 53" xfId="5359"/>
    <cellStyle name="Note 2 5 54" xfId="5016"/>
    <cellStyle name="Note 2 5 55" xfId="4661"/>
    <cellStyle name="Note 2 5 56" xfId="4380"/>
    <cellStyle name="Note 2 5 57" xfId="5518"/>
    <cellStyle name="Note 2 5 58" xfId="5647"/>
    <cellStyle name="Note 2 5 59" xfId="5651"/>
    <cellStyle name="Note 2 5 6" xfId="2201"/>
    <cellStyle name="Note 2 5 60" xfId="5664"/>
    <cellStyle name="Note 2 5 61" xfId="5663"/>
    <cellStyle name="Note 2 5 62" xfId="6099"/>
    <cellStyle name="Note 2 5 63" xfId="5849"/>
    <cellStyle name="Note 2 5 64" xfId="6015"/>
    <cellStyle name="Note 2 5 65" xfId="5833"/>
    <cellStyle name="Note 2 5 66" xfId="6079"/>
    <cellStyle name="Note 2 5 67" xfId="6076"/>
    <cellStyle name="Note 2 5 68" xfId="6191"/>
    <cellStyle name="Note 2 5 69" xfId="6186"/>
    <cellStyle name="Note 2 5 7" xfId="2040"/>
    <cellStyle name="Note 2 5 70" xfId="6340"/>
    <cellStyle name="Note 2 5 71" xfId="6755"/>
    <cellStyle name="Note 2 5 72" xfId="6518"/>
    <cellStyle name="Note 2 5 73" xfId="6431"/>
    <cellStyle name="Note 2 5 74" xfId="6470"/>
    <cellStyle name="Note 2 5 75" xfId="6778"/>
    <cellStyle name="Note 2 5 76" xfId="6786"/>
    <cellStyle name="Note 2 5 77" xfId="6491"/>
    <cellStyle name="Note 2 5 78" xfId="7077"/>
    <cellStyle name="Note 2 5 79" xfId="7750"/>
    <cellStyle name="Note 2 5 8" xfId="1755"/>
    <cellStyle name="Note 2 5 80" xfId="7743"/>
    <cellStyle name="Note 2 5 81" xfId="7745"/>
    <cellStyle name="Note 2 5 82" xfId="7804"/>
    <cellStyle name="Note 2 5 83" xfId="7723"/>
    <cellStyle name="Note 2 5 9" xfId="2184"/>
    <cellStyle name="Note 2 50" xfId="5668"/>
    <cellStyle name="Note 2 51" xfId="5542"/>
    <cellStyle name="Note 2 52" xfId="5652"/>
    <cellStyle name="Note 2 53" xfId="5644"/>
    <cellStyle name="Note 2 54" xfId="5572"/>
    <cellStyle name="Note 2 55" xfId="6073"/>
    <cellStyle name="Note 2 56" xfId="5820"/>
    <cellStyle name="Note 2 57" xfId="6217"/>
    <cellStyle name="Note 2 58" xfId="6212"/>
    <cellStyle name="Note 2 59" xfId="6026"/>
    <cellStyle name="Note 2 6" xfId="1280"/>
    <cellStyle name="Note 2 6 10" xfId="4990"/>
    <cellStyle name="Note 2 6 11" xfId="5127"/>
    <cellStyle name="Note 2 6 12" xfId="5174"/>
    <cellStyle name="Note 2 6 13" xfId="4914"/>
    <cellStyle name="Note 2 6 14" xfId="3695"/>
    <cellStyle name="Note 2 6 2" xfId="1159"/>
    <cellStyle name="Note 2 6 3" xfId="1230"/>
    <cellStyle name="Note 2 6 4" xfId="3355"/>
    <cellStyle name="Note 2 6 5" xfId="4616"/>
    <cellStyle name="Note 2 6 6" xfId="4870"/>
    <cellStyle name="Note 2 6 7" xfId="3650"/>
    <cellStyle name="Note 2 6 8" xfId="3951"/>
    <cellStyle name="Note 2 6 9" xfId="4743"/>
    <cellStyle name="Note 2 60" xfId="6141"/>
    <cellStyle name="Note 2 61" xfId="6016"/>
    <cellStyle name="Note 2 62" xfId="6069"/>
    <cellStyle name="Note 2 63" xfId="6243"/>
    <cellStyle name="Note 2 64" xfId="6393"/>
    <cellStyle name="Note 2 65" xfId="6315"/>
    <cellStyle name="Note 2 66" xfId="6548"/>
    <cellStyle name="Note 2 67" xfId="6430"/>
    <cellStyle name="Note 2 68" xfId="6540"/>
    <cellStyle name="Note 2 69" xfId="6700"/>
    <cellStyle name="Note 2 7" xfId="1779"/>
    <cellStyle name="Note 2 70" xfId="6821"/>
    <cellStyle name="Note 2 71" xfId="6757"/>
    <cellStyle name="Note 2 72" xfId="6950"/>
    <cellStyle name="Note 2 73" xfId="7516"/>
    <cellStyle name="Note 2 74" xfId="7636"/>
    <cellStyle name="Note 2 75" xfId="7672"/>
    <cellStyle name="Note 2 76" xfId="7724"/>
    <cellStyle name="Note 2 77" xfId="7682"/>
    <cellStyle name="Note 2 78" xfId="7761"/>
    <cellStyle name="Note 2 8" xfId="2235"/>
    <cellStyle name="Note 2 9" xfId="2045"/>
    <cellStyle name="Note 3" xfId="498"/>
    <cellStyle name="Œ…‹æØ‚è [0.00]_PRODUCT DETAIL Q1" xfId="499"/>
    <cellStyle name="Œ…‹æØ‚è_PRODUCT DETAIL Q1" xfId="500"/>
    <cellStyle name="Option_Added_Cont_Desc" xfId="889"/>
    <cellStyle name="Output 2" xfId="501"/>
    <cellStyle name="Output 2 10" xfId="1801"/>
    <cellStyle name="Output 2 11" xfId="2443"/>
    <cellStyle name="Output 2 12" xfId="1749"/>
    <cellStyle name="Output 2 13" xfId="2315"/>
    <cellStyle name="Output 2 14" xfId="1736"/>
    <cellStyle name="Output 2 15" xfId="1962"/>
    <cellStyle name="Output 2 16" xfId="2542"/>
    <cellStyle name="Output 2 17" xfId="2774"/>
    <cellStyle name="Output 2 18" xfId="2638"/>
    <cellStyle name="Output 2 19" xfId="2588"/>
    <cellStyle name="Output 2 2" xfId="502"/>
    <cellStyle name="Output 2 2 10" xfId="2149"/>
    <cellStyle name="Output 2 2 11" xfId="2508"/>
    <cellStyle name="Output 2 2 12" xfId="2409"/>
    <cellStyle name="Output 2 2 13" xfId="1820"/>
    <cellStyle name="Output 2 2 14" xfId="2786"/>
    <cellStyle name="Output 2 2 15" xfId="2850"/>
    <cellStyle name="Output 2 2 16" xfId="2656"/>
    <cellStyle name="Output 2 2 17" xfId="2854"/>
    <cellStyle name="Output 2 2 18" xfId="1771"/>
    <cellStyle name="Output 2 2 19" xfId="2969"/>
    <cellStyle name="Output 2 2 2" xfId="1059"/>
    <cellStyle name="Output 2 2 2 10" xfId="2545"/>
    <cellStyle name="Output 2 2 2 11" xfId="2593"/>
    <cellStyle name="Output 2 2 2 12" xfId="2643"/>
    <cellStyle name="Output 2 2 2 13" xfId="2707"/>
    <cellStyle name="Output 2 2 2 14" xfId="1917"/>
    <cellStyle name="Output 2 2 2 15" xfId="1937"/>
    <cellStyle name="Output 2 2 2 16" xfId="2829"/>
    <cellStyle name="Output 2 2 2 17" xfId="2869"/>
    <cellStyle name="Output 2 2 2 18" xfId="2897"/>
    <cellStyle name="Output 2 2 2 19" xfId="2925"/>
    <cellStyle name="Output 2 2 2 2" xfId="1143"/>
    <cellStyle name="Output 2 2 2 20" xfId="3138"/>
    <cellStyle name="Output 2 2 2 21" xfId="3136"/>
    <cellStyle name="Output 2 2 2 22" xfId="3163"/>
    <cellStyle name="Output 2 2 2 23" xfId="3174"/>
    <cellStyle name="Output 2 2 2 24" xfId="3250"/>
    <cellStyle name="Output 2 2 2 25" xfId="3384"/>
    <cellStyle name="Output 2 2 2 26" xfId="4287"/>
    <cellStyle name="Output 2 2 2 27" xfId="3917"/>
    <cellStyle name="Output 2 2 2 28" xfId="3469"/>
    <cellStyle name="Output 2 2 2 29" xfId="4313"/>
    <cellStyle name="Output 2 2 2 3" xfId="1222"/>
    <cellStyle name="Output 2 2 2 30" xfId="4611"/>
    <cellStyle name="Output 2 2 2 31" xfId="4994"/>
    <cellStyle name="Output 2 2 2 32" xfId="4973"/>
    <cellStyle name="Output 2 2 2 33" xfId="4722"/>
    <cellStyle name="Output 2 2 2 34" xfId="5172"/>
    <cellStyle name="Output 2 2 2 35" xfId="4702"/>
    <cellStyle name="Output 2 2 2 36" xfId="6081"/>
    <cellStyle name="Output 2 2 2 37" xfId="6261"/>
    <cellStyle name="Output 2 2 2 38" xfId="6366"/>
    <cellStyle name="Output 2 2 2 4" xfId="1654"/>
    <cellStyle name="Output 2 2 2 5" xfId="2293"/>
    <cellStyle name="Output 2 2 2 6" xfId="2356"/>
    <cellStyle name="Output 2 2 2 7" xfId="2037"/>
    <cellStyle name="Output 2 2 2 8" xfId="2463"/>
    <cellStyle name="Output 2 2 2 9" xfId="2515"/>
    <cellStyle name="Output 2 2 20" xfId="3102"/>
    <cellStyle name="Output 2 2 21" xfId="3031"/>
    <cellStyle name="Output 2 2 22" xfId="3195"/>
    <cellStyle name="Output 2 2 23" xfId="3301"/>
    <cellStyle name="Output 2 2 24" xfId="3343"/>
    <cellStyle name="Output 2 2 25" xfId="4040"/>
    <cellStyle name="Output 2 2 26" xfId="4302"/>
    <cellStyle name="Output 2 2 27" xfId="3983"/>
    <cellStyle name="Output 2 2 28" xfId="4240"/>
    <cellStyle name="Output 2 2 29" xfId="4076"/>
    <cellStyle name="Output 2 2 3" xfId="951"/>
    <cellStyle name="Output 2 2 3 2" xfId="1289"/>
    <cellStyle name="Output 2 2 3 3" xfId="1375"/>
    <cellStyle name="Output 2 2 3 4" xfId="1250"/>
    <cellStyle name="Output 2 2 30" xfId="4232"/>
    <cellStyle name="Output 2 2 31" xfId="3422"/>
    <cellStyle name="Output 2 2 32" xfId="3818"/>
    <cellStyle name="Output 2 2 33" xfId="4555"/>
    <cellStyle name="Output 2 2 34" xfId="4546"/>
    <cellStyle name="Output 2 2 35" xfId="4588"/>
    <cellStyle name="Output 2 2 36" xfId="4445"/>
    <cellStyle name="Output 2 2 37" xfId="4481"/>
    <cellStyle name="Output 2 2 38" xfId="3885"/>
    <cellStyle name="Output 2 2 39" xfId="4625"/>
    <cellStyle name="Output 2 2 4" xfId="1109"/>
    <cellStyle name="Output 2 2 40" xfId="3947"/>
    <cellStyle name="Output 2 2 41" xfId="5050"/>
    <cellStyle name="Output 2 2 42" xfId="3770"/>
    <cellStyle name="Output 2 2 43" xfId="4948"/>
    <cellStyle name="Output 2 2 44" xfId="4993"/>
    <cellStyle name="Output 2 2 45" xfId="5317"/>
    <cellStyle name="Output 2 2 46" xfId="5062"/>
    <cellStyle name="Output 2 2 47" xfId="3897"/>
    <cellStyle name="Output 2 2 48" xfId="5079"/>
    <cellStyle name="Output 2 2 49" xfId="4088"/>
    <cellStyle name="Output 2 2 5" xfId="1452"/>
    <cellStyle name="Output 2 2 50" xfId="3848"/>
    <cellStyle name="Output 2 2 51" xfId="5134"/>
    <cellStyle name="Output 2 2 52" xfId="5672"/>
    <cellStyle name="Output 2 2 53" xfId="5536"/>
    <cellStyle name="Output 2 2 54" xfId="5653"/>
    <cellStyle name="Output 2 2 55" xfId="5606"/>
    <cellStyle name="Output 2 2 56" xfId="5500"/>
    <cellStyle name="Output 2 2 57" xfId="5814"/>
    <cellStyle name="Output 2 2 58" xfId="6092"/>
    <cellStyle name="Output 2 2 59" xfId="5863"/>
    <cellStyle name="Output 2 2 6" xfId="2336"/>
    <cellStyle name="Output 2 2 60" xfId="6033"/>
    <cellStyle name="Output 2 2 61" xfId="6224"/>
    <cellStyle name="Output 2 2 62" xfId="6004"/>
    <cellStyle name="Output 2 2 63" xfId="6070"/>
    <cellStyle name="Output 2 2 64" xfId="5996"/>
    <cellStyle name="Output 2 2 65" xfId="6108"/>
    <cellStyle name="Output 2 2 66" xfId="6396"/>
    <cellStyle name="Output 2 2 67" xfId="6374"/>
    <cellStyle name="Output 2 2 68" xfId="6492"/>
    <cellStyle name="Output 2 2 69" xfId="6738"/>
    <cellStyle name="Output 2 2 7" xfId="2397"/>
    <cellStyle name="Output 2 2 70" xfId="6760"/>
    <cellStyle name="Output 2 2 71" xfId="6728"/>
    <cellStyle name="Output 2 2 72" xfId="6610"/>
    <cellStyle name="Output 2 2 73" xfId="6521"/>
    <cellStyle name="Output 2 2 74" xfId="6656"/>
    <cellStyle name="Output 2 2 75" xfId="6906"/>
    <cellStyle name="Output 2 2 76" xfId="6912"/>
    <cellStyle name="Output 2 2 77" xfId="6854"/>
    <cellStyle name="Output 2 2 78" xfId="7520"/>
    <cellStyle name="Output 2 2 79" xfId="7631"/>
    <cellStyle name="Output 2 2 8" xfId="2269"/>
    <cellStyle name="Output 2 2 80" xfId="7790"/>
    <cellStyle name="Output 2 2 81" xfId="7539"/>
    <cellStyle name="Output 2 2 82" xfId="7818"/>
    <cellStyle name="Output 2 2 83" xfId="7833"/>
    <cellStyle name="Output 2 2 9" xfId="1952"/>
    <cellStyle name="Output 2 20" xfId="2466"/>
    <cellStyle name="Output 2 21" xfId="3109"/>
    <cellStyle name="Output 2 22" xfId="2962"/>
    <cellStyle name="Output 2 23" xfId="3300"/>
    <cellStyle name="Output 2 24" xfId="3399"/>
    <cellStyle name="Output 2 25" xfId="4039"/>
    <cellStyle name="Output 2 26" xfId="4301"/>
    <cellStyle name="Output 2 27" xfId="3934"/>
    <cellStyle name="Output 2 28" xfId="4328"/>
    <cellStyle name="Output 2 29" xfId="3594"/>
    <cellStyle name="Output 2 3" xfId="985"/>
    <cellStyle name="Output 2 3 10" xfId="1758"/>
    <cellStyle name="Output 2 3 11" xfId="2084"/>
    <cellStyle name="Output 2 3 12" xfId="2102"/>
    <cellStyle name="Output 2 3 13" xfId="2234"/>
    <cellStyle name="Output 2 3 14" xfId="1873"/>
    <cellStyle name="Output 2 3 15" xfId="2320"/>
    <cellStyle name="Output 2 3 16" xfId="2243"/>
    <cellStyle name="Output 2 3 17" xfId="2416"/>
    <cellStyle name="Output 2 3 18" xfId="1973"/>
    <cellStyle name="Output 2 3 19" xfId="2767"/>
    <cellStyle name="Output 2 3 2" xfId="1121"/>
    <cellStyle name="Output 2 3 2 2" xfId="1541"/>
    <cellStyle name="Output 2 3 2 3" xfId="1684"/>
    <cellStyle name="Output 2 3 2 4" xfId="1623"/>
    <cellStyle name="Output 2 3 20" xfId="2732"/>
    <cellStyle name="Output 2 3 21" xfId="1764"/>
    <cellStyle name="Output 2 3 22" xfId="2457"/>
    <cellStyle name="Output 2 3 23" xfId="1892"/>
    <cellStyle name="Output 2 3 24" xfId="2817"/>
    <cellStyle name="Output 2 3 25" xfId="3091"/>
    <cellStyle name="Output 2 3 26" xfId="3149"/>
    <cellStyle name="Output 2 3 27" xfId="3062"/>
    <cellStyle name="Output 2 3 28" xfId="3221"/>
    <cellStyle name="Output 2 3 29" xfId="3328"/>
    <cellStyle name="Output 2 3 3" xfId="1617"/>
    <cellStyle name="Output 2 3 3 2" xfId="1708"/>
    <cellStyle name="Output 2 3 3 3" xfId="1730"/>
    <cellStyle name="Output 2 3 30" xfId="3427"/>
    <cellStyle name="Output 2 3 31" xfId="4106"/>
    <cellStyle name="Output 2 3 32" xfId="3995"/>
    <cellStyle name="Output 2 3 33" xfId="3906"/>
    <cellStyle name="Output 2 3 34" xfId="4412"/>
    <cellStyle name="Output 2 3 35" xfId="4218"/>
    <cellStyle name="Output 2 3 36" xfId="4331"/>
    <cellStyle name="Output 2 3 37" xfId="3902"/>
    <cellStyle name="Output 2 3 38" xfId="4602"/>
    <cellStyle name="Output 2 3 39" xfId="3989"/>
    <cellStyle name="Output 2 3 4" xfId="1225"/>
    <cellStyle name="Output 2 3 40" xfId="4262"/>
    <cellStyle name="Output 2 3 41" xfId="4805"/>
    <cellStyle name="Output 2 3 42" xfId="3701"/>
    <cellStyle name="Output 2 3 43" xfId="4758"/>
    <cellStyle name="Output 2 3 44" xfId="4634"/>
    <cellStyle name="Output 2 3 45" xfId="4841"/>
    <cellStyle name="Output 2 3 46" xfId="3877"/>
    <cellStyle name="Output 2 3 47" xfId="4850"/>
    <cellStyle name="Output 2 3 48" xfId="4701"/>
    <cellStyle name="Output 2 3 49" xfId="4995"/>
    <cellStyle name="Output 2 3 5" xfId="1214"/>
    <cellStyle name="Output 2 3 50" xfId="5311"/>
    <cellStyle name="Output 2 3 51" xfId="5259"/>
    <cellStyle name="Output 2 3 52" xfId="3874"/>
    <cellStyle name="Output 2 3 53" xfId="5440"/>
    <cellStyle name="Output 2 3 54" xfId="5457"/>
    <cellStyle name="Output 2 3 55" xfId="5344"/>
    <cellStyle name="Output 2 3 56" xfId="5487"/>
    <cellStyle name="Output 2 3 57" xfId="5661"/>
    <cellStyle name="Output 2 3 58" xfId="5548"/>
    <cellStyle name="Output 2 3 59" xfId="5727"/>
    <cellStyle name="Output 2 3 6" xfId="2202"/>
    <cellStyle name="Output 2 3 60" xfId="5560"/>
    <cellStyle name="Output 2 3 61" xfId="6171"/>
    <cellStyle name="Output 2 3 62" xfId="5776"/>
    <cellStyle name="Output 2 3 63" xfId="6227"/>
    <cellStyle name="Output 2 3 64" xfId="5810"/>
    <cellStyle name="Output 2 3 65" xfId="5763"/>
    <cellStyle name="Output 2 3 66" xfId="6264"/>
    <cellStyle name="Output 2 3 67" xfId="5791"/>
    <cellStyle name="Output 2 3 68" xfId="5834"/>
    <cellStyle name="Output 2 3 69" xfId="6391"/>
    <cellStyle name="Output 2 3 7" xfId="2039"/>
    <cellStyle name="Output 2 3 70" xfId="6483"/>
    <cellStyle name="Output 2 3 71" xfId="6619"/>
    <cellStyle name="Output 2 3 72" xfId="6863"/>
    <cellStyle name="Output 2 3 73" xfId="6599"/>
    <cellStyle name="Output 2 3 74" xfId="6844"/>
    <cellStyle name="Output 2 3 75" xfId="6620"/>
    <cellStyle name="Output 2 3 76" xfId="6439"/>
    <cellStyle name="Output 2 3 77" xfId="6916"/>
    <cellStyle name="Output 2 3 78" xfId="6974"/>
    <cellStyle name="Output 2 3 79" xfId="7711"/>
    <cellStyle name="Output 2 3 8" xfId="2123"/>
    <cellStyle name="Output 2 3 80" xfId="7799"/>
    <cellStyle name="Output 2 3 81" xfId="7035"/>
    <cellStyle name="Output 2 3 82" xfId="7827"/>
    <cellStyle name="Output 2 3 83" xfId="7784"/>
    <cellStyle name="Output 2 3 9" xfId="2321"/>
    <cellStyle name="Output 2 30" xfId="4066"/>
    <cellStyle name="Output 2 31" xfId="3850"/>
    <cellStyle name="Output 2 32" xfId="4429"/>
    <cellStyle name="Output 2 33" xfId="4173"/>
    <cellStyle name="Output 2 34" xfId="4370"/>
    <cellStyle name="Output 2 35" xfId="3812"/>
    <cellStyle name="Output 2 36" xfId="3826"/>
    <cellStyle name="Output 2 37" xfId="4391"/>
    <cellStyle name="Output 2 38" xfId="4513"/>
    <cellStyle name="Output 2 39" xfId="4763"/>
    <cellStyle name="Output 2 4" xfId="785"/>
    <cellStyle name="Output 2 4 10" xfId="1919"/>
    <cellStyle name="Output 2 4 11" xfId="1792"/>
    <cellStyle name="Output 2 4 12" xfId="1753"/>
    <cellStyle name="Output 2 4 13" xfId="2340"/>
    <cellStyle name="Output 2 4 14" xfId="2228"/>
    <cellStyle name="Output 2 4 15" xfId="1977"/>
    <cellStyle name="Output 2 4 16" xfId="2576"/>
    <cellStyle name="Output 2 4 17" xfId="2227"/>
    <cellStyle name="Output 2 4 18" xfId="2697"/>
    <cellStyle name="Output 2 4 19" xfId="2768"/>
    <cellStyle name="Output 2 4 2" xfId="1618"/>
    <cellStyle name="Output 2 4 2 2" xfId="1709"/>
    <cellStyle name="Output 2 4 2 3" xfId="1731"/>
    <cellStyle name="Output 2 4 20" xfId="2501"/>
    <cellStyle name="Output 2 4 21" xfId="1734"/>
    <cellStyle name="Output 2 4 22" xfId="2527"/>
    <cellStyle name="Output 2 4 23" xfId="2177"/>
    <cellStyle name="Output 2 4 24" xfId="2799"/>
    <cellStyle name="Output 2 4 25" xfId="3092"/>
    <cellStyle name="Output 2 4 26" xfId="3061"/>
    <cellStyle name="Output 2 4 27" xfId="3063"/>
    <cellStyle name="Output 2 4 28" xfId="3222"/>
    <cellStyle name="Output 2 4 29" xfId="3319"/>
    <cellStyle name="Output 2 4 3" xfId="1542"/>
    <cellStyle name="Output 2 4 30" xfId="4041"/>
    <cellStyle name="Output 2 4 31" xfId="4303"/>
    <cellStyle name="Output 2 4 32" xfId="3932"/>
    <cellStyle name="Output 2 4 33" xfId="3913"/>
    <cellStyle name="Output 2 4 34" xfId="4169"/>
    <cellStyle name="Output 2 4 35" xfId="4001"/>
    <cellStyle name="Output 2 4 36" xfId="4274"/>
    <cellStyle name="Output 2 4 37" xfId="3512"/>
    <cellStyle name="Output 2 4 38" xfId="3528"/>
    <cellStyle name="Output 2 4 39" xfId="3510"/>
    <cellStyle name="Output 2 4 4" xfId="1685"/>
    <cellStyle name="Output 2 4 40" xfId="4589"/>
    <cellStyle name="Output 2 4 41" xfId="4327"/>
    <cellStyle name="Output 2 4 42" xfId="4822"/>
    <cellStyle name="Output 2 4 43" xfId="4149"/>
    <cellStyle name="Output 2 4 44" xfId="4652"/>
    <cellStyle name="Output 2 4 45" xfId="4336"/>
    <cellStyle name="Output 2 4 46" xfId="3740"/>
    <cellStyle name="Output 2 4 47" xfId="3840"/>
    <cellStyle name="Output 2 4 48" xfId="5131"/>
    <cellStyle name="Output 2 4 49" xfId="4996"/>
    <cellStyle name="Output 2 4 5" xfId="1622"/>
    <cellStyle name="Output 2 4 50" xfId="4975"/>
    <cellStyle name="Output 2 4 51" xfId="5063"/>
    <cellStyle name="Output 2 4 52" xfId="5418"/>
    <cellStyle name="Output 2 4 53" xfId="5080"/>
    <cellStyle name="Output 2 4 54" xfId="3610"/>
    <cellStyle name="Output 2 4 55" xfId="5245"/>
    <cellStyle name="Output 2 4 56" xfId="5673"/>
    <cellStyle name="Output 2 4 57" xfId="5533"/>
    <cellStyle name="Output 2 4 58" xfId="5658"/>
    <cellStyle name="Output 2 4 59" xfId="5490"/>
    <cellStyle name="Output 2 4 6" xfId="2203"/>
    <cellStyle name="Output 2 4 60" xfId="5498"/>
    <cellStyle name="Output 2 4 61" xfId="5813"/>
    <cellStyle name="Output 2 4 62" xfId="6059"/>
    <cellStyle name="Output 2 4 63" xfId="6213"/>
    <cellStyle name="Output 2 4 64" xfId="6036"/>
    <cellStyle name="Output 2 4 65" xfId="5924"/>
    <cellStyle name="Output 2 4 66" xfId="6018"/>
    <cellStyle name="Output 2 4 67" xfId="5978"/>
    <cellStyle name="Output 2 4 68" xfId="6397"/>
    <cellStyle name="Output 2 4 69" xfId="6375"/>
    <cellStyle name="Output 2 4 7" xfId="1737"/>
    <cellStyle name="Output 2 4 70" xfId="6537"/>
    <cellStyle name="Output 2 4 71" xfId="6739"/>
    <cellStyle name="Output 2 4 72" xfId="6723"/>
    <cellStyle name="Output 2 4 73" xfId="6519"/>
    <cellStyle name="Output 2 4 74" xfId="6833"/>
    <cellStyle name="Output 2 4 75" xfId="6902"/>
    <cellStyle name="Output 2 4 76" xfId="6896"/>
    <cellStyle name="Output 2 4 77" xfId="6523"/>
    <cellStyle name="Output 2 4 78" xfId="7521"/>
    <cellStyle name="Output 2 4 79" xfId="7629"/>
    <cellStyle name="Output 2 4 8" xfId="2020"/>
    <cellStyle name="Output 2 4 80" xfId="7595"/>
    <cellStyle name="Output 2 4 81" xfId="7704"/>
    <cellStyle name="Output 2 4 82" xfId="7817"/>
    <cellStyle name="Output 2 4 83" xfId="7324"/>
    <cellStyle name="Output 2 4 9" xfId="2279"/>
    <cellStyle name="Output 2 40" xfId="4630"/>
    <cellStyle name="Output 2 41" xfId="4424"/>
    <cellStyle name="Output 2 42" xfId="4145"/>
    <cellStyle name="Output 2 43" xfId="3831"/>
    <cellStyle name="Output 2 44" xfId="4992"/>
    <cellStyle name="Output 2 45" xfId="5262"/>
    <cellStyle name="Output 2 46" xfId="5061"/>
    <cellStyle name="Output 2 47" xfId="4142"/>
    <cellStyle name="Output 2 48" xfId="5431"/>
    <cellStyle name="Output 2 49" xfId="3801"/>
    <cellStyle name="Output 2 5" xfId="952"/>
    <cellStyle name="Output 2 5 10" xfId="1983"/>
    <cellStyle name="Output 2 5 11" xfId="2403"/>
    <cellStyle name="Output 2 5 12" xfId="1826"/>
    <cellStyle name="Output 2 5 13" xfId="1915"/>
    <cellStyle name="Output 2 5 14" xfId="1891"/>
    <cellStyle name="Output 2 5 15" xfId="2112"/>
    <cellStyle name="Output 2 5 16" xfId="2556"/>
    <cellStyle name="Output 2 5 17" xfId="2433"/>
    <cellStyle name="Output 2 5 18" xfId="2725"/>
    <cellStyle name="Output 2 5 19" xfId="2769"/>
    <cellStyle name="Output 2 5 2" xfId="1619"/>
    <cellStyle name="Output 2 5 2 2" xfId="1710"/>
    <cellStyle name="Output 2 5 2 3" xfId="1732"/>
    <cellStyle name="Output 2 5 20" xfId="2461"/>
    <cellStyle name="Output 2 5 21" xfId="1769"/>
    <cellStyle name="Output 2 5 22" xfId="1745"/>
    <cellStyle name="Output 2 5 23" xfId="2628"/>
    <cellStyle name="Output 2 5 24" xfId="2350"/>
    <cellStyle name="Output 2 5 25" xfId="3093"/>
    <cellStyle name="Output 2 5 26" xfId="2980"/>
    <cellStyle name="Output 2 5 27" xfId="3064"/>
    <cellStyle name="Output 2 5 28" xfId="3223"/>
    <cellStyle name="Output 2 5 29" xfId="3272"/>
    <cellStyle name="Output 2 5 3" xfId="1543"/>
    <cellStyle name="Output 2 5 30" xfId="4042"/>
    <cellStyle name="Output 2 5 31" xfId="4304"/>
    <cellStyle name="Output 2 5 32" xfId="3580"/>
    <cellStyle name="Output 2 5 33" xfId="4269"/>
    <cellStyle name="Output 2 5 34" xfId="4157"/>
    <cellStyle name="Output 2 5 35" xfId="4422"/>
    <cellStyle name="Output 2 5 36" xfId="4394"/>
    <cellStyle name="Output 2 5 37" xfId="4416"/>
    <cellStyle name="Output 2 5 38" xfId="4271"/>
    <cellStyle name="Output 2 5 39" xfId="4505"/>
    <cellStyle name="Output 2 5 4" xfId="1686"/>
    <cellStyle name="Output 2 5 40" xfId="4615"/>
    <cellStyle name="Output 2 5 41" xfId="4326"/>
    <cellStyle name="Output 2 5 42" xfId="4642"/>
    <cellStyle name="Output 2 5 43" xfId="4540"/>
    <cellStyle name="Output 2 5 44" xfId="4339"/>
    <cellStyle name="Output 2 5 45" xfId="4353"/>
    <cellStyle name="Output 2 5 46" xfId="4669"/>
    <cellStyle name="Output 2 5 47" xfId="3881"/>
    <cellStyle name="Output 2 5 48" xfId="4507"/>
    <cellStyle name="Output 2 5 49" xfId="4997"/>
    <cellStyle name="Output 2 5 5" xfId="1153"/>
    <cellStyle name="Output 2 5 50" xfId="4976"/>
    <cellStyle name="Output 2 5 51" xfId="5064"/>
    <cellStyle name="Output 2 5 52" xfId="4698"/>
    <cellStyle name="Output 2 5 53" xfId="5085"/>
    <cellStyle name="Output 2 5 54" xfId="4408"/>
    <cellStyle name="Output 2 5 55" xfId="5065"/>
    <cellStyle name="Output 2 5 56" xfId="5674"/>
    <cellStyle name="Output 2 5 57" xfId="5531"/>
    <cellStyle name="Output 2 5 58" xfId="5580"/>
    <cellStyle name="Output 2 5 59" xfId="5527"/>
    <cellStyle name="Output 2 5 6" xfId="2204"/>
    <cellStyle name="Output 2 5 60" xfId="5638"/>
    <cellStyle name="Output 2 5 61" xfId="5812"/>
    <cellStyle name="Output 2 5 62" xfId="6061"/>
    <cellStyle name="Output 2 5 63" xfId="5861"/>
    <cellStyle name="Output 2 5 64" xfId="5912"/>
    <cellStyle name="Output 2 5 65" xfId="6134"/>
    <cellStyle name="Output 2 5 66" xfId="6021"/>
    <cellStyle name="Output 2 5 67" xfId="5770"/>
    <cellStyle name="Output 2 5 68" xfId="6398"/>
    <cellStyle name="Output 2 5 69" xfId="6359"/>
    <cellStyle name="Output 2 5 7" xfId="2038"/>
    <cellStyle name="Output 2 5 70" xfId="6535"/>
    <cellStyle name="Output 2 5 71" xfId="6554"/>
    <cellStyle name="Output 2 5 72" xfId="6481"/>
    <cellStyle name="Output 2 5 73" xfId="6765"/>
    <cellStyle name="Output 2 5 74" xfId="6905"/>
    <cellStyle name="Output 2 5 75" xfId="6501"/>
    <cellStyle name="Output 2 5 76" xfId="6585"/>
    <cellStyle name="Output 2 5 77" xfId="6951"/>
    <cellStyle name="Output 2 5 78" xfId="7522"/>
    <cellStyle name="Output 2 5 79" xfId="7628"/>
    <cellStyle name="Output 2 5 8" xfId="2124"/>
    <cellStyle name="Output 2 5 80" xfId="7563"/>
    <cellStyle name="Output 2 5 81" xfId="7180"/>
    <cellStyle name="Output 2 5 82" xfId="7759"/>
    <cellStyle name="Output 2 5 83" xfId="7622"/>
    <cellStyle name="Output 2 5 9" xfId="2047"/>
    <cellStyle name="Output 2 50" xfId="5015"/>
    <cellStyle name="Output 2 51" xfId="5671"/>
    <cellStyle name="Output 2 52" xfId="5537"/>
    <cellStyle name="Output 2 53" xfId="5643"/>
    <cellStyle name="Output 2 54" xfId="5530"/>
    <cellStyle name="Output 2 55" xfId="5569"/>
    <cellStyle name="Output 2 56" xfId="5815"/>
    <cellStyle name="Output 2 57" xfId="6057"/>
    <cellStyle name="Output 2 58" xfId="5831"/>
    <cellStyle name="Output 2 59" xfId="6044"/>
    <cellStyle name="Output 2 6" xfId="1279"/>
    <cellStyle name="Output 2 6 10" xfId="4998"/>
    <cellStyle name="Output 2 6 11" xfId="4977"/>
    <cellStyle name="Output 2 6 12" xfId="4388"/>
    <cellStyle name="Output 2 6 13" xfId="4724"/>
    <cellStyle name="Output 2 6 14" xfId="6082"/>
    <cellStyle name="Output 2 6 2" xfId="1388"/>
    <cellStyle name="Output 2 6 3" xfId="1294"/>
    <cellStyle name="Output 2 6 4" xfId="3356"/>
    <cellStyle name="Output 2 6 5" xfId="4817"/>
    <cellStyle name="Output 2 6 6" xfId="4448"/>
    <cellStyle name="Output 2 6 7" xfId="4787"/>
    <cellStyle name="Output 2 6 8" xfId="3987"/>
    <cellStyle name="Output 2 6 9" xfId="4404"/>
    <cellStyle name="Output 2 60" xfId="5942"/>
    <cellStyle name="Output 2 61" xfId="6121"/>
    <cellStyle name="Output 2 62" xfId="5850"/>
    <cellStyle name="Output 2 63" xfId="5920"/>
    <cellStyle name="Output 2 64" xfId="6395"/>
    <cellStyle name="Output 2 65" xfId="6364"/>
    <cellStyle name="Output 2 66" xfId="6539"/>
    <cellStyle name="Output 2 67" xfId="6737"/>
    <cellStyle name="Output 2 68" xfId="6847"/>
    <cellStyle name="Output 2 69" xfId="6482"/>
    <cellStyle name="Output 2 7" xfId="1780"/>
    <cellStyle name="Output 2 70" xfId="6875"/>
    <cellStyle name="Output 2 71" xfId="6846"/>
    <cellStyle name="Output 2 72" xfId="6577"/>
    <cellStyle name="Output 2 73" xfId="7519"/>
    <cellStyle name="Output 2 74" xfId="7632"/>
    <cellStyle name="Output 2 75" xfId="7015"/>
    <cellStyle name="Output 2 76" xfId="7637"/>
    <cellStyle name="Output 2 77" xfId="7053"/>
    <cellStyle name="Output 2 78" xfId="7831"/>
    <cellStyle name="Output 2 8" xfId="1793"/>
    <cellStyle name="Output 2 9" xfId="2395"/>
    <cellStyle name="Output 3" xfId="503"/>
    <cellStyle name="paint" xfId="504"/>
    <cellStyle name="paint 2" xfId="7523"/>
    <cellStyle name="per.style" xfId="890"/>
    <cellStyle name="per.style 2" xfId="6970"/>
    <cellStyle name="Percent" xfId="725" builtinId="5"/>
    <cellStyle name="Percent [0]" xfId="505"/>
    <cellStyle name="Percent [0] 2" xfId="506"/>
    <cellStyle name="Percent [0] 2 2" xfId="507"/>
    <cellStyle name="Percent [0] 2 3" xfId="1544"/>
    <cellStyle name="Percent [0] 2 4" xfId="7525"/>
    <cellStyle name="Percent [0] 3" xfId="508"/>
    <cellStyle name="Percent [0] 3 2" xfId="1545"/>
    <cellStyle name="Percent [0] 3 3" xfId="7527"/>
    <cellStyle name="Percent [0] 4" xfId="786"/>
    <cellStyle name="Percent [0] 4 2" xfId="7242"/>
    <cellStyle name="Percent [0] 5" xfId="4923"/>
    <cellStyle name="Percent [0] 6" xfId="7524"/>
    <cellStyle name="Percent [00]" xfId="509"/>
    <cellStyle name="Percent [00] 2" xfId="510"/>
    <cellStyle name="Percent [00] 2 2" xfId="511"/>
    <cellStyle name="Percent [00] 2 3" xfId="1547"/>
    <cellStyle name="Percent [00] 2 4" xfId="7029"/>
    <cellStyle name="Percent [00] 3" xfId="512"/>
    <cellStyle name="Percent [00] 3 2" xfId="1548"/>
    <cellStyle name="Percent [00] 3 3" xfId="7352"/>
    <cellStyle name="Percent [00] 4" xfId="787"/>
    <cellStyle name="Percent [00] 4 2" xfId="7087"/>
    <cellStyle name="Percent [00] 5" xfId="7378"/>
    <cellStyle name="Percent [2]" xfId="513"/>
    <cellStyle name="Percent [2] 2" xfId="514"/>
    <cellStyle name="Percent [2] 2 2" xfId="515"/>
    <cellStyle name="Percent [2] 2 3" xfId="1549"/>
    <cellStyle name="Percent [2] 2 4" xfId="7529"/>
    <cellStyle name="Percent [2] 3" xfId="516"/>
    <cellStyle name="Percent [2] 3 2" xfId="1550"/>
    <cellStyle name="Percent [2] 3 3" xfId="7530"/>
    <cellStyle name="Percent [2] 4" xfId="788"/>
    <cellStyle name="Percent [2] 4 2" xfId="7419"/>
    <cellStyle name="Percent [2] 5" xfId="7528"/>
    <cellStyle name="Percent 10" xfId="517"/>
    <cellStyle name="Percent 10 2" xfId="4051"/>
    <cellStyle name="Percent 100" xfId="6850"/>
    <cellStyle name="Percent 101" xfId="6871"/>
    <cellStyle name="Percent 102" xfId="6447"/>
    <cellStyle name="Percent 11" xfId="518"/>
    <cellStyle name="Percent 11 2" xfId="1012"/>
    <cellStyle name="Percent 11 2 2" xfId="1551"/>
    <cellStyle name="Percent 11 2 3" xfId="7471"/>
    <cellStyle name="Percent 11 3" xfId="930"/>
    <cellStyle name="Percent 11 3 2" xfId="1596"/>
    <cellStyle name="Percent 11 3 3" xfId="7472"/>
    <cellStyle name="Percent 11 4" xfId="1553"/>
    <cellStyle name="Percent 11 4 2" xfId="7474"/>
    <cellStyle name="Percent 11 5" xfId="3429"/>
    <cellStyle name="Percent 11 5 2" xfId="1095"/>
    <cellStyle name="Percent 11 5 2 2" xfId="2307"/>
    <cellStyle name="Percent 11 5 2 2 2" xfId="3405"/>
    <cellStyle name="Percent 11 6" xfId="7531"/>
    <cellStyle name="Percent 12" xfId="519"/>
    <cellStyle name="Percent 12 2" xfId="4053"/>
    <cellStyle name="Percent 13" xfId="520"/>
    <cellStyle name="Percent 13 2" xfId="4054"/>
    <cellStyle name="Percent 14" xfId="521"/>
    <cellStyle name="Percent 14 2" xfId="4055"/>
    <cellStyle name="Percent 15" xfId="522"/>
    <cellStyle name="Percent 15 2" xfId="4056"/>
    <cellStyle name="Percent 16" xfId="523"/>
    <cellStyle name="Percent 16 2" xfId="4058"/>
    <cellStyle name="Percent 17" xfId="524"/>
    <cellStyle name="Percent 17 2" xfId="4060"/>
    <cellStyle name="Percent 18" xfId="525"/>
    <cellStyle name="Percent 18 2" xfId="4062"/>
    <cellStyle name="Percent 19" xfId="526"/>
    <cellStyle name="Percent 19 2" xfId="3500"/>
    <cellStyle name="Percent 2" xfId="527"/>
    <cellStyle name="Percent 2 2" xfId="528"/>
    <cellStyle name="Percent 2 2 2" xfId="3407"/>
    <cellStyle name="Percent 2 2 3" xfId="7360"/>
    <cellStyle name="Percent 2 3" xfId="529"/>
    <cellStyle name="Percent 2 3 2" xfId="1554"/>
    <cellStyle name="Percent 2 3 3" xfId="7535"/>
    <cellStyle name="Percent 2 4" xfId="789"/>
    <cellStyle name="Percent 2 4 2" xfId="7537"/>
    <cellStyle name="Percent 2 5" xfId="1555"/>
    <cellStyle name="Percent 2 5 2" xfId="7538"/>
    <cellStyle name="Percent 2 6" xfId="7273"/>
    <cellStyle name="Percent 20" xfId="530"/>
    <cellStyle name="Percent 20 2" xfId="4057"/>
    <cellStyle name="Percent 21" xfId="531"/>
    <cellStyle name="Percent 21 2" xfId="4059"/>
    <cellStyle name="Percent 22" xfId="532"/>
    <cellStyle name="Percent 22 2" xfId="4061"/>
    <cellStyle name="Percent 23" xfId="533"/>
    <cellStyle name="Percent 23 2" xfId="4063"/>
    <cellStyle name="Percent 24" xfId="534"/>
    <cellStyle name="Percent 24 2" xfId="3499"/>
    <cellStyle name="Percent 25" xfId="535"/>
    <cellStyle name="Percent 25 2" xfId="3471"/>
    <cellStyle name="Percent 26" xfId="536"/>
    <cellStyle name="Percent 26 2" xfId="3990"/>
    <cellStyle name="Percent 27" xfId="537"/>
    <cellStyle name="Percent 27 2" xfId="3993"/>
    <cellStyle name="Percent 28" xfId="538"/>
    <cellStyle name="Percent 28 2" xfId="4068"/>
    <cellStyle name="Percent 29" xfId="539"/>
    <cellStyle name="Percent 29 2" xfId="4070"/>
    <cellStyle name="Percent 3" xfId="540"/>
    <cellStyle name="Percent 3 2" xfId="990"/>
    <cellStyle name="Percent 3 2 2" xfId="1556"/>
    <cellStyle name="Percent 3 2 3" xfId="7543"/>
    <cellStyle name="Percent 3 3" xfId="804"/>
    <cellStyle name="Percent 3 3 2" xfId="7544"/>
    <cellStyle name="Percent 3 4" xfId="1558"/>
    <cellStyle name="Percent 3 4 2" xfId="7266"/>
    <cellStyle name="Percent 3 5" xfId="1283"/>
    <cellStyle name="Percent 3 6" xfId="7159"/>
    <cellStyle name="Percent 30" xfId="541"/>
    <cellStyle name="Percent 30 2" xfId="3470"/>
    <cellStyle name="Percent 31" xfId="542"/>
    <cellStyle name="Percent 31 2" xfId="3991"/>
    <cellStyle name="Percent 32" xfId="543"/>
    <cellStyle name="Percent 32 2" xfId="3994"/>
    <cellStyle name="Percent 33" xfId="544"/>
    <cellStyle name="Percent 33 2" xfId="4069"/>
    <cellStyle name="Percent 34" xfId="545"/>
    <cellStyle name="Percent 34 2" xfId="4071"/>
    <cellStyle name="Percent 35" xfId="546"/>
    <cellStyle name="Percent 35 2" xfId="3478"/>
    <cellStyle name="Percent 36" xfId="547"/>
    <cellStyle name="Percent 36 2" xfId="4074"/>
    <cellStyle name="Percent 37" xfId="548"/>
    <cellStyle name="Percent 37 2" xfId="1060"/>
    <cellStyle name="Percent 37 3" xfId="1342"/>
    <cellStyle name="Percent 37 4" xfId="7546"/>
    <cellStyle name="Percent 38" xfId="549"/>
    <cellStyle name="Percent 38 2" xfId="1061"/>
    <cellStyle name="Percent 38 3" xfId="1343"/>
    <cellStyle name="Percent 38 4" xfId="7548"/>
    <cellStyle name="Percent 39" xfId="550"/>
    <cellStyle name="Percent 39 2" xfId="1062"/>
    <cellStyle name="Percent 39 3" xfId="1344"/>
    <cellStyle name="Percent 39 4" xfId="7550"/>
    <cellStyle name="Percent 4" xfId="551"/>
    <cellStyle name="Percent 4 2" xfId="7162"/>
    <cellStyle name="Percent 40" xfId="552"/>
    <cellStyle name="Percent 40 2" xfId="1071"/>
    <cellStyle name="Percent 40 3" xfId="1347"/>
    <cellStyle name="Percent 40 4" xfId="7021"/>
    <cellStyle name="Percent 41" xfId="553"/>
    <cellStyle name="Percent 41 2" xfId="1082"/>
    <cellStyle name="Percent 41 2 2" xfId="1588"/>
    <cellStyle name="Percent 41 2 3" xfId="2318"/>
    <cellStyle name="Percent 41 2 4" xfId="7500"/>
    <cellStyle name="Percent 41 3" xfId="1097"/>
    <cellStyle name="Percent 41 3 2" xfId="3267"/>
    <cellStyle name="Percent 41 4" xfId="973"/>
    <cellStyle name="Percent 41 5" xfId="7545"/>
    <cellStyle name="Percent 42" xfId="1089"/>
    <cellStyle name="Percent 42 2" xfId="1356"/>
    <cellStyle name="Percent 42 3" xfId="5399"/>
    <cellStyle name="Percent 42 4" xfId="7547"/>
    <cellStyle name="Percent 43" xfId="1151"/>
    <cellStyle name="Percent 43 2" xfId="1586"/>
    <cellStyle name="Percent 43 3" xfId="5052"/>
    <cellStyle name="Percent 43 4" xfId="7549"/>
    <cellStyle name="Percent 44" xfId="1591"/>
    <cellStyle name="Percent 44 2" xfId="5701"/>
    <cellStyle name="Percent 44 2 2" xfId="5752"/>
    <cellStyle name="Percent 45" xfId="1620"/>
    <cellStyle name="Percent 45 2" xfId="6890"/>
    <cellStyle name="Percent 46" xfId="1621"/>
    <cellStyle name="Percent 47" xfId="1274"/>
    <cellStyle name="Percent 48" xfId="1161"/>
    <cellStyle name="Percent 49" xfId="1650"/>
    <cellStyle name="Percent 5" xfId="554"/>
    <cellStyle name="Percent 5 2" xfId="3648"/>
    <cellStyle name="Percent 50" xfId="1171"/>
    <cellStyle name="Percent 51" xfId="2303"/>
    <cellStyle name="Percent 52" xfId="2386"/>
    <cellStyle name="Percent 53" xfId="2425"/>
    <cellStyle name="Percent 54" xfId="2439"/>
    <cellStyle name="Percent 55" xfId="2490"/>
    <cellStyle name="Percent 56" xfId="2535"/>
    <cellStyle name="Percent 57" xfId="2570"/>
    <cellStyle name="Percent 58" xfId="2621"/>
    <cellStyle name="Percent 59" xfId="2669"/>
    <cellStyle name="Percent 6" xfId="555"/>
    <cellStyle name="Percent 6 2" xfId="4077"/>
    <cellStyle name="Percent 60" xfId="2702"/>
    <cellStyle name="Percent 61" xfId="2674"/>
    <cellStyle name="Percent 62" xfId="2719"/>
    <cellStyle name="Percent 63" xfId="2748"/>
    <cellStyle name="Percent 64" xfId="2754"/>
    <cellStyle name="Percent 65" xfId="2812"/>
    <cellStyle name="Percent 66" xfId="2822"/>
    <cellStyle name="Percent 67" xfId="2849"/>
    <cellStyle name="Percent 68" xfId="2893"/>
    <cellStyle name="Percent 69" xfId="2919"/>
    <cellStyle name="Percent 7" xfId="556"/>
    <cellStyle name="Percent 7 2" xfId="4078"/>
    <cellStyle name="Percent 70" xfId="2945"/>
    <cellStyle name="Percent 71" xfId="2947"/>
    <cellStyle name="Percent 72" xfId="3147"/>
    <cellStyle name="Percent 73" xfId="3160"/>
    <cellStyle name="Percent 74" xfId="3099"/>
    <cellStyle name="Percent 75" xfId="3171"/>
    <cellStyle name="Percent 76" xfId="3182"/>
    <cellStyle name="Percent 77" xfId="3265"/>
    <cellStyle name="Percent 78" xfId="5424"/>
    <cellStyle name="Percent 79" xfId="5466"/>
    <cellStyle name="Percent 8" xfId="557"/>
    <cellStyle name="Percent 8 2" xfId="7553"/>
    <cellStyle name="Percent 80" xfId="4439"/>
    <cellStyle name="Percent 81" xfId="4807"/>
    <cellStyle name="Percent 82" xfId="5480"/>
    <cellStyle name="Percent 83" xfId="5705"/>
    <cellStyle name="Percent 84" xfId="5721"/>
    <cellStyle name="Percent 85" xfId="5736"/>
    <cellStyle name="Percent 86" xfId="5751"/>
    <cellStyle name="Percent 87" xfId="5757"/>
    <cellStyle name="Percent 88" xfId="5761"/>
    <cellStyle name="Percent 89" xfId="6244"/>
    <cellStyle name="Percent 9" xfId="558"/>
    <cellStyle name="Percent 9 2" xfId="7518"/>
    <cellStyle name="Percent 90" xfId="6265"/>
    <cellStyle name="Percent 91" xfId="6279"/>
    <cellStyle name="Percent 92" xfId="6305"/>
    <cellStyle name="Percent 93" xfId="6329"/>
    <cellStyle name="Percent 94" xfId="6098"/>
    <cellStyle name="Percent 95" xfId="6378"/>
    <cellStyle name="Percent 96" xfId="6419"/>
    <cellStyle name="Percent 97" xfId="6424"/>
    <cellStyle name="Percent 98" xfId="6803"/>
    <cellStyle name="Percent 99" xfId="6823"/>
    <cellStyle name="Percent[0]" xfId="891"/>
    <cellStyle name="Percent[0] 2" xfId="3678"/>
    <cellStyle name="Percent[2]" xfId="892"/>
    <cellStyle name="Percent[2] 2" xfId="4080"/>
    <cellStyle name="Preliminary_Data" xfId="893"/>
    <cellStyle name="PrePop Currency (0)" xfId="559"/>
    <cellStyle name="PrePop Currency (0) 2" xfId="560"/>
    <cellStyle name="PrePop Currency (0) 2 2" xfId="561"/>
    <cellStyle name="PrePop Currency (0) 2 3" xfId="7554"/>
    <cellStyle name="PrePop Currency (0) 3" xfId="562"/>
    <cellStyle name="PrePop Currency (0) 3 2" xfId="7358"/>
    <cellStyle name="PrePop Currency (0) 4" xfId="1559"/>
    <cellStyle name="PrePop Currency (0) 4 2" xfId="7304"/>
    <cellStyle name="PrePop Currency (0) 5" xfId="7392"/>
    <cellStyle name="PrePop Currency (0)_31311 YR9 ECN DETAILS" xfId="563"/>
    <cellStyle name="PrePop Currency (2)" xfId="564"/>
    <cellStyle name="PrePop Currency (2) 2" xfId="565"/>
    <cellStyle name="PrePop Currency (2) 2 2" xfId="566"/>
    <cellStyle name="PrePop Currency (2) 2 3" xfId="1560"/>
    <cellStyle name="PrePop Currency (2) 2 4" xfId="7211"/>
    <cellStyle name="PrePop Currency (2) 3" xfId="567"/>
    <cellStyle name="PrePop Currency (2) 3 2" xfId="1561"/>
    <cellStyle name="PrePop Currency (2) 3 3" xfId="7556"/>
    <cellStyle name="PrePop Currency (2) 4" xfId="790"/>
    <cellStyle name="PrePop Currency (2) 4 2" xfId="7557"/>
    <cellStyle name="PrePop Currency (2) 5" xfId="7555"/>
    <cellStyle name="PrePop Units (0)" xfId="568"/>
    <cellStyle name="PrePop Units (0) 2" xfId="569"/>
    <cellStyle name="PrePop Units (0) 2 2" xfId="570"/>
    <cellStyle name="PrePop Units (0) 2 3" xfId="7065"/>
    <cellStyle name="PrePop Units (0) 3" xfId="571"/>
    <cellStyle name="PrePop Units (0) 3 2" xfId="7558"/>
    <cellStyle name="PrePop Units (0) 4" xfId="1562"/>
    <cellStyle name="PrePop Units (0) 4 2" xfId="7560"/>
    <cellStyle name="PrePop Units (0) 5" xfId="7295"/>
    <cellStyle name="PrePop Units (0)_31311 YR9 ECN DETAILS" xfId="572"/>
    <cellStyle name="PrePop Units (1)" xfId="573"/>
    <cellStyle name="PrePop Units (1) 2" xfId="574"/>
    <cellStyle name="PrePop Units (1) 2 2" xfId="575"/>
    <cellStyle name="PrePop Units (1) 2 3" xfId="1563"/>
    <cellStyle name="PrePop Units (1) 2 4" xfId="7562"/>
    <cellStyle name="PrePop Units (1) 3" xfId="576"/>
    <cellStyle name="PrePop Units (1) 3 2" xfId="1564"/>
    <cellStyle name="PrePop Units (1) 3 3" xfId="7564"/>
    <cellStyle name="PrePop Units (1) 4" xfId="791"/>
    <cellStyle name="PrePop Units (1) 4 2" xfId="7188"/>
    <cellStyle name="PrePop Units (1) 5" xfId="7561"/>
    <cellStyle name="PrePop Units (2)" xfId="577"/>
    <cellStyle name="PrePop Units (2) 2" xfId="578"/>
    <cellStyle name="PrePop Units (2) 2 2" xfId="579"/>
    <cellStyle name="PrePop Units (2) 2 3" xfId="1565"/>
    <cellStyle name="PrePop Units (2) 2 4" xfId="7566"/>
    <cellStyle name="PrePop Units (2) 3" xfId="580"/>
    <cellStyle name="PrePop Units (2) 3 2" xfId="1566"/>
    <cellStyle name="PrePop Units (2) 3 3" xfId="6977"/>
    <cellStyle name="PrePop Units (2) 4" xfId="792"/>
    <cellStyle name="PrePop Units (2) 4 2" xfId="7312"/>
    <cellStyle name="PrePop Units (2) 5" xfId="7565"/>
    <cellStyle name="Prices_Data" xfId="894"/>
    <cellStyle name="PSChar" xfId="581"/>
    <cellStyle name="PSChar 2" xfId="582"/>
    <cellStyle name="PSChar 2 2" xfId="583"/>
    <cellStyle name="PSChar 2 3" xfId="1567"/>
    <cellStyle name="PSChar 2 4" xfId="7007"/>
    <cellStyle name="PSChar 3" xfId="584"/>
    <cellStyle name="PSChar 3 2" xfId="1568"/>
    <cellStyle name="PSChar 3 3" xfId="7009"/>
    <cellStyle name="PSChar 4" xfId="793"/>
    <cellStyle name="PSChar 4 2" xfId="7058"/>
    <cellStyle name="PSChar 5" xfId="4964"/>
    <cellStyle name="PSChar 6" xfId="7511"/>
    <cellStyle name="PSDate" xfId="585"/>
    <cellStyle name="PSDate 2" xfId="586"/>
    <cellStyle name="PSDate 2 2" xfId="587"/>
    <cellStyle name="PSDate 2 3" xfId="1569"/>
    <cellStyle name="PSDate 2 4" xfId="7305"/>
    <cellStyle name="PSDate 3" xfId="588"/>
    <cellStyle name="PSDate 3 2" xfId="1570"/>
    <cellStyle name="PSDate 3 3" xfId="7052"/>
    <cellStyle name="PSDate 4" xfId="794"/>
    <cellStyle name="PSDate 4 2" xfId="7567"/>
    <cellStyle name="PSDate 5" xfId="4968"/>
    <cellStyle name="PSDate 6" xfId="7020"/>
    <cellStyle name="PSDec" xfId="589"/>
    <cellStyle name="PSDec 2" xfId="590"/>
    <cellStyle name="PSDec 2 2" xfId="591"/>
    <cellStyle name="PSDec 2 3" xfId="1571"/>
    <cellStyle name="PSDec 2 4" xfId="6987"/>
    <cellStyle name="PSDec 3" xfId="592"/>
    <cellStyle name="PSDec 3 2" xfId="1572"/>
    <cellStyle name="PSDec 3 3" xfId="6969"/>
    <cellStyle name="PSDec 4" xfId="795"/>
    <cellStyle name="PSDec 4 2" xfId="7080"/>
    <cellStyle name="PSDec 5" xfId="4972"/>
    <cellStyle name="PSDec 6" xfId="7568"/>
    <cellStyle name="PSHeading" xfId="593"/>
    <cellStyle name="PSHeading 2" xfId="594"/>
    <cellStyle name="PSHeading 2 2" xfId="595"/>
    <cellStyle name="PSHeading 2 3" xfId="1573"/>
    <cellStyle name="PSHeading 2 4" xfId="3613"/>
    <cellStyle name="PSHeading 3" xfId="596"/>
    <cellStyle name="PSHeading 3 2" xfId="1574"/>
    <cellStyle name="PSHeading 3 3" xfId="3617"/>
    <cellStyle name="PSHeading 4" xfId="796"/>
    <cellStyle name="PSHeading 4 2" xfId="3620"/>
    <cellStyle name="PSHeading 5" xfId="3444"/>
    <cellStyle name="PSHeading 6" xfId="4974"/>
    <cellStyle name="PSHeading 7" xfId="4929"/>
    <cellStyle name="PSInt" xfId="597"/>
    <cellStyle name="PSInt 2" xfId="598"/>
    <cellStyle name="PSInt 2 2" xfId="599"/>
    <cellStyle name="PSInt 2 3" xfId="1575"/>
    <cellStyle name="PSInt 2 4" xfId="7569"/>
    <cellStyle name="PSInt 3" xfId="600"/>
    <cellStyle name="PSInt 3 2" xfId="1576"/>
    <cellStyle name="PSInt 3 3" xfId="7570"/>
    <cellStyle name="PSInt 4" xfId="797"/>
    <cellStyle name="PSInt 4 2" xfId="7571"/>
    <cellStyle name="PSInt 5" xfId="4978"/>
    <cellStyle name="PSInt 6" xfId="6972"/>
    <cellStyle name="PSSpacer" xfId="601"/>
    <cellStyle name="PSSpacer 2" xfId="602"/>
    <cellStyle name="PSSpacer 2 2" xfId="603"/>
    <cellStyle name="PSSpacer 2 3" xfId="1577"/>
    <cellStyle name="PSSpacer 2 4" xfId="7573"/>
    <cellStyle name="PSSpacer 3" xfId="604"/>
    <cellStyle name="PSSpacer 3 2" xfId="1578"/>
    <cellStyle name="PSSpacer 3 3" xfId="7251"/>
    <cellStyle name="PSSpacer 4" xfId="798"/>
    <cellStyle name="PSSpacer 4 2" xfId="7574"/>
    <cellStyle name="PSSpacer 5" xfId="4980"/>
    <cellStyle name="PSSpacer 6" xfId="7572"/>
    <cellStyle name="RASIC FGP Suzuki" xfId="605"/>
    <cellStyle name="Sheet Title" xfId="606"/>
    <cellStyle name="Sheet Title 2" xfId="4098"/>
    <cellStyle name="Sheet Title 3" xfId="7575"/>
    <cellStyle name="STANDARD" xfId="607"/>
    <cellStyle name="STANDARD 2" xfId="608"/>
    <cellStyle name="STANDARD 2 2" xfId="609"/>
    <cellStyle name="STANDARD 2 3" xfId="1579"/>
    <cellStyle name="STANDARD 2 4" xfId="3718"/>
    <cellStyle name="STANDARD 3" xfId="610"/>
    <cellStyle name="STANDARD 3 2" xfId="1580"/>
    <cellStyle name="STANDARD 3 3" xfId="3721"/>
    <cellStyle name="STANDARD 4" xfId="799"/>
    <cellStyle name="STANDARD 4 2" xfId="3576"/>
    <cellStyle name="STANDARD 5" xfId="3716"/>
    <cellStyle name="STANDARD 6" xfId="4983"/>
    <cellStyle name="STYL1 - Style1" xfId="611"/>
    <cellStyle name="STYL1 - Style1 2" xfId="612"/>
    <cellStyle name="STYL1 - Style1 2 2" xfId="613"/>
    <cellStyle name="STYL1 - Style1 3" xfId="614"/>
    <cellStyle name="STYL1 - Style1 4" xfId="7576"/>
    <cellStyle name="STYL2 - Style2" xfId="615"/>
    <cellStyle name="STYL2 - Style2 2" xfId="616"/>
    <cellStyle name="STYL2 - Style2 2 2" xfId="617"/>
    <cellStyle name="STYL2 - Style2 3" xfId="618"/>
    <cellStyle name="STYL2 - Style2 4" xfId="7577"/>
    <cellStyle name="STYL3 - Style3" xfId="619"/>
    <cellStyle name="STYL3 - Style3 2" xfId="620"/>
    <cellStyle name="STYL3 - Style3 2 2" xfId="621"/>
    <cellStyle name="STYL3 - Style3 3" xfId="622"/>
    <cellStyle name="STYL3 - Style3 4" xfId="7413"/>
    <cellStyle name="STYL4 - Style4" xfId="623"/>
    <cellStyle name="STYL4 - Style4 2" xfId="624"/>
    <cellStyle name="STYL4 - Style4 2 2" xfId="625"/>
    <cellStyle name="STYL4 - Style4 3" xfId="626"/>
    <cellStyle name="STYL4 - Style4 4" xfId="7578"/>
    <cellStyle name="STYL5 - Style5" xfId="627"/>
    <cellStyle name="STYL5 - Style5 2" xfId="628"/>
    <cellStyle name="STYL5 - Style5 2 2" xfId="629"/>
    <cellStyle name="STYL5 - Style5 3" xfId="630"/>
    <cellStyle name="STYL5 - Style5 4" xfId="7480"/>
    <cellStyle name="Style 1" xfId="631"/>
    <cellStyle name="Style 1 2" xfId="632"/>
    <cellStyle name="Style 1 2 2" xfId="633"/>
    <cellStyle name="Style 1 3" xfId="634"/>
    <cellStyle name="Style 1 4" xfId="7333"/>
    <cellStyle name="subhead" xfId="895"/>
    <cellStyle name="subhead 2" xfId="4102"/>
    <cellStyle name="Text Indent A" xfId="635"/>
    <cellStyle name="Text Indent A 2" xfId="7400"/>
    <cellStyle name="Text Indent B" xfId="636"/>
    <cellStyle name="Text Indent B 2" xfId="637"/>
    <cellStyle name="Text Indent B 2 2" xfId="638"/>
    <cellStyle name="Text Indent B 2 3" xfId="1581"/>
    <cellStyle name="Text Indent B 2 4" xfId="7579"/>
    <cellStyle name="Text Indent B 3" xfId="639"/>
    <cellStyle name="Text Indent B 3 2" xfId="1582"/>
    <cellStyle name="Text Indent B 3 3" xfId="7064"/>
    <cellStyle name="Text Indent B 4" xfId="800"/>
    <cellStyle name="Text Indent B 4 2" xfId="7559"/>
    <cellStyle name="Text Indent B 5" xfId="7403"/>
    <cellStyle name="Text Indent C" xfId="640"/>
    <cellStyle name="Text Indent C 2" xfId="641"/>
    <cellStyle name="Text Indent C 2 2" xfId="642"/>
    <cellStyle name="Text Indent C 2 3" xfId="986"/>
    <cellStyle name="Text Indent C 2 4" xfId="7581"/>
    <cellStyle name="Text Indent C 3" xfId="643"/>
    <cellStyle name="Text Indent C 3 2" xfId="1583"/>
    <cellStyle name="Text Indent C 3 3" xfId="7582"/>
    <cellStyle name="Text Indent C 4" xfId="801"/>
    <cellStyle name="Text Indent C 4 2" xfId="7583"/>
    <cellStyle name="Text Indent C 5" xfId="7580"/>
    <cellStyle name="Text Indent C_31311 YR9 ECN DETAILS" xfId="644"/>
    <cellStyle name="Title 2" xfId="645"/>
    <cellStyle name="Title 2 2" xfId="3455"/>
    <cellStyle name="Title 2 3" xfId="7002"/>
    <cellStyle name="Title 3" xfId="646"/>
    <cellStyle name="Total 2" xfId="647"/>
    <cellStyle name="Total 2 10" xfId="2167"/>
    <cellStyle name="Total 2 11" xfId="2206"/>
    <cellStyle name="Total 2 12" xfId="2012"/>
    <cellStyle name="Total 2 13" xfId="2216"/>
    <cellStyle name="Total 2 14" xfId="2495"/>
    <cellStyle name="Total 2 15" xfId="2779"/>
    <cellStyle name="Total 2 16" xfId="2275"/>
    <cellStyle name="Total 2 17" xfId="2701"/>
    <cellStyle name="Total 2 18" xfId="1932"/>
    <cellStyle name="Total 2 19" xfId="2852"/>
    <cellStyle name="Total 2 2" xfId="648"/>
    <cellStyle name="Total 2 2 10" xfId="1756"/>
    <cellStyle name="Total 2 2 11" xfId="2607"/>
    <cellStyle name="Total 2 2 12" xfId="2574"/>
    <cellStyle name="Total 2 2 13" xfId="2528"/>
    <cellStyle name="Total 2 2 14" xfId="2205"/>
    <cellStyle name="Total 2 2 15" xfId="2455"/>
    <cellStyle name="Total 2 2 16" xfId="2810"/>
    <cellStyle name="Total 2 2 17" xfId="2782"/>
    <cellStyle name="Total 2 2 18" xfId="2879"/>
    <cellStyle name="Total 2 2 19" xfId="3039"/>
    <cellStyle name="Total 2 2 2" xfId="1063"/>
    <cellStyle name="Total 2 2 2 10" xfId="2519"/>
    <cellStyle name="Total 2 2 2 11" xfId="2548"/>
    <cellStyle name="Total 2 2 2 12" xfId="2596"/>
    <cellStyle name="Total 2 2 2 13" xfId="2645"/>
    <cellStyle name="Total 2 2 2 14" xfId="1974"/>
    <cellStyle name="Total 2 2 2 15" xfId="2683"/>
    <cellStyle name="Total 2 2 2 16" xfId="2334"/>
    <cellStyle name="Total 2 2 2 17" xfId="2830"/>
    <cellStyle name="Total 2 2 2 18" xfId="2871"/>
    <cellStyle name="Total 2 2 2 19" xfId="2899"/>
    <cellStyle name="Total 2 2 2 2" xfId="1144"/>
    <cellStyle name="Total 2 2 2 20" xfId="2926"/>
    <cellStyle name="Total 2 2 2 21" xfId="3140"/>
    <cellStyle name="Total 2 2 2 22" xfId="3096"/>
    <cellStyle name="Total 2 2 2 23" xfId="3164"/>
    <cellStyle name="Total 2 2 2 24" xfId="3175"/>
    <cellStyle name="Total 2 2 2 25" xfId="3251"/>
    <cellStyle name="Total 2 2 2 26" xfId="4999"/>
    <cellStyle name="Total 2 2 2 27" xfId="5070"/>
    <cellStyle name="Total 2 2 2 28" xfId="5027"/>
    <cellStyle name="Total 2 2 2 29" xfId="5101"/>
    <cellStyle name="Total 2 2 2 3" xfId="1163"/>
    <cellStyle name="Total 2 2 2 30" xfId="5075"/>
    <cellStyle name="Total 2 2 2 31" xfId="5248"/>
    <cellStyle name="Total 2 2 2 32" xfId="5235"/>
    <cellStyle name="Total 2 2 2 33" xfId="5373"/>
    <cellStyle name="Total 2 2 2 34" xfId="5379"/>
    <cellStyle name="Total 2 2 2 35" xfId="5393"/>
    <cellStyle name="Total 2 2 2 36" xfId="5767"/>
    <cellStyle name="Total 2 2 2 37" xfId="6368"/>
    <cellStyle name="Total 2 2 2 4" xfId="1240"/>
    <cellStyle name="Total 2 2 2 5" xfId="1208"/>
    <cellStyle name="Total 2 2 2 6" xfId="2296"/>
    <cellStyle name="Total 2 2 2 7" xfId="2361"/>
    <cellStyle name="Total 2 2 2 8" xfId="2265"/>
    <cellStyle name="Total 2 2 2 9" xfId="2467"/>
    <cellStyle name="Total 2 2 20" xfId="3139"/>
    <cellStyle name="Total 2 2 21" xfId="3023"/>
    <cellStyle name="Total 2 2 22" xfId="3196"/>
    <cellStyle name="Total 2 2 23" xfId="3393"/>
    <cellStyle name="Total 2 2 24" xfId="4108"/>
    <cellStyle name="Total 2 2 25" xfId="4367"/>
    <cellStyle name="Total 2 2 26" xfId="3674"/>
    <cellStyle name="Total 2 2 27" xfId="3862"/>
    <cellStyle name="Total 2 2 28" xfId="4143"/>
    <cellStyle name="Total 2 2 29" xfId="3900"/>
    <cellStyle name="Total 2 2 3" xfId="955"/>
    <cellStyle name="Total 2 2 3 2" xfId="1598"/>
    <cellStyle name="Total 2 2 3 3" xfId="1689"/>
    <cellStyle name="Total 2 2 3 4" xfId="1711"/>
    <cellStyle name="Total 2 2 30" xfId="4421"/>
    <cellStyle name="Total 2 2 31" xfId="3675"/>
    <cellStyle name="Total 2 2 32" xfId="3539"/>
    <cellStyle name="Total 2 2 33" xfId="4650"/>
    <cellStyle name="Total 2 2 34" xfId="4516"/>
    <cellStyle name="Total 2 2 35" xfId="4696"/>
    <cellStyle name="Total 2 2 36" xfId="4355"/>
    <cellStyle name="Total 2 2 37" xfId="4219"/>
    <cellStyle name="Total 2 2 38" xfId="4360"/>
    <cellStyle name="Total 2 2 39" xfId="4793"/>
    <cellStyle name="Total 2 2 4" xfId="1110"/>
    <cellStyle name="Total 2 2 40" xfId="5069"/>
    <cellStyle name="Total 2 2 41" xfId="5025"/>
    <cellStyle name="Total 2 2 42" xfId="5100"/>
    <cellStyle name="Total 2 2 43" xfId="5074"/>
    <cellStyle name="Total 2 2 44" xfId="5247"/>
    <cellStyle name="Total 2 2 45" xfId="5234"/>
    <cellStyle name="Total 2 2 46" xfId="5319"/>
    <cellStyle name="Total 2 2 47" xfId="5378"/>
    <cellStyle name="Total 2 2 48" xfId="3627"/>
    <cellStyle name="Total 2 2 49" xfId="5072"/>
    <cellStyle name="Total 2 2 5" xfId="1677"/>
    <cellStyle name="Total 2 2 50" xfId="5382"/>
    <cellStyle name="Total 2 2 51" xfId="5371"/>
    <cellStyle name="Total 2 2 52" xfId="5713"/>
    <cellStyle name="Total 2 2 53" xfId="5581"/>
    <cellStyle name="Total 2 2 54" xfId="5740"/>
    <cellStyle name="Total 2 2 55" xfId="5728"/>
    <cellStyle name="Total 2 2 56" xfId="5784"/>
    <cellStyle name="Total 2 2 57" xfId="6142"/>
    <cellStyle name="Total 2 2 58" xfId="5789"/>
    <cellStyle name="Total 2 2 59" xfId="6137"/>
    <cellStyle name="Total 2 2 6" xfId="1976"/>
    <cellStyle name="Total 2 2 60" xfId="6124"/>
    <cellStyle name="Total 2 2 61" xfId="6273"/>
    <cellStyle name="Total 2 2 62" xfId="6299"/>
    <cellStyle name="Total 2 2 63" xfId="6160"/>
    <cellStyle name="Total 2 2 64" xfId="5843"/>
    <cellStyle name="Total 2 2 65" xfId="6161"/>
    <cellStyle name="Total 2 2 66" xfId="6466"/>
    <cellStyle name="Total 2 2 67" xfId="6826"/>
    <cellStyle name="Total 2 2 68" xfId="6450"/>
    <cellStyle name="Total 2 2 69" xfId="6589"/>
    <cellStyle name="Total 2 2 7" xfId="2420"/>
    <cellStyle name="Total 2 2 70" xfId="6533"/>
    <cellStyle name="Total 2 2 71" xfId="6917"/>
    <cellStyle name="Total 2 2 72" xfId="6693"/>
    <cellStyle name="Total 2 2 73" xfId="6802"/>
    <cellStyle name="Total 2 2 74" xfId="7584"/>
    <cellStyle name="Total 2 2 75" xfId="7765"/>
    <cellStyle name="Total 2 2 76" xfId="7218"/>
    <cellStyle name="Total 2 2 77" xfId="7131"/>
    <cellStyle name="Total 2 2 78" xfId="7634"/>
    <cellStyle name="Total 2 2 79" xfId="7611"/>
    <cellStyle name="Total 2 2 8" xfId="2401"/>
    <cellStyle name="Total 2 2 80" xfId="7623"/>
    <cellStyle name="Total 2 2 9" xfId="2530"/>
    <cellStyle name="Total 2 20" xfId="2993"/>
    <cellStyle name="Total 2 21" xfId="2988"/>
    <cellStyle name="Total 2 22" xfId="3107"/>
    <cellStyle name="Total 2 23" xfId="3410"/>
    <cellStyle name="Total 2 24" xfId="3895"/>
    <cellStyle name="Total 2 25" xfId="3496"/>
    <cellStyle name="Total 2 26" xfId="3557"/>
    <cellStyle name="Total 2 27" xfId="3584"/>
    <cellStyle name="Total 2 28" xfId="4245"/>
    <cellStyle name="Total 2 29" xfId="3979"/>
    <cellStyle name="Total 2 3" xfId="987"/>
    <cellStyle name="Total 2 3 10" xfId="2564"/>
    <cellStyle name="Total 2 3 11" xfId="2615"/>
    <cellStyle name="Total 2 3 12" xfId="2663"/>
    <cellStyle name="Total 2 3 13" xfId="2538"/>
    <cellStyle name="Total 2 3 14" xfId="2118"/>
    <cellStyle name="Total 2 3 15" xfId="1785"/>
    <cellStyle name="Total 2 3 16" xfId="2843"/>
    <cellStyle name="Total 2 3 17" xfId="2887"/>
    <cellStyle name="Total 2 3 18" xfId="2913"/>
    <cellStyle name="Total 2 3 19" xfId="2939"/>
    <cellStyle name="Total 2 3 2" xfId="1122"/>
    <cellStyle name="Total 2 3 20" xfId="3252"/>
    <cellStyle name="Total 2 3 21" xfId="5000"/>
    <cellStyle name="Total 2 3 22" xfId="5071"/>
    <cellStyle name="Total 2 3 23" xfId="5028"/>
    <cellStyle name="Total 2 3 24" xfId="5102"/>
    <cellStyle name="Total 2 3 25" xfId="5076"/>
    <cellStyle name="Total 2 3 26" xfId="5249"/>
    <cellStyle name="Total 2 3 27" xfId="5236"/>
    <cellStyle name="Total 2 3 28" xfId="5374"/>
    <cellStyle name="Total 2 3 29" xfId="5380"/>
    <cellStyle name="Total 2 3 3" xfId="1224"/>
    <cellStyle name="Total 2 3 30" xfId="6146"/>
    <cellStyle name="Total 2 3 4" xfId="1191"/>
    <cellStyle name="Total 2 3 5" xfId="1228"/>
    <cellStyle name="Total 2 3 6" xfId="2380"/>
    <cellStyle name="Total 2 3 7" xfId="2345"/>
    <cellStyle name="Total 2 3 8" xfId="2484"/>
    <cellStyle name="Total 2 3 9" xfId="2531"/>
    <cellStyle name="Total 2 30" xfId="3649"/>
    <cellStyle name="Total 2 31" xfId="4464"/>
    <cellStyle name="Total 2 32" xfId="4366"/>
    <cellStyle name="Total 2 33" xfId="4717"/>
    <cellStyle name="Total 2 34" xfId="4184"/>
    <cellStyle name="Total 2 35" xfId="4005"/>
    <cellStyle name="Total 2 36" xfId="4285"/>
    <cellStyle name="Total 2 37" xfId="4459"/>
    <cellStyle name="Total 2 38" xfId="3516"/>
    <cellStyle name="Total 2 39" xfId="4496"/>
    <cellStyle name="Total 2 4" xfId="948"/>
    <cellStyle name="Total 2 4 2" xfId="1278"/>
    <cellStyle name="Total 2 4 3" xfId="1178"/>
    <cellStyle name="Total 2 4 4" xfId="1186"/>
    <cellStyle name="Total 2 40" xfId="5068"/>
    <cellStyle name="Total 2 41" xfId="5024"/>
    <cellStyle name="Total 2 42" xfId="5099"/>
    <cellStyle name="Total 2 43" xfId="5073"/>
    <cellStyle name="Total 2 44" xfId="5246"/>
    <cellStyle name="Total 2 45" xfId="5233"/>
    <cellStyle name="Total 2 46" xfId="4894"/>
    <cellStyle name="Total 2 47" xfId="5377"/>
    <cellStyle name="Total 2 48" xfId="4936"/>
    <cellStyle name="Total 2 49" xfId="5128"/>
    <cellStyle name="Total 2 5" xfId="1797"/>
    <cellStyle name="Total 2 50" xfId="5394"/>
    <cellStyle name="Total 2 51" xfId="5609"/>
    <cellStyle name="Total 2 52" xfId="5583"/>
    <cellStyle name="Total 2 53" xfId="5483"/>
    <cellStyle name="Total 2 54" xfId="5642"/>
    <cellStyle name="Total 2 55" xfId="5917"/>
    <cellStyle name="Total 2 56" xfId="6151"/>
    <cellStyle name="Total 2 57" xfId="5955"/>
    <cellStyle name="Total 2 58" xfId="6012"/>
    <cellStyle name="Total 2 59" xfId="6252"/>
    <cellStyle name="Total 2 6" xfId="1789"/>
    <cellStyle name="Total 2 60" xfId="5874"/>
    <cellStyle name="Total 2 61" xfId="6281"/>
    <cellStyle name="Total 2 62" xfId="6316"/>
    <cellStyle name="Total 2 63" xfId="6013"/>
    <cellStyle name="Total 2 64" xfId="6645"/>
    <cellStyle name="Total 2 65" xfId="6677"/>
    <cellStyle name="Total 2 66" xfId="6785"/>
    <cellStyle name="Total 2 67" xfId="6507"/>
    <cellStyle name="Total 2 68" xfId="6927"/>
    <cellStyle name="Total 2 69" xfId="6920"/>
    <cellStyle name="Total 2 7" xfId="1762"/>
    <cellStyle name="Total 2 70" xfId="6727"/>
    <cellStyle name="Total 2 71" xfId="6956"/>
    <cellStyle name="Total 2 72" xfId="7394"/>
    <cellStyle name="Total 2 73" xfId="7696"/>
    <cellStyle name="Total 2 74" xfId="7783"/>
    <cellStyle name="Total 2 75" xfId="7306"/>
    <cellStyle name="Total 2 76" xfId="7785"/>
    <cellStyle name="Total 2 77" xfId="7768"/>
    <cellStyle name="Total 2 78" xfId="7746"/>
    <cellStyle name="Total 2 8" xfId="1966"/>
    <cellStyle name="Total 2 9" xfId="1882"/>
    <cellStyle name="Total 3" xfId="649"/>
    <cellStyle name="Underline" xfId="896"/>
    <cellStyle name="Underline 2" xfId="7585"/>
    <cellStyle name="Unit" xfId="650"/>
    <cellStyle name="Unit 2" xfId="808"/>
    <cellStyle name="Unit 2 2" xfId="4110"/>
    <cellStyle name="Unit 3" xfId="1584"/>
    <cellStyle name="Unit 3 2" xfId="4111"/>
    <cellStyle name="Unit 4" xfId="1585"/>
    <cellStyle name="Unit 4 2" xfId="3725"/>
    <cellStyle name="Unit 5" xfId="3309"/>
    <cellStyle name="Unit 6" xfId="4109"/>
    <cellStyle name="Unit 7" xfId="5001"/>
    <cellStyle name="Unit 8" xfId="6147"/>
    <cellStyle name="Update" xfId="651"/>
    <cellStyle name="Update 2" xfId="7587"/>
    <cellStyle name="Valuta (0)_VERA" xfId="652"/>
    <cellStyle name="Valuta_VERA" xfId="653"/>
    <cellStyle name="Vehicle_Benchmark" xfId="897"/>
    <cellStyle name="Version_Header" xfId="898"/>
    <cellStyle name="Volumes_Data" xfId="899"/>
    <cellStyle name="W_hrung [0]_modela~1" xfId="900"/>
    <cellStyle name="W_hrung [0]_modela~1 2" xfId="7156"/>
    <cellStyle name="W_hrung_modela~1" xfId="901"/>
    <cellStyle name="W_hrung_modela~1 2" xfId="7588"/>
    <cellStyle name="Warning Text 2" xfId="654"/>
    <cellStyle name="Warning Text 2 2" xfId="7589"/>
    <cellStyle name="Warning Text 3" xfId="655"/>
    <cellStyle name="weekly" xfId="902"/>
    <cellStyle name="weekly 2" xfId="7590"/>
    <cellStyle name="W臧rung [0]_pldt" xfId="903"/>
    <cellStyle name="W臧rung_pldt" xfId="904"/>
    <cellStyle name="Yen, 2 decimals" xfId="905"/>
    <cellStyle name="Yen, 2 decimals 2" xfId="7591"/>
    <cellStyle name="Yen, no decimals" xfId="906"/>
    <cellStyle name="Yen, no decimals 2" xfId="7592"/>
    <cellStyle name="アクセント 1" xfId="656"/>
    <cellStyle name="アクセント 1 2" xfId="4120"/>
    <cellStyle name="アクセント 2" xfId="657"/>
    <cellStyle name="アクセント 2 2" xfId="4121"/>
    <cellStyle name="アクセント 3" xfId="658"/>
    <cellStyle name="アクセント 3 2" xfId="4122"/>
    <cellStyle name="アクセント 4" xfId="659"/>
    <cellStyle name="アクセント 4 2" xfId="4123"/>
    <cellStyle name="アクセント 5" xfId="660"/>
    <cellStyle name="アクセント 5 2" xfId="4124"/>
    <cellStyle name="アクセント 6" xfId="661"/>
    <cellStyle name="アクセント 6 2" xfId="4125"/>
    <cellStyle name="タイトル" xfId="662"/>
    <cellStyle name="タイトル 2" xfId="4126"/>
    <cellStyle name="チェック セル" xfId="663"/>
    <cellStyle name="チェック セル 2" xfId="3523"/>
    <cellStyle name="どちらでもない" xfId="664"/>
    <cellStyle name="どちらでもない 2" xfId="4127"/>
    <cellStyle name="メモ" xfId="665"/>
    <cellStyle name="メモ 10" xfId="2517"/>
    <cellStyle name="メモ 11" xfId="2054"/>
    <cellStyle name="メモ 12" xfId="1832"/>
    <cellStyle name="メモ 13" xfId="2408"/>
    <cellStyle name="メモ 14" xfId="2491"/>
    <cellStyle name="メモ 15" xfId="1900"/>
    <cellStyle name="メモ 16" xfId="2712"/>
    <cellStyle name="メモ 17" xfId="2853"/>
    <cellStyle name="メモ 18" xfId="2137"/>
    <cellStyle name="メモ 19" xfId="2689"/>
    <cellStyle name="メモ 2" xfId="666"/>
    <cellStyle name="メモ 2 10" xfId="1868"/>
    <cellStyle name="メモ 2 11" xfId="1783"/>
    <cellStyle name="メモ 2 12" xfId="2169"/>
    <cellStyle name="メモ 2 13" xfId="2219"/>
    <cellStyle name="メモ 2 14" xfId="2526"/>
    <cellStyle name="メモ 2 15" xfId="1808"/>
    <cellStyle name="メモ 2 16" xfId="2604"/>
    <cellStyle name="メモ 2 17" xfId="2653"/>
    <cellStyle name="メモ 2 18" xfId="2867"/>
    <cellStyle name="メモ 2 19" xfId="3004"/>
    <cellStyle name="メモ 2 2" xfId="1064"/>
    <cellStyle name="メモ 2 2 10" xfId="2520"/>
    <cellStyle name="メモ 2 2 11" xfId="2549"/>
    <cellStyle name="メモ 2 2 12" xfId="2597"/>
    <cellStyle name="メモ 2 2 13" xfId="2646"/>
    <cellStyle name="メモ 2 2 14" xfId="1888"/>
    <cellStyle name="メモ 2 2 15" xfId="2379"/>
    <cellStyle name="メモ 2 2 16" xfId="2671"/>
    <cellStyle name="メモ 2 2 17" xfId="2831"/>
    <cellStyle name="メモ 2 2 18" xfId="2872"/>
    <cellStyle name="メモ 2 2 19" xfId="2900"/>
    <cellStyle name="メモ 2 2 2" xfId="1145"/>
    <cellStyle name="メモ 2 2 20" xfId="2927"/>
    <cellStyle name="メモ 2 2 21" xfId="3141"/>
    <cellStyle name="メモ 2 2 22" xfId="3097"/>
    <cellStyle name="メモ 2 2 23" xfId="3165"/>
    <cellStyle name="メモ 2 2 24" xfId="3176"/>
    <cellStyle name="メモ 2 2 25" xfId="3253"/>
    <cellStyle name="メモ 2 2 26" xfId="5011"/>
    <cellStyle name="メモ 2 2 27" xfId="5083"/>
    <cellStyle name="メモ 2 2 28" xfId="5137"/>
    <cellStyle name="メモ 2 2 29" xfId="5183"/>
    <cellStyle name="メモ 2 2 3" xfId="1220"/>
    <cellStyle name="メモ 2 2 30" xfId="5098"/>
    <cellStyle name="メモ 2 2 31" xfId="5278"/>
    <cellStyle name="メモ 2 2 32" xfId="5325"/>
    <cellStyle name="メモ 2 2 33" xfId="5256"/>
    <cellStyle name="メモ 2 2 34" xfId="5383"/>
    <cellStyle name="メモ 2 2 35" xfId="5397"/>
    <cellStyle name="メモ 2 2 36" xfId="3477"/>
    <cellStyle name="メモ 2 2 37" xfId="6166"/>
    <cellStyle name="メモ 2 2 38" xfId="6248"/>
    <cellStyle name="メモ 2 2 39" xfId="6369"/>
    <cellStyle name="メモ 2 2 4" xfId="1267"/>
    <cellStyle name="メモ 2 2 5" xfId="1264"/>
    <cellStyle name="メモ 2 2 6" xfId="2297"/>
    <cellStyle name="メモ 2 2 7" xfId="2362"/>
    <cellStyle name="メモ 2 2 8" xfId="2344"/>
    <cellStyle name="メモ 2 2 9" xfId="2468"/>
    <cellStyle name="メモ 2 20" xfId="3053"/>
    <cellStyle name="メモ 2 21" xfId="3035"/>
    <cellStyle name="メモ 2 22" xfId="3197"/>
    <cellStyle name="メモ 2 23" xfId="3398"/>
    <cellStyle name="メモ 2 24" xfId="4128"/>
    <cellStyle name="メモ 2 25" xfId="4385"/>
    <cellStyle name="メモ 2 26" xfId="4433"/>
    <cellStyle name="メモ 2 27" xfId="4475"/>
    <cellStyle name="メモ 2 28" xfId="4521"/>
    <cellStyle name="メモ 2 29" xfId="4567"/>
    <cellStyle name="メモ 2 3" xfId="956"/>
    <cellStyle name="メモ 2 3 2" xfId="1599"/>
    <cellStyle name="メモ 2 3 3" xfId="1690"/>
    <cellStyle name="メモ 2 3 4" xfId="1712"/>
    <cellStyle name="メモ 2 30" xfId="4612"/>
    <cellStyle name="メモ 2 31" xfId="4651"/>
    <cellStyle name="メモ 2 32" xfId="4485"/>
    <cellStyle name="メモ 2 33" xfId="4754"/>
    <cellStyle name="メモ 2 34" xfId="3905"/>
    <cellStyle name="メモ 2 35" xfId="4842"/>
    <cellStyle name="メモ 2 36" xfId="4161"/>
    <cellStyle name="メモ 2 37" xfId="4928"/>
    <cellStyle name="メモ 2 38" xfId="5082"/>
    <cellStyle name="メモ 2 39" xfId="5136"/>
    <cellStyle name="メモ 2 4" xfId="1111"/>
    <cellStyle name="メモ 2 40" xfId="5182"/>
    <cellStyle name="メモ 2 41" xfId="5097"/>
    <cellStyle name="メモ 2 42" xfId="5277"/>
    <cellStyle name="メモ 2 43" xfId="5324"/>
    <cellStyle name="メモ 2 44" xfId="5255"/>
    <cellStyle name="メモ 2 45" xfId="5330"/>
    <cellStyle name="メモ 2 46" xfId="5396"/>
    <cellStyle name="メモ 2 47" xfId="5327"/>
    <cellStyle name="メモ 2 48" xfId="5077"/>
    <cellStyle name="メモ 2 49" xfId="5468"/>
    <cellStyle name="メモ 2 5" xfId="1676"/>
    <cellStyle name="メモ 2 50" xfId="4607"/>
    <cellStyle name="メモ 2 51" xfId="5694"/>
    <cellStyle name="メモ 2 52" xfId="5714"/>
    <cellStyle name="メモ 2 53" xfId="5730"/>
    <cellStyle name="メモ 2 54" xfId="5744"/>
    <cellStyle name="メモ 2 55" xfId="5753"/>
    <cellStyle name="メモ 2 56" xfId="6165"/>
    <cellStyle name="メモ 2 57" xfId="5781"/>
    <cellStyle name="メモ 2 58" xfId="6222"/>
    <cellStyle name="メモ 2 59" xfId="6247"/>
    <cellStyle name="メモ 2 6" xfId="2187"/>
    <cellStyle name="メモ 2 60" xfId="6271"/>
    <cellStyle name="メモ 2 61" xfId="6296"/>
    <cellStyle name="メモ 2 62" xfId="6319"/>
    <cellStyle name="メモ 2 63" xfId="6342"/>
    <cellStyle name="メモ 2 64" xfId="6091"/>
    <cellStyle name="メモ 2 65" xfId="6360"/>
    <cellStyle name="メモ 2 66" xfId="6411"/>
    <cellStyle name="メモ 2 67" xfId="6420"/>
    <cellStyle name="メモ 2 68" xfId="6804"/>
    <cellStyle name="メモ 2 69" xfId="6837"/>
    <cellStyle name="メモ 2 7" xfId="2358"/>
    <cellStyle name="メモ 2 70" xfId="6712"/>
    <cellStyle name="メモ 2 71" xfId="6759"/>
    <cellStyle name="メモ 2 72" xfId="6860"/>
    <cellStyle name="メモ 2 73" xfId="6718"/>
    <cellStyle name="メモ 2 74" xfId="6508"/>
    <cellStyle name="メモ 2 75" xfId="6752"/>
    <cellStyle name="メモ 2 76" xfId="6918"/>
    <cellStyle name="メモ 2 77" xfId="7594"/>
    <cellStyle name="メモ 2 78" xfId="7607"/>
    <cellStyle name="メモ 2 79" xfId="7614"/>
    <cellStyle name="メモ 2 8" xfId="2136"/>
    <cellStyle name="メモ 2 80" xfId="7811"/>
    <cellStyle name="メモ 2 81" xfId="7461"/>
    <cellStyle name="メモ 2 82" xfId="7834"/>
    <cellStyle name="メモ 2 9" xfId="2010"/>
    <cellStyle name="メモ 20" xfId="3071"/>
    <cellStyle name="メモ 21" xfId="2994"/>
    <cellStyle name="メモ 22" xfId="3056"/>
    <cellStyle name="メモ 23" xfId="3297"/>
    <cellStyle name="メモ 24" xfId="3571"/>
    <cellStyle name="メモ 25" xfId="3858"/>
    <cellStyle name="メモ 26" xfId="4321"/>
    <cellStyle name="メモ 27" xfId="3517"/>
    <cellStyle name="メモ 28" xfId="4033"/>
    <cellStyle name="メモ 29" xfId="4338"/>
    <cellStyle name="メモ 3" xfId="993"/>
    <cellStyle name="メモ 3 10" xfId="2565"/>
    <cellStyle name="メモ 3 11" xfId="2616"/>
    <cellStyle name="メモ 3 12" xfId="2664"/>
    <cellStyle name="メモ 3 13" xfId="2714"/>
    <cellStyle name="メモ 3 14" xfId="2274"/>
    <cellStyle name="メモ 3 15" xfId="2173"/>
    <cellStyle name="メモ 3 16" xfId="2844"/>
    <cellStyle name="メモ 3 17" xfId="2888"/>
    <cellStyle name="メモ 3 18" xfId="2914"/>
    <cellStyle name="メモ 3 19" xfId="2940"/>
    <cellStyle name="メモ 3 2" xfId="1123"/>
    <cellStyle name="メモ 3 20" xfId="3254"/>
    <cellStyle name="メモ 3 21" xfId="3360"/>
    <cellStyle name="メモ 3 22" xfId="5012"/>
    <cellStyle name="メモ 3 23" xfId="5084"/>
    <cellStyle name="メモ 3 24" xfId="5138"/>
    <cellStyle name="メモ 3 25" xfId="5184"/>
    <cellStyle name="メモ 3 26" xfId="5103"/>
    <cellStyle name="メモ 3 27" xfId="5279"/>
    <cellStyle name="メモ 3 28" xfId="5326"/>
    <cellStyle name="メモ 3 29" xfId="5257"/>
    <cellStyle name="メモ 3 3" xfId="1190"/>
    <cellStyle name="メモ 3 30" xfId="5384"/>
    <cellStyle name="メモ 3 31" xfId="5398"/>
    <cellStyle name="メモ 3 32" xfId="6167"/>
    <cellStyle name="メモ 3 4" xfId="1671"/>
    <cellStyle name="メモ 3 5" xfId="1624"/>
    <cellStyle name="メモ 3 6" xfId="2381"/>
    <cellStyle name="メモ 3 7" xfId="1784"/>
    <cellStyle name="メモ 3 8" xfId="2485"/>
    <cellStyle name="メモ 3 9" xfId="2532"/>
    <cellStyle name="メモ 30" xfId="3577"/>
    <cellStyle name="メモ 31" xfId="3803"/>
    <cellStyle name="メモ 32" xfId="4004"/>
    <cellStyle name="メモ 33" xfId="4107"/>
    <cellStyle name="メモ 34" xfId="3972"/>
    <cellStyle name="メモ 35" xfId="4170"/>
    <cellStyle name="メモ 36" xfId="4691"/>
    <cellStyle name="メモ 37" xfId="4193"/>
    <cellStyle name="メモ 38" xfId="5081"/>
    <cellStyle name="メモ 39" xfId="5135"/>
    <cellStyle name="メモ 4" xfId="947"/>
    <cellStyle name="メモ 4 2" xfId="1530"/>
    <cellStyle name="メモ 4 3" xfId="1678"/>
    <cellStyle name="メモ 4 4" xfId="1227"/>
    <cellStyle name="メモ 40" xfId="5181"/>
    <cellStyle name="メモ 41" xfId="5088"/>
    <cellStyle name="メモ 42" xfId="5276"/>
    <cellStyle name="メモ 43" xfId="5323"/>
    <cellStyle name="メモ 44" xfId="5254"/>
    <cellStyle name="メモ 45" xfId="5316"/>
    <cellStyle name="メモ 46" xfId="5395"/>
    <cellStyle name="メモ 47" xfId="5244"/>
    <cellStyle name="メモ 48" xfId="3600"/>
    <cellStyle name="メモ 49" xfId="3574"/>
    <cellStyle name="メモ 5" xfId="1835"/>
    <cellStyle name="メモ 50" xfId="5139"/>
    <cellStyle name="メモ 51" xfId="5525"/>
    <cellStyle name="メモ 52" xfId="5710"/>
    <cellStyle name="メモ 53" xfId="5512"/>
    <cellStyle name="メモ 54" xfId="5680"/>
    <cellStyle name="メモ 55" xfId="5624"/>
    <cellStyle name="メモ 56" xfId="6164"/>
    <cellStyle name="メモ 57" xfId="6089"/>
    <cellStyle name="メモ 58" xfId="6210"/>
    <cellStyle name="メモ 59" xfId="6031"/>
    <cellStyle name="メモ 6" xfId="2002"/>
    <cellStyle name="メモ 60" xfId="5826"/>
    <cellStyle name="メモ 61" xfId="6172"/>
    <cellStyle name="メモ 62" xfId="5785"/>
    <cellStyle name="メモ 63" xfId="6254"/>
    <cellStyle name="メモ 64" xfId="5801"/>
    <cellStyle name="メモ 65" xfId="6159"/>
    <cellStyle name="メモ 66" xfId="5872"/>
    <cellStyle name="メモ 67" xfId="6282"/>
    <cellStyle name="メモ 68" xfId="6800"/>
    <cellStyle name="メモ 69" xfId="6595"/>
    <cellStyle name="メモ 7" xfId="1768"/>
    <cellStyle name="メモ 70" xfId="6611"/>
    <cellStyle name="メモ 71" xfId="6745"/>
    <cellStyle name="メモ 72" xfId="6835"/>
    <cellStyle name="メモ 73" xfId="6818"/>
    <cellStyle name="メモ 74" xfId="6924"/>
    <cellStyle name="メモ 75" xfId="6549"/>
    <cellStyle name="メモ 76" xfId="6931"/>
    <cellStyle name="メモ 77" xfId="7089"/>
    <cellStyle name="メモ 78" xfId="7744"/>
    <cellStyle name="メモ 79" xfId="7625"/>
    <cellStyle name="メモ 8" xfId="2353"/>
    <cellStyle name="メモ 80" xfId="7760"/>
    <cellStyle name="メモ 81" xfId="7647"/>
    <cellStyle name="メモ 82" xfId="7693"/>
    <cellStyle name="メモ 9" xfId="1880"/>
    <cellStyle name="リンク セル" xfId="667"/>
    <cellStyle name="リンク セル 2" xfId="4129"/>
    <cellStyle name="강조색1" xfId="668"/>
    <cellStyle name="강조색2" xfId="669"/>
    <cellStyle name="강조색3" xfId="670"/>
    <cellStyle name="강조색4" xfId="671"/>
    <cellStyle name="강조색5" xfId="672"/>
    <cellStyle name="강조색6" xfId="673"/>
    <cellStyle name="경고문" xfId="674"/>
    <cellStyle name="계산" xfId="675"/>
    <cellStyle name="나쁨" xfId="676"/>
    <cellStyle name="메모" xfId="677"/>
    <cellStyle name="보통" xfId="678"/>
    <cellStyle name="뷭?_BOOKSHIP" xfId="679"/>
    <cellStyle name="설명 텍스트" xfId="680"/>
    <cellStyle name="셀 확인" xfId="681"/>
    <cellStyle name="연결된 셀" xfId="682"/>
    <cellStyle name="요약" xfId="683"/>
    <cellStyle name="입력" xfId="684"/>
    <cellStyle name="제목" xfId="685"/>
    <cellStyle name="제목 1" xfId="686"/>
    <cellStyle name="제목 2" xfId="687"/>
    <cellStyle name="제목 3" xfId="688"/>
    <cellStyle name="제목 4" xfId="689"/>
    <cellStyle name="좋음" xfId="690"/>
    <cellStyle name="출력" xfId="691"/>
    <cellStyle name="콤마 [0]_ 내역 (2)" xfId="692"/>
    <cellStyle name="콤마_ 내역 (2)" xfId="693"/>
    <cellStyle name="표준_견적양식" xfId="694"/>
    <cellStyle name="一般_All Quote_PC_XXYY09" xfId="695"/>
    <cellStyle name="中ゴシック12" xfId="907"/>
    <cellStyle name="中ゴシック12 2" xfId="4130"/>
    <cellStyle name="中ゴシック14" xfId="908"/>
    <cellStyle name="中ゴシック14 2" xfId="3694"/>
    <cellStyle name="中ゴシック18" xfId="909"/>
    <cellStyle name="中ゴシック18 2" xfId="4002"/>
    <cellStyle name="入力" xfId="696"/>
    <cellStyle name="入力 10" xfId="2116"/>
    <cellStyle name="入力 11" xfId="2278"/>
    <cellStyle name="入力 12" xfId="2699"/>
    <cellStyle name="入力 13" xfId="2678"/>
    <cellStyle name="入力 14" xfId="2762"/>
    <cellStyle name="入力 15" xfId="2693"/>
    <cellStyle name="入力 16" xfId="2816"/>
    <cellStyle name="入力 17" xfId="2770"/>
    <cellStyle name="入力 18" xfId="2174"/>
    <cellStyle name="入力 19" xfId="3161"/>
    <cellStyle name="入力 2" xfId="697"/>
    <cellStyle name="入力 2 10" xfId="1863"/>
    <cellStyle name="入力 2 11" xfId="2142"/>
    <cellStyle name="入力 2 12" xfId="2335"/>
    <cellStyle name="入力 2 13" xfId="2450"/>
    <cellStyle name="入力 2 14" xfId="1765"/>
    <cellStyle name="入力 2 15" xfId="2745"/>
    <cellStyle name="入力 2 16" xfId="1743"/>
    <cellStyle name="入力 2 17" xfId="2776"/>
    <cellStyle name="入力 2 18" xfId="2351"/>
    <cellStyle name="入力 2 19" xfId="2995"/>
    <cellStyle name="入力 2 2" xfId="1065"/>
    <cellStyle name="入力 2 2 10" xfId="2550"/>
    <cellStyle name="入力 2 2 11" xfId="2598"/>
    <cellStyle name="入力 2 2 12" xfId="2647"/>
    <cellStyle name="入力 2 2 13" xfId="2286"/>
    <cellStyle name="入力 2 2 14" xfId="2143"/>
    <cellStyle name="入力 2 2 15" xfId="2113"/>
    <cellStyle name="入力 2 2 16" xfId="2832"/>
    <cellStyle name="入力 2 2 17" xfId="2873"/>
    <cellStyle name="入力 2 2 18" xfId="2901"/>
    <cellStyle name="入力 2 2 19" xfId="2928"/>
    <cellStyle name="入力 2 2 2" xfId="1146"/>
    <cellStyle name="入力 2 2 20" xfId="3142"/>
    <cellStyle name="入力 2 2 21" xfId="3120"/>
    <cellStyle name="入力 2 2 22" xfId="3166"/>
    <cellStyle name="入力 2 2 23" xfId="3177"/>
    <cellStyle name="入力 2 2 24" xfId="3255"/>
    <cellStyle name="入力 2 2 25" xfId="3385"/>
    <cellStyle name="入力 2 2 26" xfId="5019"/>
    <cellStyle name="入力 2 2 27" xfId="5091"/>
    <cellStyle name="入力 2 2 28" xfId="5146"/>
    <cellStyle name="入力 2 2 29" xfId="5188"/>
    <cellStyle name="入力 2 2 3" xfId="1219"/>
    <cellStyle name="入力 2 2 30" xfId="5107"/>
    <cellStyle name="入力 2 2 31" xfId="5287"/>
    <cellStyle name="入力 2 2 32" xfId="5274"/>
    <cellStyle name="入力 2 2 33" xfId="5387"/>
    <cellStyle name="入力 2 2 34" xfId="4847"/>
    <cellStyle name="入力 2 2 35" xfId="5404"/>
    <cellStyle name="入力 2 2 36" xfId="4715"/>
    <cellStyle name="入力 2 2 37" xfId="6173"/>
    <cellStyle name="入力 2 2 38" xfId="5783"/>
    <cellStyle name="入力 2 2 39" xfId="6370"/>
    <cellStyle name="入力 2 2 4" xfId="1653"/>
    <cellStyle name="入力 2 2 5" xfId="1231"/>
    <cellStyle name="入力 2 2 6" xfId="2298"/>
    <cellStyle name="入力 2 2 7" xfId="2363"/>
    <cellStyle name="入力 2 2 8" xfId="2264"/>
    <cellStyle name="入力 2 2 9" xfId="2469"/>
    <cellStyle name="入力 2 20" xfId="2997"/>
    <cellStyle name="入力 2 21" xfId="2981"/>
    <cellStyle name="入力 2 22" xfId="3198"/>
    <cellStyle name="入力 2 23" xfId="3311"/>
    <cellStyle name="入力 2 24" xfId="3321"/>
    <cellStyle name="入力 2 25" xfId="3742"/>
    <cellStyle name="入力 2 26" xfId="3830"/>
    <cellStyle name="入力 2 27" xfId="3923"/>
    <cellStyle name="入力 2 28" xfId="4266"/>
    <cellStyle name="入力 2 29" xfId="4235"/>
    <cellStyle name="入力 2 3" xfId="957"/>
    <cellStyle name="入力 2 3 2" xfId="1600"/>
    <cellStyle name="入力 2 3 3" xfId="1691"/>
    <cellStyle name="入力 2 3 4" xfId="1713"/>
    <cellStyle name="入力 2 30" xfId="3795"/>
    <cellStyle name="入力 2 31" xfId="4242"/>
    <cellStyle name="入力 2 32" xfId="3907"/>
    <cellStyle name="入力 2 33" xfId="4523"/>
    <cellStyle name="入力 2 34" xfId="4279"/>
    <cellStyle name="入力 2 35" xfId="4081"/>
    <cellStyle name="入力 2 36" xfId="3634"/>
    <cellStyle name="入力 2 37" xfId="4765"/>
    <cellStyle name="入力 2 38" xfId="3450"/>
    <cellStyle name="入力 2 39" xfId="5018"/>
    <cellStyle name="入力 2 4" xfId="1112"/>
    <cellStyle name="入力 2 40" xfId="5090"/>
    <cellStyle name="入力 2 41" xfId="5145"/>
    <cellStyle name="入力 2 42" xfId="5187"/>
    <cellStyle name="入力 2 43" xfId="5106"/>
    <cellStyle name="入力 2 44" xfId="5286"/>
    <cellStyle name="入力 2 45" xfId="5273"/>
    <cellStyle name="入力 2 46" xfId="3759"/>
    <cellStyle name="入力 2 47" xfId="5333"/>
    <cellStyle name="入力 2 48" xfId="5403"/>
    <cellStyle name="入力 2 49" xfId="3824"/>
    <cellStyle name="入力 2 5" xfId="1675"/>
    <cellStyle name="入力 2 50" xfId="4718"/>
    <cellStyle name="入力 2 51" xfId="5362"/>
    <cellStyle name="入力 2 52" xfId="5141"/>
    <cellStyle name="入力 2 53" xfId="5584"/>
    <cellStyle name="入力 2 54" xfId="5593"/>
    <cellStyle name="入力 2 55" xfId="5683"/>
    <cellStyle name="入力 2 56" xfId="5685"/>
    <cellStyle name="入力 2 57" xfId="5640"/>
    <cellStyle name="入力 2 58" xfId="5999"/>
    <cellStyle name="入力 2 59" xfId="6145"/>
    <cellStyle name="入力 2 6" xfId="2186"/>
    <cellStyle name="入力 2 60" xfId="5881"/>
    <cellStyle name="入力 2 61" xfId="5796"/>
    <cellStyle name="入力 2 62" xfId="5873"/>
    <cellStyle name="入力 2 63" xfId="5922"/>
    <cellStyle name="入力 2 64" xfId="6117"/>
    <cellStyle name="入力 2 65" xfId="6103"/>
    <cellStyle name="入力 2 66" xfId="6149"/>
    <cellStyle name="入力 2 67" xfId="6361"/>
    <cellStyle name="入力 2 68" xfId="6156"/>
    <cellStyle name="入力 2 69" xfId="6698"/>
    <cellStyle name="入力 2 7" xfId="1865"/>
    <cellStyle name="入力 2 70" xfId="6621"/>
    <cellStyle name="入力 2 71" xfId="6660"/>
    <cellStyle name="入力 2 72" xfId="6722"/>
    <cellStyle name="入力 2 73" xfId="6659"/>
    <cellStyle name="入力 2 74" xfId="6767"/>
    <cellStyle name="入力 2 75" xfId="6899"/>
    <cellStyle name="入力 2 76" xfId="6772"/>
    <cellStyle name="入力 2 77" xfId="6933"/>
    <cellStyle name="入力 2 78" xfId="7248"/>
    <cellStyle name="入力 2 79" xfId="7714"/>
    <cellStyle name="入力 2 8" xfId="2309"/>
    <cellStyle name="入力 2 80" xfId="7658"/>
    <cellStyle name="入力 2 81" xfId="7222"/>
    <cellStyle name="入力 2 82" xfId="7776"/>
    <cellStyle name="入力 2 83" xfId="7823"/>
    <cellStyle name="入力 2 9" xfId="1885"/>
    <cellStyle name="入力 20" xfId="3103"/>
    <cellStyle name="入力 21" xfId="2989"/>
    <cellStyle name="入力 22" xfId="3310"/>
    <cellStyle name="入力 23" xfId="3340"/>
    <cellStyle name="入力 24" xfId="3526"/>
    <cellStyle name="入力 25" xfId="3822"/>
    <cellStyle name="入力 26" xfId="4341"/>
    <cellStyle name="入力 27" xfId="3693"/>
    <cellStyle name="入力 28" xfId="3585"/>
    <cellStyle name="入力 29" xfId="4409"/>
    <cellStyle name="入力 3" xfId="994"/>
    <cellStyle name="入力 3 10" xfId="2617"/>
    <cellStyle name="入力 3 11" xfId="2665"/>
    <cellStyle name="入力 3 12" xfId="2715"/>
    <cellStyle name="入力 3 13" xfId="2692"/>
    <cellStyle name="入力 3 14" xfId="2295"/>
    <cellStyle name="入力 3 15" xfId="2845"/>
    <cellStyle name="入力 3 16" xfId="2889"/>
    <cellStyle name="入力 3 17" xfId="2915"/>
    <cellStyle name="入力 3 18" xfId="2941"/>
    <cellStyle name="入力 3 19" xfId="3256"/>
    <cellStyle name="入力 3 2" xfId="1124"/>
    <cellStyle name="入力 3 20" xfId="3361"/>
    <cellStyle name="入力 3 21" xfId="5020"/>
    <cellStyle name="入力 3 22" xfId="5092"/>
    <cellStyle name="入力 3 23" xfId="5147"/>
    <cellStyle name="入力 3 24" xfId="5189"/>
    <cellStyle name="入力 3 25" xfId="5108"/>
    <cellStyle name="入力 3 26" xfId="5288"/>
    <cellStyle name="入力 3 27" xfId="5275"/>
    <cellStyle name="入力 3 28" xfId="5388"/>
    <cellStyle name="入力 3 29" xfId="3730"/>
    <cellStyle name="入力 3 3" xfId="1456"/>
    <cellStyle name="入力 3 30" xfId="5405"/>
    <cellStyle name="入力 3 31" xfId="6174"/>
    <cellStyle name="入力 3 4" xfId="1670"/>
    <cellStyle name="入力 3 5" xfId="1625"/>
    <cellStyle name="入力 3 6" xfId="2382"/>
    <cellStyle name="入力 3 7" xfId="2435"/>
    <cellStyle name="入力 3 8" xfId="2486"/>
    <cellStyle name="入力 3 9" xfId="2566"/>
    <cellStyle name="入力 30" xfId="3702"/>
    <cellStyle name="入力 31" xfId="3544"/>
    <cellStyle name="入力 32" xfId="3532"/>
    <cellStyle name="入力 33" xfId="4309"/>
    <cellStyle name="入力 34" xfId="4469"/>
    <cellStyle name="入力 35" xfId="3657"/>
    <cellStyle name="入力 36" xfId="4243"/>
    <cellStyle name="入力 37" xfId="3625"/>
    <cellStyle name="入力 38" xfId="5017"/>
    <cellStyle name="入力 39" xfId="5089"/>
    <cellStyle name="入力 4" xfId="926"/>
    <cellStyle name="入力 4 2" xfId="1337"/>
    <cellStyle name="入力 4 3" xfId="1199"/>
    <cellStyle name="入力 4 4" xfId="1641"/>
    <cellStyle name="入力 40" xfId="5144"/>
    <cellStyle name="入力 41" xfId="5186"/>
    <cellStyle name="入力 42" xfId="5105"/>
    <cellStyle name="入力 43" xfId="5285"/>
    <cellStyle name="入力 44" xfId="5272"/>
    <cellStyle name="入力 45" xfId="5029"/>
    <cellStyle name="入力 46" xfId="5332"/>
    <cellStyle name="入力 47" xfId="5402"/>
    <cellStyle name="入力 48" xfId="5158"/>
    <cellStyle name="入力 49" xfId="5313"/>
    <cellStyle name="入力 5" xfId="1836"/>
    <cellStyle name="入力 50" xfId="5410"/>
    <cellStyle name="入力 51" xfId="5465"/>
    <cellStyle name="入力 52" xfId="5514"/>
    <cellStyle name="入力 53" xfId="5670"/>
    <cellStyle name="入力 54" xfId="5604"/>
    <cellStyle name="入力 55" xfId="5502"/>
    <cellStyle name="入力 56" xfId="5567"/>
    <cellStyle name="入力 57" xfId="6110"/>
    <cellStyle name="入力 58" xfId="5798"/>
    <cellStyle name="入力 59" xfId="6100"/>
    <cellStyle name="入力 6" xfId="2001"/>
    <cellStyle name="入力 60" xfId="6022"/>
    <cellStyle name="入力 61" xfId="6220"/>
    <cellStyle name="入力 62" xfId="5926"/>
    <cellStyle name="入力 63" xfId="6154"/>
    <cellStyle name="入力 64" xfId="5857"/>
    <cellStyle name="入力 65" xfId="6192"/>
    <cellStyle name="入力 66" xfId="6307"/>
    <cellStyle name="入力 67" xfId="6405"/>
    <cellStyle name="入力 68" xfId="6762"/>
    <cellStyle name="入力 69" xfId="6726"/>
    <cellStyle name="入力 7" xfId="2162"/>
    <cellStyle name="入力 70" xfId="6813"/>
    <cellStyle name="入力 71" xfId="6716"/>
    <cellStyle name="入力 72" xfId="6678"/>
    <cellStyle name="入力 73" xfId="6829"/>
    <cellStyle name="入力 74" xfId="6448"/>
    <cellStyle name="入力 75" xfId="6780"/>
    <cellStyle name="入力 76" xfId="6703"/>
    <cellStyle name="入力 77" xfId="7054"/>
    <cellStyle name="入力 78" xfId="7754"/>
    <cellStyle name="入力 79" xfId="7665"/>
    <cellStyle name="入力 8" xfId="2005"/>
    <cellStyle name="入力 80" xfId="7649"/>
    <cellStyle name="入力 81" xfId="7792"/>
    <cellStyle name="入力 82" xfId="7626"/>
    <cellStyle name="入力 9" xfId="2516"/>
    <cellStyle name="出力" xfId="698"/>
    <cellStyle name="出力 10" xfId="2478"/>
    <cellStyle name="出力 11" xfId="2026"/>
    <cellStyle name="出力 12" xfId="2176"/>
    <cellStyle name="出力 13" xfId="2713"/>
    <cellStyle name="出力 14" xfId="1911"/>
    <cellStyle name="出力 15" xfId="2207"/>
    <cellStyle name="出力 16" xfId="2284"/>
    <cellStyle name="出力 17" xfId="2823"/>
    <cellStyle name="出力 18" xfId="1803"/>
    <cellStyle name="出力 19" xfId="2273"/>
    <cellStyle name="出力 2" xfId="699"/>
    <cellStyle name="出力 2 10" xfId="2290"/>
    <cellStyle name="出力 2 11" xfId="2168"/>
    <cellStyle name="出力 2 12" xfId="2537"/>
    <cellStyle name="出力 2 13" xfId="1847"/>
    <cellStyle name="出力 2 14" xfId="2547"/>
    <cellStyle name="出力 2 15" xfId="2594"/>
    <cellStyle name="出力 2 16" xfId="2221"/>
    <cellStyle name="出力 2 17" xfId="2349"/>
    <cellStyle name="出力 2 18" xfId="2055"/>
    <cellStyle name="出力 2 19" xfId="3005"/>
    <cellStyle name="出力 2 2" xfId="1066"/>
    <cellStyle name="出力 2 2 10" xfId="2551"/>
    <cellStyle name="出力 2 2 11" xfId="2599"/>
    <cellStyle name="出力 2 2 12" xfId="2648"/>
    <cellStyle name="出力 2 2 13" xfId="1751"/>
    <cellStyle name="出力 2 2 14" xfId="2148"/>
    <cellStyle name="出力 2 2 15" xfId="2059"/>
    <cellStyle name="出力 2 2 16" xfId="2833"/>
    <cellStyle name="出力 2 2 17" xfId="2874"/>
    <cellStyle name="出力 2 2 18" xfId="2902"/>
    <cellStyle name="出力 2 2 19" xfId="2929"/>
    <cellStyle name="出力 2 2 2" xfId="1147"/>
    <cellStyle name="出力 2 2 20" xfId="3143"/>
    <cellStyle name="出力 2 2 21" xfId="2957"/>
    <cellStyle name="出力 2 2 22" xfId="3167"/>
    <cellStyle name="出力 2 2 23" xfId="3178"/>
    <cellStyle name="出力 2 2 24" xfId="3257"/>
    <cellStyle name="出力 2 2 25" xfId="3386"/>
    <cellStyle name="出力 2 2 26" xfId="5022"/>
    <cellStyle name="出力 2 2 27" xfId="5095"/>
    <cellStyle name="出力 2 2 28" xfId="5150"/>
    <cellStyle name="出力 2 2 29" xfId="5192"/>
    <cellStyle name="出力 2 2 3" xfId="1218"/>
    <cellStyle name="出力 2 2 30" xfId="5111"/>
    <cellStyle name="出力 2 2 31" xfId="5291"/>
    <cellStyle name="出力 2 2 32" xfId="5282"/>
    <cellStyle name="出力 2 2 33" xfId="5390"/>
    <cellStyle name="出力 2 2 34" xfId="5408"/>
    <cellStyle name="出力 2 2 35" xfId="5436"/>
    <cellStyle name="出力 2 2 36" xfId="6177"/>
    <cellStyle name="出力 2 2 37" xfId="6259"/>
    <cellStyle name="出力 2 2 38" xfId="6371"/>
    <cellStyle name="出力 2 2 4" xfId="1652"/>
    <cellStyle name="出力 2 2 5" xfId="2299"/>
    <cellStyle name="出力 2 2 6" xfId="2364"/>
    <cellStyle name="出力 2 2 7" xfId="2036"/>
    <cellStyle name="出力 2 2 8" xfId="2470"/>
    <cellStyle name="出力 2 2 9" xfId="2522"/>
    <cellStyle name="出力 2 20" xfId="3017"/>
    <cellStyle name="出力 2 21" xfId="2963"/>
    <cellStyle name="出力 2 22" xfId="3199"/>
    <cellStyle name="出力 2 23" xfId="3313"/>
    <cellStyle name="出力 2 24" xfId="3295"/>
    <cellStyle name="出力 2 25" xfId="3659"/>
    <cellStyle name="出力 2 26" xfId="3828"/>
    <cellStyle name="出力 2 27" xfId="4257"/>
    <cellStyle name="出力 2 28" xfId="3607"/>
    <cellStyle name="出力 2 29" xfId="3832"/>
    <cellStyle name="出力 2 3" xfId="958"/>
    <cellStyle name="出力 2 3 2" xfId="1601"/>
    <cellStyle name="出力 2 3 3" xfId="1692"/>
    <cellStyle name="出力 2 3 4" xfId="1714"/>
    <cellStyle name="出力 2 30" xfId="4509"/>
    <cellStyle name="出力 2 31" xfId="4553"/>
    <cellStyle name="出力 2 32" xfId="4213"/>
    <cellStyle name="出力 2 33" xfId="3855"/>
    <cellStyle name="出力 2 34" xfId="3973"/>
    <cellStyle name="出力 2 35" xfId="4465"/>
    <cellStyle name="出力 2 36" xfId="4680"/>
    <cellStyle name="出力 2 37" xfId="4815"/>
    <cellStyle name="出力 2 38" xfId="4735"/>
    <cellStyle name="出力 2 39" xfId="4768"/>
    <cellStyle name="出力 2 4" xfId="1113"/>
    <cellStyle name="出力 2 40" xfId="5094"/>
    <cellStyle name="出力 2 41" xfId="5149"/>
    <cellStyle name="出力 2 42" xfId="5191"/>
    <cellStyle name="出力 2 43" xfId="5110"/>
    <cellStyle name="出力 2 44" xfId="5290"/>
    <cellStyle name="出力 2 45" xfId="5281"/>
    <cellStyle name="出力 2 46" xfId="4477"/>
    <cellStyle name="出力 2 47" xfId="5407"/>
    <cellStyle name="出力 2 48" xfId="3618"/>
    <cellStyle name="出力 2 49" xfId="4320"/>
    <cellStyle name="出力 2 5" xfId="1154"/>
    <cellStyle name="出力 2 50" xfId="5087"/>
    <cellStyle name="出力 2 51" xfId="5386"/>
    <cellStyle name="出力 2 52" xfId="5564"/>
    <cellStyle name="出力 2 53" xfId="5648"/>
    <cellStyle name="出力 2 54" xfId="5615"/>
    <cellStyle name="出力 2 55" xfId="5735"/>
    <cellStyle name="出力 2 56" xfId="5611"/>
    <cellStyle name="出力 2 57" xfId="6037"/>
    <cellStyle name="出力 2 58" xfId="5846"/>
    <cellStyle name="出力 2 59" xfId="6138"/>
    <cellStyle name="出力 2 6" xfId="2185"/>
    <cellStyle name="出力 2 60" xfId="6128"/>
    <cellStyle name="出力 2 61" xfId="6150"/>
    <cellStyle name="出力 2 62" xfId="6034"/>
    <cellStyle name="出力 2 63" xfId="6063"/>
    <cellStyle name="出力 2 64" xfId="6288"/>
    <cellStyle name="出力 2 65" xfId="6051"/>
    <cellStyle name="出力 2 66" xfId="5788"/>
    <cellStyle name="出力 2 67" xfId="6390"/>
    <cellStyle name="出力 2 68" xfId="6721"/>
    <cellStyle name="出力 2 69" xfId="6749"/>
    <cellStyle name="出力 2 7" xfId="1866"/>
    <cellStyle name="出力 2 70" xfId="6587"/>
    <cellStyle name="出力 2 71" xfId="6784"/>
    <cellStyle name="出力 2 72" xfId="6746"/>
    <cellStyle name="出力 2 73" xfId="6795"/>
    <cellStyle name="出力 2 74" xfId="6701"/>
    <cellStyle name="出力 2 75" xfId="6921"/>
    <cellStyle name="出力 2 76" xfId="6872"/>
    <cellStyle name="出力 2 77" xfId="6763"/>
    <cellStyle name="出力 2 78" xfId="7175"/>
    <cellStyle name="出力 2 79" xfId="7726"/>
    <cellStyle name="出力 2 8" xfId="1759"/>
    <cellStyle name="出力 2 80" xfId="7687"/>
    <cellStyle name="出力 2 81" xfId="7642"/>
    <cellStyle name="出力 2 82" xfId="7733"/>
    <cellStyle name="出力 2 83" xfId="7627"/>
    <cellStyle name="出力 2 9" xfId="2529"/>
    <cellStyle name="出力 20" xfId="2985"/>
    <cellStyle name="出力 21" xfId="2964"/>
    <cellStyle name="出力 22" xfId="2975"/>
    <cellStyle name="出力 23" xfId="3187"/>
    <cellStyle name="出力 24" xfId="3312"/>
    <cellStyle name="出力 25" xfId="3296"/>
    <cellStyle name="出力 26" xfId="4131"/>
    <cellStyle name="出力 27" xfId="4389"/>
    <cellStyle name="出力 28" xfId="4436"/>
    <cellStyle name="出力 29" xfId="4479"/>
    <cellStyle name="出力 3" xfId="995"/>
    <cellStyle name="出力 3 10" xfId="2618"/>
    <cellStyle name="出力 3 11" xfId="2666"/>
    <cellStyle name="出力 3 12" xfId="2716"/>
    <cellStyle name="出力 3 13" xfId="2540"/>
    <cellStyle name="出力 3 14" xfId="2224"/>
    <cellStyle name="出力 3 15" xfId="2846"/>
    <cellStyle name="出力 3 16" xfId="2890"/>
    <cellStyle name="出力 3 17" xfId="2916"/>
    <cellStyle name="出力 3 18" xfId="2942"/>
    <cellStyle name="出力 3 19" xfId="3258"/>
    <cellStyle name="出力 3 2" xfId="1125"/>
    <cellStyle name="出力 3 20" xfId="3362"/>
    <cellStyle name="出力 3 21" xfId="5023"/>
    <cellStyle name="出力 3 22" xfId="5096"/>
    <cellStyle name="出力 3 23" xfId="5151"/>
    <cellStyle name="出力 3 24" xfId="5193"/>
    <cellStyle name="出力 3 25" xfId="5112"/>
    <cellStyle name="出力 3 26" xfId="5292"/>
    <cellStyle name="出力 3 27" xfId="5283"/>
    <cellStyle name="出力 3 28" xfId="5391"/>
    <cellStyle name="出力 3 29" xfId="5409"/>
    <cellStyle name="出力 3 3" xfId="1455"/>
    <cellStyle name="出力 3 30" xfId="6178"/>
    <cellStyle name="出力 3 4" xfId="1669"/>
    <cellStyle name="出力 3 5" xfId="2383"/>
    <cellStyle name="出力 3 6" xfId="2436"/>
    <cellStyle name="出力 3 7" xfId="2487"/>
    <cellStyle name="出力 3 8" xfId="2533"/>
    <cellStyle name="出力 3 9" xfId="2567"/>
    <cellStyle name="出力 30" xfId="4525"/>
    <cellStyle name="出力 31" xfId="4570"/>
    <cellStyle name="出力 32" xfId="4614"/>
    <cellStyle name="出力 33" xfId="4654"/>
    <cellStyle name="出力 34" xfId="4700"/>
    <cellStyle name="出力 35" xfId="3642"/>
    <cellStyle name="出力 36" xfId="4756"/>
    <cellStyle name="出力 37" xfId="4613"/>
    <cellStyle name="出力 38" xfId="4845"/>
    <cellStyle name="出力 39" xfId="4519"/>
    <cellStyle name="出力 4" xfId="822"/>
    <cellStyle name="出力 4 2" xfId="1332"/>
    <cellStyle name="出力 4 3" xfId="1200"/>
    <cellStyle name="出力 4 4" xfId="1217"/>
    <cellStyle name="出力 40" xfId="4931"/>
    <cellStyle name="出力 41" xfId="5093"/>
    <cellStyle name="出力 42" xfId="5148"/>
    <cellStyle name="出力 43" xfId="5190"/>
    <cellStyle name="出力 44" xfId="5109"/>
    <cellStyle name="出力 45" xfId="5289"/>
    <cellStyle name="出力 46" xfId="5280"/>
    <cellStyle name="出力 47" xfId="5334"/>
    <cellStyle name="出力 48" xfId="5406"/>
    <cellStyle name="出力 49" xfId="5328"/>
    <cellStyle name="出力 5" xfId="1837"/>
    <cellStyle name="出力 50" xfId="5153"/>
    <cellStyle name="出力 51" xfId="5469"/>
    <cellStyle name="出力 52" xfId="5185"/>
    <cellStyle name="出力 53" xfId="5695"/>
    <cellStyle name="出力 54" xfId="5715"/>
    <cellStyle name="出力 55" xfId="5732"/>
    <cellStyle name="出力 56" xfId="5745"/>
    <cellStyle name="出力 57" xfId="5754"/>
    <cellStyle name="出力 58" xfId="5778"/>
    <cellStyle name="出力 59" xfId="6226"/>
    <cellStyle name="出力 6" xfId="2000"/>
    <cellStyle name="出力 60" xfId="6249"/>
    <cellStyle name="出力 61" xfId="6272"/>
    <cellStyle name="出力 62" xfId="6298"/>
    <cellStyle name="出力 63" xfId="6322"/>
    <cellStyle name="出力 64" xfId="6343"/>
    <cellStyle name="出力 65" xfId="5964"/>
    <cellStyle name="出力 66" xfId="5828"/>
    <cellStyle name="出力 67" xfId="6412"/>
    <cellStyle name="出力 68" xfId="6421"/>
    <cellStyle name="出力 69" xfId="6807"/>
    <cellStyle name="出力 7" xfId="2161"/>
    <cellStyle name="出力 70" xfId="6840"/>
    <cellStyle name="出力 71" xfId="6637"/>
    <cellStyle name="出力 72" xfId="6522"/>
    <cellStyle name="出力 73" xfId="6567"/>
    <cellStyle name="出力 74" xfId="6497"/>
    <cellStyle name="出力 75" xfId="6683"/>
    <cellStyle name="出力 76" xfId="6934"/>
    <cellStyle name="出力 77" xfId="6891"/>
    <cellStyle name="出力 78" xfId="6937"/>
    <cellStyle name="出力 79" xfId="7596"/>
    <cellStyle name="出力 8" xfId="1938"/>
    <cellStyle name="出力 80" xfId="7013"/>
    <cellStyle name="出力 81" xfId="7390"/>
    <cellStyle name="出力 82" xfId="7812"/>
    <cellStyle name="出力 83" xfId="7469"/>
    <cellStyle name="出力 84" xfId="7835"/>
    <cellStyle name="出力 9" xfId="2003"/>
    <cellStyle name="壞_1_B74968534_G7 BuildOnly 82EAJ7WD460_Price Breakdown Master_3rdSep2012" xfId="700"/>
    <cellStyle name="壞_y--Template for Price Breakdown Master- Rev2012-rev 2_rick" xfId="701"/>
    <cellStyle name="壞_包裝及運輸費用估算_20120903_呂秀蓮提供" xfId="702"/>
    <cellStyle name="壞_鈑件沖壓及沖壓費計算_2013-4-10" xfId="703"/>
    <cellStyle name="好_1_B74968534_G7 BuildOnly 82EAJ7WD460_Price Breakdown Master_3rdSep2012" xfId="704"/>
    <cellStyle name="好_y--Template for Price Breakdown Master- Rev2012-rev 2_rick" xfId="705"/>
    <cellStyle name="好_包裝及運輸費用估算_20120903_呂秀蓮提供" xfId="706"/>
    <cellStyle name="好_鈑件沖壓及沖壓費計算_2013-4-10" xfId="707"/>
    <cellStyle name="小数点1桁" xfId="970"/>
    <cellStyle name="小数点1桁 2" xfId="3943"/>
    <cellStyle name="小数点2桁" xfId="971"/>
    <cellStyle name="小数点2桁 10" xfId="2132"/>
    <cellStyle name="小数点2桁 11" xfId="1778"/>
    <cellStyle name="小数点2桁 12" xfId="2629"/>
    <cellStyle name="小数点2桁 13" xfId="2584"/>
    <cellStyle name="小数点2桁 14" xfId="2878"/>
    <cellStyle name="小数点2桁 15" xfId="3028"/>
    <cellStyle name="小数点2桁 16" xfId="3100"/>
    <cellStyle name="小数点2桁 17" xfId="3172"/>
    <cellStyle name="小数点2桁 18" xfId="3202"/>
    <cellStyle name="小数点2桁 19" xfId="3344"/>
    <cellStyle name="小数点2桁 2" xfId="1080"/>
    <cellStyle name="小数点2桁 2 10" xfId="2552"/>
    <cellStyle name="小数点2桁 2 11" xfId="2600"/>
    <cellStyle name="小数点2桁 2 12" xfId="2649"/>
    <cellStyle name="小数点2桁 2 13" xfId="2172"/>
    <cellStyle name="小数点2桁 2 14" xfId="2903"/>
    <cellStyle name="小数点2桁 2 15" xfId="2930"/>
    <cellStyle name="小数点2桁 2 16" xfId="3144"/>
    <cellStyle name="小数点2桁 2 17" xfId="3158"/>
    <cellStyle name="小数点2桁 2 18" xfId="3098"/>
    <cellStyle name="小数点2桁 2 19" xfId="3168"/>
    <cellStyle name="小数点2桁 2 2" xfId="1150"/>
    <cellStyle name="小数点2桁 2 20" xfId="3179"/>
    <cellStyle name="小数点2桁 2 21" xfId="3259"/>
    <cellStyle name="小数点2桁 2 22" xfId="3390"/>
    <cellStyle name="小数点2桁 2 23" xfId="5026"/>
    <cellStyle name="小数点2桁 2 24" xfId="5381"/>
    <cellStyle name="小数点2桁 2 25" xfId="6181"/>
    <cellStyle name="小数点2桁 2 26" xfId="5869"/>
    <cellStyle name="小数点2桁 2 27" xfId="6376"/>
    <cellStyle name="小数点2桁 2 3" xfId="1271"/>
    <cellStyle name="小数点2桁 2 4" xfId="1181"/>
    <cellStyle name="小数点2桁 2 5" xfId="1236"/>
    <cellStyle name="小数点2桁 2 6" xfId="1165"/>
    <cellStyle name="小数点2桁 2 7" xfId="2300"/>
    <cellStyle name="小数点2桁 2 8" xfId="2411"/>
    <cellStyle name="小数点2桁 2 9" xfId="2471"/>
    <cellStyle name="小数点2桁 20" xfId="3270"/>
    <cellStyle name="小数点2桁 21" xfId="3488"/>
    <cellStyle name="小数点2桁 22" xfId="4067"/>
    <cellStyle name="小数点2桁 23" xfId="3928"/>
    <cellStyle name="小数点2桁 24" xfId="4344"/>
    <cellStyle name="小数点2桁 25" xfId="3432"/>
    <cellStyle name="小数点2桁 26" xfId="3418"/>
    <cellStyle name="小数点2桁 27" xfId="3507"/>
    <cellStyle name="小数点2桁 28" xfId="3667"/>
    <cellStyle name="小数点2桁 29" xfId="4673"/>
    <cellStyle name="小数点2桁 3" xfId="1116"/>
    <cellStyle name="小数点2桁 3 2" xfId="1604"/>
    <cellStyle name="小数点2桁 3 3" xfId="1695"/>
    <cellStyle name="小数点2桁 3 4" xfId="1717"/>
    <cellStyle name="小数点2桁 30" xfId="4572"/>
    <cellStyle name="小数点2桁 31" xfId="4846"/>
    <cellStyle name="小数点2桁 32" xfId="4873"/>
    <cellStyle name="小数点2桁 33" xfId="4704"/>
    <cellStyle name="小数点2桁 34" xfId="4699"/>
    <cellStyle name="小数点2桁 35" xfId="5363"/>
    <cellStyle name="小数点2桁 36" xfId="4913"/>
    <cellStyle name="小数点2桁 37" xfId="5505"/>
    <cellStyle name="小数点2桁 38" xfId="5551"/>
    <cellStyle name="小数点2桁 39" xfId="5688"/>
    <cellStyle name="小数点2桁 4" xfId="1238"/>
    <cellStyle name="小数点2桁 40" xfId="5657"/>
    <cellStyle name="小数点2桁 41" xfId="6180"/>
    <cellStyle name="小数点2桁 42" xfId="6118"/>
    <cellStyle name="小数点2桁 43" xfId="6242"/>
    <cellStyle name="小数点2桁 44" xfId="5827"/>
    <cellStyle name="小数点2桁 45" xfId="6139"/>
    <cellStyle name="小数点2桁 46" xfId="5808"/>
    <cellStyle name="小数点2桁 47" xfId="5905"/>
    <cellStyle name="小数点2桁 48" xfId="6348"/>
    <cellStyle name="小数点2桁 49" xfId="5852"/>
    <cellStyle name="小数点2桁 5" xfId="1160"/>
    <cellStyle name="小数点2桁 50" xfId="6460"/>
    <cellStyle name="小数点2桁 51" xfId="6771"/>
    <cellStyle name="小数点2桁 52" xfId="6444"/>
    <cellStyle name="小数点2桁 53" xfId="6604"/>
    <cellStyle name="小数点2桁 54" xfId="6857"/>
    <cellStyle name="小数点2桁 55" xfId="6605"/>
    <cellStyle name="小数点2桁 56" xfId="6895"/>
    <cellStyle name="小数点2桁 57" xfId="6808"/>
    <cellStyle name="小数点2桁 58" xfId="6894"/>
    <cellStyle name="小数点2桁 59" xfId="6861"/>
    <cellStyle name="小数点2桁 6" xfId="2282"/>
    <cellStyle name="小数点2桁 60" xfId="6953"/>
    <cellStyle name="小数点2桁 61" xfId="7026"/>
    <cellStyle name="小数点2桁 62" xfId="7185"/>
    <cellStyle name="小数点2桁 63" xfId="7775"/>
    <cellStyle name="小数点2桁 64" xfId="7791"/>
    <cellStyle name="小数点2桁 65" xfId="7757"/>
    <cellStyle name="小数点2桁 66" xfId="7822"/>
    <cellStyle name="小数点2桁 7" xfId="2046"/>
    <cellStyle name="小数点2桁 8" xfId="1742"/>
    <cellStyle name="小数点2桁 9" xfId="2108"/>
    <cellStyle name="強調1" xfId="910"/>
    <cellStyle name="強調1 2" xfId="4132"/>
    <cellStyle name="強調2" xfId="911"/>
    <cellStyle name="強調2 2" xfId="4133"/>
    <cellStyle name="強調3" xfId="912"/>
    <cellStyle name="強調3 2" xfId="4021"/>
    <cellStyle name="恝笵 [0.00]_!!!GO" xfId="913"/>
    <cellStyle name="恝笵_!!!GO" xfId="914"/>
    <cellStyle name="悪い" xfId="708"/>
    <cellStyle name="悪い 2" xfId="3944"/>
    <cellStyle name="整数" xfId="972"/>
    <cellStyle name="整数 2" xfId="4028"/>
    <cellStyle name="日付" xfId="915"/>
    <cellStyle name="日付 2" xfId="4087"/>
    <cellStyle name="桁区切り 2" xfId="709"/>
    <cellStyle name="桁区切り 2 2" xfId="3551"/>
    <cellStyle name="標準 2" xfId="710"/>
    <cellStyle name="標準 2 2" xfId="7502"/>
    <cellStyle name="標準_0134- YL6 KOSAI USED DIES TO VENDORS" xfId="711"/>
    <cellStyle name="標準KM02" xfId="916"/>
    <cellStyle name="標準KM02 2" xfId="3929"/>
    <cellStyle name="標準明朝" xfId="917"/>
    <cellStyle name="標準明朝 2" xfId="4065"/>
    <cellStyle name="白色" xfId="918"/>
    <cellStyle name="白色 10" xfId="4046"/>
    <cellStyle name="白色 11" xfId="4308"/>
    <cellStyle name="白色 12" xfId="4280"/>
    <cellStyle name="白色 13" xfId="4168"/>
    <cellStyle name="白色 14" xfId="3424"/>
    <cellStyle name="白色 15" xfId="4101"/>
    <cellStyle name="白色 16" xfId="4212"/>
    <cellStyle name="白色 17" xfId="4386"/>
    <cellStyle name="白色 18" xfId="4358"/>
    <cellStyle name="白色 19" xfId="3492"/>
    <cellStyle name="白色 2" xfId="1099"/>
    <cellStyle name="白色 20" xfId="4728"/>
    <cellStyle name="白色 21" xfId="4909"/>
    <cellStyle name="白色 22" xfId="5034"/>
    <cellStyle name="白色 23" xfId="5314"/>
    <cellStyle name="白色 24" xfId="5364"/>
    <cellStyle name="白色 25" xfId="4517"/>
    <cellStyle name="白色 26" xfId="5033"/>
    <cellStyle name="白色 27" xfId="5677"/>
    <cellStyle name="白色 28" xfId="5524"/>
    <cellStyle name="白色 29" xfId="5620"/>
    <cellStyle name="白色 3" xfId="1809"/>
    <cellStyle name="白色 30" xfId="5523"/>
    <cellStyle name="白色 31" xfId="5687"/>
    <cellStyle name="白色 32" xfId="6190"/>
    <cellStyle name="白色 33" xfId="5807"/>
    <cellStyle name="白色 34" xfId="6241"/>
    <cellStyle name="白色 35" xfId="5836"/>
    <cellStyle name="白色 36" xfId="5821"/>
    <cellStyle name="白色 37" xfId="6083"/>
    <cellStyle name="白色 38" xfId="5871"/>
    <cellStyle name="白色 39" xfId="6283"/>
    <cellStyle name="白色 4" xfId="1787"/>
    <cellStyle name="白色 40" xfId="6401"/>
    <cellStyle name="白色 41" xfId="6744"/>
    <cellStyle name="白色 42" xfId="6529"/>
    <cellStyle name="白色 43" xfId="6740"/>
    <cellStyle name="白色 44" xfId="6764"/>
    <cellStyle name="白色 45" xfId="6838"/>
    <cellStyle name="白色 46" xfId="6758"/>
    <cellStyle name="白色 47" xfId="6710"/>
    <cellStyle name="白色 48" xfId="6943"/>
    <cellStyle name="白色 49" xfId="7526"/>
    <cellStyle name="白色 5" xfId="2346"/>
    <cellStyle name="白色 50" xfId="7739"/>
    <cellStyle name="白色 51" xfId="7597"/>
    <cellStyle name="白色 52" xfId="7134"/>
    <cellStyle name="白色 53" xfId="7676"/>
    <cellStyle name="白色 54" xfId="7806"/>
    <cellStyle name="白色 55" xfId="7728"/>
    <cellStyle name="白色 6" xfId="1795"/>
    <cellStyle name="白色 7" xfId="2022"/>
    <cellStyle name="白色 8" xfId="2453"/>
    <cellStyle name="白色 9" xfId="2784"/>
    <cellStyle name="細明朝10" xfId="919"/>
    <cellStyle name="細明朝10 2" xfId="4134"/>
    <cellStyle name="細明朝12" xfId="920"/>
    <cellStyle name="細明朝12 2" xfId="3981"/>
    <cellStyle name="細明朝14" xfId="921"/>
    <cellStyle name="細明朝14 2" xfId="3720"/>
    <cellStyle name="脱浦 [0.00]_J54A・国殿・燃琶" xfId="922"/>
    <cellStyle name="脱浦_J54A・国殿・燃琶" xfId="923"/>
    <cellStyle name="良い" xfId="712"/>
    <cellStyle name="良い 2" xfId="3452"/>
    <cellStyle name="袒飜・ﾇﾋ [0.00]_!!!GO" xfId="924"/>
    <cellStyle name="袒飜・ﾇﾋ_!!!GO" xfId="925"/>
    <cellStyle name="見出し 1" xfId="713"/>
    <cellStyle name="見出し 1 2" xfId="4135"/>
    <cellStyle name="見出し 2" xfId="714"/>
    <cellStyle name="見出し 2 2" xfId="3504"/>
    <cellStyle name="見出し 3" xfId="715"/>
    <cellStyle name="見出し 3 2" xfId="3506"/>
    <cellStyle name="見出し 4" xfId="716"/>
    <cellStyle name="見出し 4 2" xfId="4136"/>
    <cellStyle name="計算" xfId="717"/>
    <cellStyle name="計算 10" xfId="1930"/>
    <cellStyle name="計算 11" xfId="2492"/>
    <cellStyle name="計算 12" xfId="1942"/>
    <cellStyle name="計算 13" xfId="2750"/>
    <cellStyle name="計算 14" xfId="2815"/>
    <cellStyle name="計算 15" xfId="2721"/>
    <cellStyle name="計算 16" xfId="2626"/>
    <cellStyle name="計算 17" xfId="2521"/>
    <cellStyle name="計算 18" xfId="2156"/>
    <cellStyle name="計算 19" xfId="2990"/>
    <cellStyle name="計算 2" xfId="718"/>
    <cellStyle name="計算 2 10" xfId="1790"/>
    <cellStyle name="計算 2 11" xfId="2067"/>
    <cellStyle name="計算 2 12" xfId="2464"/>
    <cellStyle name="計算 2 13" xfId="2695"/>
    <cellStyle name="計算 2 14" xfId="2013"/>
    <cellStyle name="計算 2 15" xfId="2758"/>
    <cellStyle name="計算 2 16" xfId="2880"/>
    <cellStyle name="計算 2 17" xfId="2313"/>
    <cellStyle name="計算 2 18" xfId="2895"/>
    <cellStyle name="計算 2 19" xfId="3006"/>
    <cellStyle name="計算 2 2" xfId="1067"/>
    <cellStyle name="計算 2 2 10" xfId="2553"/>
    <cellStyle name="計算 2 2 11" xfId="2601"/>
    <cellStyle name="計算 2 2 12" xfId="2650"/>
    <cellStyle name="計算 2 2 13" xfId="1804"/>
    <cellStyle name="計算 2 2 14" xfId="2723"/>
    <cellStyle name="計算 2 2 15" xfId="2465"/>
    <cellStyle name="計算 2 2 16" xfId="2834"/>
    <cellStyle name="計算 2 2 17" xfId="2875"/>
    <cellStyle name="計算 2 2 18" xfId="2904"/>
    <cellStyle name="計算 2 2 19" xfId="2931"/>
    <cellStyle name="計算 2 2 2" xfId="1148"/>
    <cellStyle name="計算 2 2 20" xfId="3145"/>
    <cellStyle name="計算 2 2 21" xfId="2983"/>
    <cellStyle name="計算 2 2 22" xfId="3169"/>
    <cellStyle name="計算 2 2 23" xfId="3180"/>
    <cellStyle name="計算 2 2 24" xfId="3260"/>
    <cellStyle name="計算 2 2 25" xfId="3387"/>
    <cellStyle name="計算 2 2 26" xfId="5041"/>
    <cellStyle name="計算 2 2 27" xfId="5118"/>
    <cellStyle name="計算 2 2 28" xfId="5163"/>
    <cellStyle name="計算 2 2 29" xfId="5212"/>
    <cellStyle name="計算 2 2 3" xfId="1407"/>
    <cellStyle name="計算 2 2 30" xfId="5197"/>
    <cellStyle name="計算 2 2 31" xfId="5303"/>
    <cellStyle name="計算 2 2 32" xfId="5300"/>
    <cellStyle name="計算 2 2 33" xfId="5411"/>
    <cellStyle name="計算 2 2 34" xfId="5427"/>
    <cellStyle name="計算 2 2 35" xfId="5448"/>
    <cellStyle name="計算 2 2 36" xfId="5066"/>
    <cellStyle name="計算 2 2 37" xfId="6195"/>
    <cellStyle name="計算 2 2 38" xfId="6297"/>
    <cellStyle name="計算 2 2 39" xfId="6372"/>
    <cellStyle name="計算 2 2 4" xfId="1651"/>
    <cellStyle name="計算 2 2 5" xfId="1634"/>
    <cellStyle name="計算 2 2 6" xfId="2301"/>
    <cellStyle name="計算 2 2 7" xfId="2366"/>
    <cellStyle name="計算 2 2 8" xfId="2034"/>
    <cellStyle name="計算 2 2 9" xfId="2472"/>
    <cellStyle name="計算 2 20" xfId="3106"/>
    <cellStyle name="計算 2 21" xfId="3155"/>
    <cellStyle name="計算 2 22" xfId="3200"/>
    <cellStyle name="計算 2 23" xfId="3315"/>
    <cellStyle name="計算 2 24" xfId="3293"/>
    <cellStyle name="計算 2 25" xfId="3941"/>
    <cellStyle name="計算 2 26" xfId="4204"/>
    <cellStyle name="計算 2 27" xfId="3763"/>
    <cellStyle name="計算 2 28" xfId="3845"/>
    <cellStyle name="計算 2 29" xfId="4461"/>
    <cellStyle name="計算 2 3" xfId="959"/>
    <cellStyle name="計算 2 3 2" xfId="1602"/>
    <cellStyle name="計算 2 3 3" xfId="1693"/>
    <cellStyle name="計算 2 3 4" xfId="1715"/>
    <cellStyle name="計算 2 30" xfId="3864"/>
    <cellStyle name="計算 2 31" xfId="3440"/>
    <cellStyle name="計算 2 32" xfId="4492"/>
    <cellStyle name="計算 2 33" xfId="4474"/>
    <cellStyle name="計算 2 34" xfId="4500"/>
    <cellStyle name="計算 2 35" xfId="3965"/>
    <cellStyle name="計算 2 36" xfId="3959"/>
    <cellStyle name="計算 2 37" xfId="3827"/>
    <cellStyle name="計算 2 38" xfId="4776"/>
    <cellStyle name="計算 2 39" xfId="5040"/>
    <cellStyle name="計算 2 4" xfId="1114"/>
    <cellStyle name="計算 2 40" xfId="5117"/>
    <cellStyle name="計算 2 41" xfId="5162"/>
    <cellStyle name="計算 2 42" xfId="5211"/>
    <cellStyle name="計算 2 43" xfId="5196"/>
    <cellStyle name="計算 2 44" xfId="5302"/>
    <cellStyle name="計算 2 45" xfId="5299"/>
    <cellStyle name="計算 2 46" xfId="4683"/>
    <cellStyle name="計算 2 47" xfId="5426"/>
    <cellStyle name="計算 2 48" xfId="5447"/>
    <cellStyle name="計算 2 49" xfId="5339"/>
    <cellStyle name="計算 2 5" xfId="1183"/>
    <cellStyle name="計算 2 50" xfId="3814"/>
    <cellStyle name="計算 2 51" xfId="5007"/>
    <cellStyle name="計算 2 52" xfId="5454"/>
    <cellStyle name="計算 2 53" xfId="5635"/>
    <cellStyle name="計算 2 54" xfId="5587"/>
    <cellStyle name="計算 2 55" xfId="5582"/>
    <cellStyle name="計算 2 56" xfId="5515"/>
    <cellStyle name="計算 2 57" xfId="5686"/>
    <cellStyle name="計算 2 58" xfId="5879"/>
    <cellStyle name="計算 2 59" xfId="5982"/>
    <cellStyle name="計算 2 6" xfId="1975"/>
    <cellStyle name="計算 2 60" xfId="5847"/>
    <cellStyle name="計算 2 61" xfId="5980"/>
    <cellStyle name="計算 2 62" xfId="5952"/>
    <cellStyle name="計算 2 63" xfId="6251"/>
    <cellStyle name="計算 2 64" xfId="6274"/>
    <cellStyle name="計算 2 65" xfId="6286"/>
    <cellStyle name="計算 2 66" xfId="6122"/>
    <cellStyle name="計算 2 67" xfId="6387"/>
    <cellStyle name="計算 2 68" xfId="6093"/>
    <cellStyle name="計算 2 69" xfId="6473"/>
    <cellStyle name="計算 2 7" xfId="2032"/>
    <cellStyle name="計算 2 70" xfId="6445"/>
    <cellStyle name="計算 2 71" xfId="6601"/>
    <cellStyle name="計算 2 72" xfId="6679"/>
    <cellStyle name="計算 2 73" xfId="6792"/>
    <cellStyle name="計算 2 74" xfId="6641"/>
    <cellStyle name="計算 2 75" xfId="6828"/>
    <cellStyle name="計算 2 76" xfId="6897"/>
    <cellStyle name="計算 2 77" xfId="6472"/>
    <cellStyle name="計算 2 78" xfId="7443"/>
    <cellStyle name="計算 2 79" xfId="7670"/>
    <cellStyle name="計算 2 8" xfId="2277"/>
    <cellStyle name="計算 2 80" xfId="7782"/>
    <cellStyle name="計算 2 81" xfId="7457"/>
    <cellStyle name="計算 2 82" xfId="7639"/>
    <cellStyle name="計算 2 83" xfId="7507"/>
    <cellStyle name="計算 2 9" xfId="2181"/>
    <cellStyle name="計算 20" xfId="3003"/>
    <cellStyle name="計算 21" xfId="2953"/>
    <cellStyle name="計算 22" xfId="3314"/>
    <cellStyle name="計算 23" xfId="3294"/>
    <cellStyle name="計算 24" xfId="4137"/>
    <cellStyle name="計算 25" xfId="4397"/>
    <cellStyle name="計算 26" xfId="4442"/>
    <cellStyle name="計算 27" xfId="4488"/>
    <cellStyle name="計算 28" xfId="4532"/>
    <cellStyle name="計算 29" xfId="4579"/>
    <cellStyle name="計算 3" xfId="996"/>
    <cellStyle name="計算 3 10" xfId="2619"/>
    <cellStyle name="計算 3 11" xfId="2667"/>
    <cellStyle name="計算 3 12" xfId="2717"/>
    <cellStyle name="計算 3 13" xfId="2442"/>
    <cellStyle name="計算 3 14" xfId="2820"/>
    <cellStyle name="計算 3 15" xfId="2847"/>
    <cellStyle name="計算 3 16" xfId="2891"/>
    <cellStyle name="計算 3 17" xfId="2917"/>
    <cellStyle name="計算 3 18" xfId="2943"/>
    <cellStyle name="計算 3 19" xfId="3261"/>
    <cellStyle name="計算 3 2" xfId="1126"/>
    <cellStyle name="計算 3 20" xfId="3363"/>
    <cellStyle name="計算 3 21" xfId="5042"/>
    <cellStyle name="計算 3 22" xfId="5119"/>
    <cellStyle name="計算 3 23" xfId="5164"/>
    <cellStyle name="計算 3 24" xfId="5213"/>
    <cellStyle name="計算 3 25" xfId="5198"/>
    <cellStyle name="計算 3 26" xfId="5304"/>
    <cellStyle name="計算 3 27" xfId="5353"/>
    <cellStyle name="計算 3 28" xfId="5412"/>
    <cellStyle name="計算 3 29" xfId="5428"/>
    <cellStyle name="計算 3 3" xfId="1189"/>
    <cellStyle name="計算 3 30" xfId="5449"/>
    <cellStyle name="計算 3 31" xfId="6196"/>
    <cellStyle name="計算 3 4" xfId="1192"/>
    <cellStyle name="計算 3 5" xfId="1196"/>
    <cellStyle name="計算 3 6" xfId="2384"/>
    <cellStyle name="計算 3 7" xfId="2437"/>
    <cellStyle name="計算 3 8" xfId="2488"/>
    <cellStyle name="計算 3 9" xfId="2568"/>
    <cellStyle name="計算 30" xfId="4621"/>
    <cellStyle name="計算 31" xfId="4663"/>
    <cellStyle name="計算 32" xfId="3524"/>
    <cellStyle name="計算 33" xfId="4761"/>
    <cellStyle name="計算 34" xfId="4267"/>
    <cellStyle name="計算 35" xfId="4853"/>
    <cellStyle name="計算 36" xfId="4603"/>
    <cellStyle name="計算 37" xfId="4933"/>
    <cellStyle name="計算 38" xfId="5039"/>
    <cellStyle name="計算 39" xfId="5116"/>
    <cellStyle name="計算 4" xfId="946"/>
    <cellStyle name="計算 4 2" xfId="1329"/>
    <cellStyle name="計算 4 3" xfId="1201"/>
    <cellStyle name="計算 4 4" xfId="1642"/>
    <cellStyle name="計算 40" xfId="5161"/>
    <cellStyle name="計算 41" xfId="5210"/>
    <cellStyle name="計算 42" xfId="5195"/>
    <cellStyle name="計算 43" xfId="5301"/>
    <cellStyle name="計算 44" xfId="5298"/>
    <cellStyle name="計算 45" xfId="5336"/>
    <cellStyle name="計算 46" xfId="5425"/>
    <cellStyle name="計算 47" xfId="5446"/>
    <cellStyle name="計算 48" xfId="5030"/>
    <cellStyle name="計算 49" xfId="5229"/>
    <cellStyle name="計算 5" xfId="1838"/>
    <cellStyle name="計算 50" xfId="5470"/>
    <cellStyle name="計算 51" xfId="5179"/>
    <cellStyle name="計算 52" xfId="5697"/>
    <cellStyle name="計算 53" xfId="5718"/>
    <cellStyle name="計算 54" xfId="5733"/>
    <cellStyle name="計算 55" xfId="5746"/>
    <cellStyle name="計算 56" xfId="5755"/>
    <cellStyle name="計算 57" xfId="5774"/>
    <cellStyle name="計算 58" xfId="6230"/>
    <cellStyle name="計算 59" xfId="6255"/>
    <cellStyle name="計算 6" xfId="2212"/>
    <cellStyle name="計算 60" xfId="6275"/>
    <cellStyle name="計算 61" xfId="6301"/>
    <cellStyle name="計算 62" xfId="6325"/>
    <cellStyle name="計算 63" xfId="6344"/>
    <cellStyle name="計算 64" xfId="6055"/>
    <cellStyle name="計算 65" xfId="5918"/>
    <cellStyle name="計算 66" xfId="6413"/>
    <cellStyle name="計算 67" xfId="6422"/>
    <cellStyle name="計算 68" xfId="6811"/>
    <cellStyle name="計算 69" xfId="6842"/>
    <cellStyle name="計算 7" xfId="1923"/>
    <cellStyle name="計算 70" xfId="6538"/>
    <cellStyle name="計算 71" xfId="6751"/>
    <cellStyle name="計算 72" xfId="6713"/>
    <cellStyle name="計算 73" xfId="6579"/>
    <cellStyle name="計算 74" xfId="6552"/>
    <cellStyle name="計算 75" xfId="6526"/>
    <cellStyle name="計算 76" xfId="6908"/>
    <cellStyle name="計算 77" xfId="7598"/>
    <cellStyle name="計算 78" xfId="7473"/>
    <cellStyle name="計算 79" xfId="7690"/>
    <cellStyle name="計算 8" xfId="1860"/>
    <cellStyle name="計算 80" xfId="7814"/>
    <cellStyle name="計算 81" xfId="7736"/>
    <cellStyle name="計算 82" xfId="7836"/>
    <cellStyle name="計算 9" xfId="1982"/>
    <cellStyle name="説明文" xfId="719"/>
    <cellStyle name="説明文 2" xfId="4138"/>
    <cellStyle name="警告文" xfId="720"/>
    <cellStyle name="警告文 2" xfId="4139"/>
    <cellStyle name="超連結 2" xfId="721"/>
    <cellStyle name="集計" xfId="722"/>
    <cellStyle name="集計 10" xfId="2114"/>
    <cellStyle name="集計 11" xfId="2072"/>
    <cellStyle name="集計 12" xfId="1920"/>
    <cellStyle name="集計 13" xfId="1945"/>
    <cellStyle name="集計 14" xfId="2739"/>
    <cellStyle name="集計 15" xfId="2804"/>
    <cellStyle name="集計 16" xfId="2688"/>
    <cellStyle name="集計 17" xfId="2052"/>
    <cellStyle name="集計 18" xfId="2792"/>
    <cellStyle name="集計 19" xfId="2703"/>
    <cellStyle name="集計 2" xfId="723"/>
    <cellStyle name="集計 2 10" xfId="2426"/>
    <cellStyle name="集計 2 11" xfId="1806"/>
    <cellStyle name="集計 2 12" xfId="2511"/>
    <cellStyle name="集計 2 13" xfId="2644"/>
    <cellStyle name="集計 2 14" xfId="2586"/>
    <cellStyle name="集計 2 15" xfId="2057"/>
    <cellStyle name="集計 2 16" xfId="2857"/>
    <cellStyle name="集計 2 17" xfId="2700"/>
    <cellStyle name="集計 2 18" xfId="2218"/>
    <cellStyle name="集計 2 19" xfId="2951"/>
    <cellStyle name="集計 2 2" xfId="1068"/>
    <cellStyle name="集計 2 2 10" xfId="2524"/>
    <cellStyle name="集計 2 2 11" xfId="2554"/>
    <cellStyle name="集計 2 2 12" xfId="2602"/>
    <cellStyle name="集計 2 2 13" xfId="2651"/>
    <cellStyle name="集計 2 2 14" xfId="2583"/>
    <cellStyle name="集計 2 2 15" xfId="2726"/>
    <cellStyle name="集計 2 2 16" xfId="2546"/>
    <cellStyle name="集計 2 2 17" xfId="2835"/>
    <cellStyle name="集計 2 2 18" xfId="2876"/>
    <cellStyle name="集計 2 2 19" xfId="2905"/>
    <cellStyle name="集計 2 2 2" xfId="1149"/>
    <cellStyle name="集計 2 2 20" xfId="2932"/>
    <cellStyle name="集計 2 2 21" xfId="3146"/>
    <cellStyle name="集計 2 2 22" xfId="3001"/>
    <cellStyle name="集計 2 2 23" xfId="3170"/>
    <cellStyle name="集計 2 2 24" xfId="3181"/>
    <cellStyle name="集計 2 2 25" xfId="3262"/>
    <cellStyle name="集計 2 2 26" xfId="5044"/>
    <cellStyle name="集計 2 2 27" xfId="5123"/>
    <cellStyle name="集計 2 2 28" xfId="5169"/>
    <cellStyle name="集計 2 2 29" xfId="5218"/>
    <cellStyle name="集計 2 2 3" xfId="1162"/>
    <cellStyle name="集計 2 2 30" xfId="5201"/>
    <cellStyle name="集計 2 2 31" xfId="5309"/>
    <cellStyle name="集計 2 2 32" xfId="5356"/>
    <cellStyle name="集計 2 2 33" xfId="5415"/>
    <cellStyle name="集計 2 2 34" xfId="5452"/>
    <cellStyle name="集計 2 2 35" xfId="5035"/>
    <cellStyle name="集計 2 2 36" xfId="6201"/>
    <cellStyle name="集計 2 2 37" xfId="6067"/>
    <cellStyle name="集計 2 2 38" xfId="6373"/>
    <cellStyle name="集計 2 2 4" xfId="1248"/>
    <cellStyle name="集計 2 2 5" xfId="1635"/>
    <cellStyle name="集計 2 2 6" xfId="2302"/>
    <cellStyle name="集計 2 2 7" xfId="2367"/>
    <cellStyle name="集計 2 2 8" xfId="2233"/>
    <cellStyle name="集計 2 2 9" xfId="2473"/>
    <cellStyle name="集計 2 20" xfId="3104"/>
    <cellStyle name="集計 2 21" xfId="3016"/>
    <cellStyle name="集計 2 22" xfId="3201"/>
    <cellStyle name="集計 2 23" xfId="3292"/>
    <cellStyle name="集計 2 24" xfId="3712"/>
    <cellStyle name="集計 2 25" xfId="3870"/>
    <cellStyle name="集計 2 26" xfId="3638"/>
    <cellStyle name="集計 2 27" xfId="3552"/>
    <cellStyle name="集計 2 28" xfId="4417"/>
    <cellStyle name="集計 2 29" xfId="3448"/>
    <cellStyle name="集計 2 3" xfId="960"/>
    <cellStyle name="集計 2 3 2" xfId="1603"/>
    <cellStyle name="集計 2 3 3" xfId="1694"/>
    <cellStyle name="集計 2 3 4" xfId="1716"/>
    <cellStyle name="集計 2 30" xfId="3783"/>
    <cellStyle name="集計 2 31" xfId="3547"/>
    <cellStyle name="集計 2 32" xfId="4335"/>
    <cellStyle name="集計 2 33" xfId="4526"/>
    <cellStyle name="集計 2 34" xfId="3903"/>
    <cellStyle name="集計 2 35" xfId="3968"/>
    <cellStyle name="集計 2 36" xfId="4832"/>
    <cellStyle name="集計 2 37" xfId="4017"/>
    <cellStyle name="集計 2 38" xfId="4656"/>
    <cellStyle name="集計 2 39" xfId="4160"/>
    <cellStyle name="集計 2 4" xfId="1115"/>
    <cellStyle name="集計 2 40" xfId="5122"/>
    <cellStyle name="集計 2 41" xfId="5168"/>
    <cellStyle name="集計 2 42" xfId="5217"/>
    <cellStyle name="集計 2 43" xfId="5200"/>
    <cellStyle name="集計 2 44" xfId="5308"/>
    <cellStyle name="集計 2 45" xfId="5355"/>
    <cellStyle name="集計 2 46" xfId="3769"/>
    <cellStyle name="集計 2 47" xfId="5451"/>
    <cellStyle name="集計 2 48" xfId="5021"/>
    <cellStyle name="集計 2 49" xfId="5159"/>
    <cellStyle name="集計 2 5" xfId="1226"/>
    <cellStyle name="集計 2 50" xfId="4895"/>
    <cellStyle name="集計 2 51" xfId="5178"/>
    <cellStyle name="集計 2 52" xfId="5579"/>
    <cellStyle name="集計 2 53" xfId="5637"/>
    <cellStyle name="集計 2 54" xfId="5529"/>
    <cellStyle name="集計 2 55" xfId="5738"/>
    <cellStyle name="集計 2 56" xfId="5681"/>
    <cellStyle name="集計 2 57" xfId="6014"/>
    <cellStyle name="集計 2 58" xfId="5944"/>
    <cellStyle name="集計 2 59" xfId="5960"/>
    <cellStyle name="集計 2 6" xfId="1800"/>
    <cellStyle name="集計 2 60" xfId="6203"/>
    <cellStyle name="集計 2 61" xfId="5995"/>
    <cellStyle name="集計 2 62" xfId="5941"/>
    <cellStyle name="集計 2 63" xfId="6104"/>
    <cellStyle name="集計 2 64" xfId="6088"/>
    <cellStyle name="集計 2 65" xfId="5992"/>
    <cellStyle name="集計 2 66" xfId="6379"/>
    <cellStyle name="集計 2 67" xfId="6333"/>
    <cellStyle name="集計 2 68" xfId="6706"/>
    <cellStyle name="集計 2 69" xfId="6612"/>
    <cellStyle name="集計 2 7" xfId="1872"/>
    <cellStyle name="集計 2 70" xfId="6436"/>
    <cellStyle name="集計 2 71" xfId="6504"/>
    <cellStyle name="集計 2 72" xfId="6742"/>
    <cellStyle name="集計 2 73" xfId="6815"/>
    <cellStyle name="集計 2 74" xfId="6449"/>
    <cellStyle name="集計 2 75" xfId="6900"/>
    <cellStyle name="集計 2 76" xfId="6914"/>
    <cellStyle name="集計 2 77" xfId="6904"/>
    <cellStyle name="集計 2 78" xfId="7219"/>
    <cellStyle name="集計 2 79" xfId="7638"/>
    <cellStyle name="集計 2 8" xfId="2016"/>
    <cellStyle name="集計 2 80" xfId="7719"/>
    <cellStyle name="集計 2 81" xfId="7703"/>
    <cellStyle name="集計 2 82" xfId="7534"/>
    <cellStyle name="集計 2 83" xfId="7764"/>
    <cellStyle name="集計 2 84" xfId="7684"/>
    <cellStyle name="集計 2 9" xfId="2360"/>
    <cellStyle name="集計 20" xfId="2958"/>
    <cellStyle name="集計 21" xfId="2976"/>
    <cellStyle name="集計 22" xfId="3058"/>
    <cellStyle name="集計 23" xfId="3397"/>
    <cellStyle name="集計 24" xfId="4140"/>
    <cellStyle name="集計 25" xfId="4399"/>
    <cellStyle name="集計 26" xfId="4444"/>
    <cellStyle name="集計 27" xfId="4491"/>
    <cellStyle name="集計 28" xfId="4535"/>
    <cellStyle name="集計 29" xfId="4582"/>
    <cellStyle name="集計 3" xfId="997"/>
    <cellStyle name="集計 3 10" xfId="2569"/>
    <cellStyle name="集計 3 11" xfId="2620"/>
    <cellStyle name="集計 3 12" xfId="2668"/>
    <cellStyle name="集計 3 13" xfId="2718"/>
    <cellStyle name="集計 3 14" xfId="2637"/>
    <cellStyle name="集計 3 15" xfId="2821"/>
    <cellStyle name="集計 3 16" xfId="2848"/>
    <cellStyle name="集計 3 17" xfId="2892"/>
    <cellStyle name="集計 3 18" xfId="2918"/>
    <cellStyle name="集計 3 19" xfId="2944"/>
    <cellStyle name="集計 3 2" xfId="1127"/>
    <cellStyle name="集計 3 20" xfId="3263"/>
    <cellStyle name="集計 3 21" xfId="5045"/>
    <cellStyle name="集計 3 22" xfId="5124"/>
    <cellStyle name="集計 3 23" xfId="5170"/>
    <cellStyle name="集計 3 24" xfId="5219"/>
    <cellStyle name="集計 3 25" xfId="5202"/>
    <cellStyle name="集計 3 26" xfId="5310"/>
    <cellStyle name="集計 3 27" xfId="5357"/>
    <cellStyle name="集計 3 28" xfId="5416"/>
    <cellStyle name="集計 3 29" xfId="5453"/>
    <cellStyle name="集計 3 3" xfId="1453"/>
    <cellStyle name="集計 3 30" xfId="6202"/>
    <cellStyle name="集計 3 4" xfId="1668"/>
    <cellStyle name="集計 3 5" xfId="1626"/>
    <cellStyle name="集計 3 6" xfId="2385"/>
    <cellStyle name="集計 3 7" xfId="2438"/>
    <cellStyle name="集計 3 8" xfId="2489"/>
    <cellStyle name="集計 3 9" xfId="2534"/>
    <cellStyle name="集計 30" xfId="4624"/>
    <cellStyle name="集計 31" xfId="4666"/>
    <cellStyle name="集計 32" xfId="4709"/>
    <cellStyle name="集計 33" xfId="4524"/>
    <cellStyle name="集計 34" xfId="4762"/>
    <cellStyle name="集計 35" xfId="4097"/>
    <cellStyle name="集計 36" xfId="4856"/>
    <cellStyle name="集計 37" xfId="4890"/>
    <cellStyle name="集計 38" xfId="3669"/>
    <cellStyle name="集計 39" xfId="4934"/>
    <cellStyle name="集計 4" xfId="775"/>
    <cellStyle name="集計 4 2" xfId="1327"/>
    <cellStyle name="集計 4 3" xfId="1202"/>
    <cellStyle name="集計 4 4" xfId="1252"/>
    <cellStyle name="集計 40" xfId="5121"/>
    <cellStyle name="集計 41" xfId="5167"/>
    <cellStyle name="集計 42" xfId="5216"/>
    <cellStyle name="集計 43" xfId="5199"/>
    <cellStyle name="集計 44" xfId="5307"/>
    <cellStyle name="集計 45" xfId="5354"/>
    <cellStyle name="集計 46" xfId="5337"/>
    <cellStyle name="集計 47" xfId="5450"/>
    <cellStyle name="集計 48" xfId="4727"/>
    <cellStyle name="集計 49" xfId="5422"/>
    <cellStyle name="集計 5" xfId="1839"/>
    <cellStyle name="集計 50" xfId="5471"/>
    <cellStyle name="集計 51" xfId="5242"/>
    <cellStyle name="集計 52" xfId="5700"/>
    <cellStyle name="集計 53" xfId="5719"/>
    <cellStyle name="集計 54" xfId="5734"/>
    <cellStyle name="集計 55" xfId="5749"/>
    <cellStyle name="集計 56" xfId="5756"/>
    <cellStyle name="集計 57" xfId="5771"/>
    <cellStyle name="集計 58" xfId="6233"/>
    <cellStyle name="集計 59" xfId="6256"/>
    <cellStyle name="集計 6" xfId="1996"/>
    <cellStyle name="集計 60" xfId="6278"/>
    <cellStyle name="集計 61" xfId="6304"/>
    <cellStyle name="集計 62" xfId="6328"/>
    <cellStyle name="集計 63" xfId="6346"/>
    <cellStyle name="集計 64" xfId="6332"/>
    <cellStyle name="集計 65" xfId="6236"/>
    <cellStyle name="集計 66" xfId="6416"/>
    <cellStyle name="集計 67" xfId="6423"/>
    <cellStyle name="集計 68" xfId="6812"/>
    <cellStyle name="集計 69" xfId="6843"/>
    <cellStyle name="集計 7" xfId="1767"/>
    <cellStyle name="集計 70" xfId="6457"/>
    <cellStyle name="集計 71" xfId="6781"/>
    <cellStyle name="集計 72" xfId="6841"/>
    <cellStyle name="集計 73" xfId="6442"/>
    <cellStyle name="集計 74" xfId="6913"/>
    <cellStyle name="集計 75" xfId="6940"/>
    <cellStyle name="集計 76" xfId="6884"/>
    <cellStyle name="集計 77" xfId="6547"/>
    <cellStyle name="集計 78" xfId="7600"/>
    <cellStyle name="集計 79" xfId="7780"/>
    <cellStyle name="集計 8" xfId="2024"/>
    <cellStyle name="集計 80" xfId="7609"/>
    <cellStyle name="集計 81" xfId="7431"/>
    <cellStyle name="集計 82" xfId="7816"/>
    <cellStyle name="集計 83" xfId="7721"/>
    <cellStyle name="集計 84" xfId="7837"/>
    <cellStyle name="集計 9" xfId="2304"/>
  </cellStyles>
  <dxfs count="12">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s>
  <tableStyles count="1" defaultTableStyle="TableStyleMedium9" defaultPivotStyle="PivotStyleLight16">
    <tableStyle name="Invisible" pivot="0" table="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3</xdr:row>
      <xdr:rowOff>0</xdr:rowOff>
    </xdr:from>
    <xdr:to>
      <xdr:col>22</xdr:col>
      <xdr:colOff>1</xdr:colOff>
      <xdr:row>11</xdr:row>
      <xdr:rowOff>28575</xdr:rowOff>
    </xdr:to>
    <xdr:pic>
      <xdr:nvPicPr>
        <xdr:cNvPr id="5" name="Picture 4">
          <a:extLst>
            <a:ext uri="{FF2B5EF4-FFF2-40B4-BE49-F238E27FC236}">
              <a16:creationId xmlns:a16="http://schemas.microsoft.com/office/drawing/2014/main" xmlns="" id="{00000000-0008-0000-0F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1" y="571500"/>
          <a:ext cx="1280160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15</xdr:row>
      <xdr:rowOff>19050</xdr:rowOff>
    </xdr:from>
    <xdr:to>
      <xdr:col>21</xdr:col>
      <xdr:colOff>419100</xdr:colOff>
      <xdr:row>24</xdr:row>
      <xdr:rowOff>32687</xdr:rowOff>
    </xdr:to>
    <xdr:pic>
      <xdr:nvPicPr>
        <xdr:cNvPr id="10" name="Picture 9">
          <a:extLst>
            <a:ext uri="{FF2B5EF4-FFF2-40B4-BE49-F238E27FC236}">
              <a16:creationId xmlns:a16="http://schemas.microsoft.com/office/drawing/2014/main" xmlns="" id="{00000000-0008-0000-0F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8650" y="2876550"/>
          <a:ext cx="12592050" cy="17281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21</xdr:col>
      <xdr:colOff>428625</xdr:colOff>
      <xdr:row>35</xdr:row>
      <xdr:rowOff>114300</xdr:rowOff>
    </xdr:to>
    <xdr:pic>
      <xdr:nvPicPr>
        <xdr:cNvPr id="11" name="Picture 10">
          <a:extLst>
            <a:ext uri="{FF2B5EF4-FFF2-40B4-BE49-F238E27FC236}">
              <a16:creationId xmlns:a16="http://schemas.microsoft.com/office/drawing/2014/main" xmlns="" id="{00000000-0008-0000-0F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9600" y="5334000"/>
          <a:ext cx="12620625" cy="144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40</xdr:row>
      <xdr:rowOff>0</xdr:rowOff>
    </xdr:from>
    <xdr:to>
      <xdr:col>21</xdr:col>
      <xdr:colOff>381000</xdr:colOff>
      <xdr:row>47</xdr:row>
      <xdr:rowOff>161925</xdr:rowOff>
    </xdr:to>
    <xdr:pic>
      <xdr:nvPicPr>
        <xdr:cNvPr id="12" name="Picture 11">
          <a:extLst>
            <a:ext uri="{FF2B5EF4-FFF2-40B4-BE49-F238E27FC236}">
              <a16:creationId xmlns:a16="http://schemas.microsoft.com/office/drawing/2014/main" xmlns="" id="{00000000-0008-0000-0F00-00000C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09601" y="7620000"/>
          <a:ext cx="12572999" cy="1495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52</xdr:row>
      <xdr:rowOff>0</xdr:rowOff>
    </xdr:from>
    <xdr:to>
      <xdr:col>21</xdr:col>
      <xdr:colOff>333375</xdr:colOff>
      <xdr:row>61</xdr:row>
      <xdr:rowOff>85725</xdr:rowOff>
    </xdr:to>
    <xdr:pic>
      <xdr:nvPicPr>
        <xdr:cNvPr id="15" name="Picture 14">
          <a:extLst>
            <a:ext uri="{FF2B5EF4-FFF2-40B4-BE49-F238E27FC236}">
              <a16:creationId xmlns:a16="http://schemas.microsoft.com/office/drawing/2014/main" xmlns="" id="{00000000-0008-0000-0F00-00000F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09600" y="9906000"/>
          <a:ext cx="12525375" cy="1800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65</xdr:row>
      <xdr:rowOff>0</xdr:rowOff>
    </xdr:from>
    <xdr:to>
      <xdr:col>21</xdr:col>
      <xdr:colOff>295275</xdr:colOff>
      <xdr:row>74</xdr:row>
      <xdr:rowOff>85725</xdr:rowOff>
    </xdr:to>
    <xdr:pic>
      <xdr:nvPicPr>
        <xdr:cNvPr id="17" name="Picture 16">
          <a:extLst>
            <a:ext uri="{FF2B5EF4-FFF2-40B4-BE49-F238E27FC236}">
              <a16:creationId xmlns:a16="http://schemas.microsoft.com/office/drawing/2014/main" xmlns="" id="{00000000-0008-0000-0F00-000011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09600" y="12382500"/>
          <a:ext cx="12487275" cy="1800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bhiroop%20sinha/OneDrive%20-%20SKH%20Metals%20Limited/RFQ/YHB%20MC/YHC%20MC%20-%2016.01.2025/RFQ-55609/New%20Final%20Quote/Rev.-%2055609,%20Quote%20-%2075610-75U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bhiroop%20sinha/OneDrive%20-%20SKH%20Metals%20Limited/RFQ/YXA%20MC/YXA%20MC%2028-02-2025/RFQ%20-%2055641/New%20Final%20Quote/RFQ%2055641%20Quote%20-%20%2061530-58Q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QUOTE -75610-75U00"/>
      <sheetName val="Customer MAil."/>
      <sheetName val="COMBINED BUDGET"/>
      <sheetName val="Consumables"/>
      <sheetName val="TAKT TIME SAMPLE."/>
      <sheetName val="TAKT TIME"/>
      <sheetName val="MIG ROBO Calc."/>
      <sheetName val="Freight "/>
      <sheetName val="COMBINED BUDGET Rev.2025"/>
      <sheetName val="BOM"/>
      <sheetName val="Bop Price"/>
      <sheetName val="TOOLING"/>
      <sheetName val="BLANK PROFILE"/>
      <sheetName val="Manpower details"/>
      <sheetName val="PAINT AREA"/>
      <sheetName val="COSTING NORMS"/>
      <sheetName val="Development Cost "/>
      <sheetName val="RM"/>
      <sheetName val="RM Base "/>
      <sheetName val="FG BINS"/>
      <sheetName val="VOL"/>
      <sheetName val="Trolley PRESS"/>
      <sheetName val="WELDING EQUIPMENT"/>
      <sheetName val="TROLLEY REQUIREMENT"/>
      <sheetName val="Sheet2"/>
      <sheetName val="PROCESS FLOW"/>
      <sheetName val="REF BUDGET TOOLING"/>
      <sheetName val="Tool Rate "/>
      <sheetName val="MANPOWER DETAIL"/>
      <sheetName val="TOUR PRESS"/>
      <sheetName val="Stroke Calculation"/>
      <sheetName val="Manpower &amp; Utility cost PRESS"/>
      <sheetName val="TRANSIT COST"/>
      <sheetName val="TRAVELLING WELDING"/>
      <sheetName val="Estimated BOC cost"/>
      <sheetName val="PAYMENT RELEASE STATUS"/>
      <sheetName val="Project Justification Sheet"/>
      <sheetName val="Capacity Sheet"/>
      <sheetName val="Compatibility Report"/>
      <sheetName val="UTILITES DETAIL"/>
      <sheetName val="PRW Calcul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QUOTE -61530-58Q00"/>
      <sheetName val="Comm. with DND"/>
      <sheetName val="BOP Pricing "/>
      <sheetName val="BOM"/>
      <sheetName val="TOOLING Y17"/>
      <sheetName val="COSTING NORMS"/>
      <sheetName val="TOOLING"/>
      <sheetName val="BUDGET-0"/>
      <sheetName val="Development Cost"/>
      <sheetName val="RM"/>
      <sheetName val="RM Base "/>
      <sheetName val="Trolleys &amp; bins BIW"/>
      <sheetName val="VOL"/>
      <sheetName val="Manpower details"/>
      <sheetName val="WELDING EQUIPMENT"/>
      <sheetName val="Sheet1"/>
      <sheetName val="PROCESS"/>
      <sheetName val="TRAVELLING WELDING"/>
      <sheetName val="MANPOWER DETAIL"/>
      <sheetName val="UTILITES DETAIL"/>
      <sheetName val="BACK UP CALCULATION"/>
      <sheetName val="BOM (2)"/>
      <sheetName val="BUDGET"/>
      <sheetName val="BLANK PROFILE"/>
      <sheetName val="TAKT TIME CALC."/>
      <sheetName val="Tool Rate"/>
      <sheetName val="Trolley"/>
      <sheetName val="TOUR"/>
      <sheetName val="Stroke Calculation"/>
      <sheetName val="Manpower &amp; Utility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persons/person.xml><?xml version="1.0" encoding="utf-8"?>
<personList xmlns="http://schemas.microsoft.com/office/spreadsheetml/2018/threadedcomments" xmlns:x="http://schemas.openxmlformats.org/spreadsheetml/2006/main">
  <person displayName="Vikas Chouhan" id="{D1277C76-1531-4C64-B9FD-5648E95546E8}" userId="S::vikas.chouhan@skhmetalslimited.onmicrosoft.com::55d7af23-44e3-4479-9c3d-cfaf2c0bb94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G16" dT="2021-11-17T09:32:52.94" personId="{D1277C76-1531-4C64-B9FD-5648E95546E8}" id="{D735DEEA-7AF0-439A-9930-780A075CBABD}">
    <text>tool die cost 15.16
development- 12.84
child part fixture &amp; welding fixture- 1.5+1
values in lacs</text>
  </threadedComment>
</ThreadedComments>
</file>

<file path=xl/threadedComments/threadedComment2.xml><?xml version="1.0" encoding="utf-8"?>
<ThreadedComments xmlns="http://schemas.microsoft.com/office/spreadsheetml/2018/threadedcomments" xmlns:x="http://schemas.openxmlformats.org/spreadsheetml/2006/main">
  <threadedComment ref="AH151" dT="2021-07-16T07:25:20.25" personId="{00000000-0000-0000-0000-000000000000}" id="{671DC917-DCE2-4CD9-9E7C-42E4DC37592B}">
    <text>Business awarded settlement not done.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teams.microsoft.com/meet/4545426163995?p=ZGUzzhRb5mzawooEA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 Id="rId4" Type="http://schemas.microsoft.com/office/2017/10/relationships/threadedComment" Target="../threadedComments/threadedComment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15"/>
  <sheetViews>
    <sheetView showGridLines="0" tabSelected="1" zoomScale="60" zoomScaleNormal="60" workbookViewId="0">
      <pane xSplit="8" ySplit="2" topLeftCell="N51" activePane="bottomRight" state="frozen"/>
      <selection activeCell="S37" sqref="S37:S43"/>
      <selection pane="topRight" activeCell="S37" sqref="S37:S43"/>
      <selection pane="bottomLeft" activeCell="S37" sqref="S37:S43"/>
      <selection pane="bottomRight" activeCell="Q63" sqref="Q63"/>
    </sheetView>
  </sheetViews>
  <sheetFormatPr defaultColWidth="9.140625" defaultRowHeight="21"/>
  <cols>
    <col min="1" max="1" width="7.85546875" style="1256" bestFit="1" customWidth="1"/>
    <col min="2" max="2" width="17.85546875" style="1256" bestFit="1" customWidth="1"/>
    <col min="3" max="3" width="21.5703125" style="1256" customWidth="1"/>
    <col min="4" max="4" width="20.140625" style="1256" customWidth="1"/>
    <col min="5" max="5" width="37.85546875" style="1256" bestFit="1" customWidth="1"/>
    <col min="6" max="6" width="53.28515625" style="1256" bestFit="1" customWidth="1"/>
    <col min="7" max="7" width="28.140625" style="1256" customWidth="1"/>
    <col min="8" max="8" width="14.140625" style="1342" bestFit="1" customWidth="1"/>
    <col min="9" max="9" width="14.140625" style="1256" bestFit="1" customWidth="1"/>
    <col min="10" max="10" width="23.5703125" style="1256" customWidth="1"/>
    <col min="11" max="11" width="24.42578125" style="1256" bestFit="1" customWidth="1"/>
    <col min="12" max="12" width="17.85546875" style="1256" customWidth="1"/>
    <col min="13" max="13" width="19.7109375" style="1256" customWidth="1"/>
    <col min="14" max="14" width="24" style="1256" customWidth="1"/>
    <col min="15" max="15" width="17.5703125" style="1542" bestFit="1" customWidth="1"/>
    <col min="16" max="16" width="28.7109375" style="1256" bestFit="1" customWidth="1"/>
    <col min="17" max="18" width="16.7109375" style="1343" bestFit="1" customWidth="1"/>
    <col min="19" max="19" width="16.7109375" style="1256" bestFit="1" customWidth="1"/>
    <col min="20" max="20" width="21" style="1256" bestFit="1" customWidth="1"/>
    <col min="21" max="21" width="19.85546875" style="1256" bestFit="1" customWidth="1"/>
    <col min="22" max="23" width="16.140625" style="1256" bestFit="1" customWidth="1"/>
    <col min="24" max="24" width="17" style="1256" bestFit="1" customWidth="1"/>
    <col min="25" max="25" width="15.42578125" style="1256" bestFit="1" customWidth="1"/>
    <col min="26" max="26" width="19.140625" style="1256" bestFit="1" customWidth="1"/>
    <col min="27" max="27" width="32.7109375" style="1256" bestFit="1" customWidth="1"/>
    <col min="28" max="28" width="22" style="1256" bestFit="1" customWidth="1"/>
    <col min="29" max="29" width="20.42578125" style="1256" bestFit="1" customWidth="1"/>
    <col min="30" max="30" width="14.7109375" style="1256" bestFit="1" customWidth="1"/>
    <col min="31" max="33" width="16.140625" style="1256" bestFit="1" customWidth="1"/>
    <col min="34" max="34" width="61" style="1256" bestFit="1" customWidth="1"/>
    <col min="35" max="35" width="16.42578125" style="1256" bestFit="1" customWidth="1"/>
    <col min="36" max="36" width="19.85546875" style="1256" bestFit="1" customWidth="1"/>
    <col min="37" max="37" width="18.5703125" style="1256" customWidth="1"/>
    <col min="38" max="38" width="13.85546875" style="1256" hidden="1" customWidth="1"/>
    <col min="39" max="39" width="16.42578125" style="1256" bestFit="1" customWidth="1"/>
    <col min="40" max="40" width="19" style="1256" customWidth="1"/>
    <col min="41" max="42" width="15.85546875" style="1256" bestFit="1" customWidth="1"/>
    <col min="43" max="43" width="17.5703125" style="1256" bestFit="1" customWidth="1"/>
    <col min="44" max="44" width="12.42578125" style="1256" bestFit="1" customWidth="1"/>
    <col min="45" max="16384" width="9.140625" style="1256"/>
  </cols>
  <sheetData>
    <row r="1" spans="1:44" ht="15.75" customHeight="1">
      <c r="A1" s="1836" t="s">
        <v>0</v>
      </c>
      <c r="B1" s="1826" t="s">
        <v>1</v>
      </c>
      <c r="C1" s="1826" t="s">
        <v>1665</v>
      </c>
      <c r="D1" s="1826" t="s">
        <v>5</v>
      </c>
      <c r="E1" s="1826" t="s">
        <v>3</v>
      </c>
      <c r="F1" s="1826" t="s">
        <v>4</v>
      </c>
      <c r="G1" s="1826" t="s">
        <v>6</v>
      </c>
      <c r="H1" s="1838" t="s">
        <v>2362</v>
      </c>
      <c r="I1" s="1826" t="s">
        <v>11</v>
      </c>
      <c r="J1" s="1826" t="s">
        <v>12</v>
      </c>
      <c r="K1" s="1826" t="s">
        <v>55</v>
      </c>
      <c r="L1" s="1826" t="s">
        <v>15</v>
      </c>
      <c r="M1" s="1826" t="s">
        <v>1884</v>
      </c>
      <c r="N1" s="1826" t="s">
        <v>2928</v>
      </c>
      <c r="O1" s="1831" t="s">
        <v>1239</v>
      </c>
      <c r="P1" s="1826" t="s">
        <v>1215</v>
      </c>
      <c r="Q1" s="1254"/>
      <c r="R1" s="1254"/>
      <c r="S1" s="1255"/>
      <c r="T1" s="1833" t="s">
        <v>349</v>
      </c>
      <c r="U1" s="1834"/>
      <c r="V1" s="1834"/>
      <c r="W1" s="1834"/>
      <c r="X1" s="1834"/>
      <c r="Y1" s="1834"/>
      <c r="Z1" s="1834"/>
      <c r="AA1" s="1834"/>
      <c r="AB1" s="1835"/>
      <c r="AC1" s="1255"/>
      <c r="AD1" s="1255"/>
      <c r="AE1" s="1826" t="s">
        <v>24</v>
      </c>
      <c r="AF1" s="1826" t="s">
        <v>25</v>
      </c>
      <c r="AG1" s="1826" t="s">
        <v>26</v>
      </c>
      <c r="AH1" s="1826" t="s">
        <v>1554</v>
      </c>
      <c r="AI1" s="1826" t="s">
        <v>27</v>
      </c>
      <c r="AJ1" s="1828" t="s">
        <v>1583</v>
      </c>
      <c r="AK1" s="1829"/>
      <c r="AL1" s="1829"/>
      <c r="AM1" s="1829"/>
      <c r="AN1" s="1829"/>
      <c r="AO1" s="1829"/>
      <c r="AP1" s="1830"/>
      <c r="AQ1" s="1824" t="s">
        <v>2890</v>
      </c>
      <c r="AR1" s="1824" t="s">
        <v>23</v>
      </c>
    </row>
    <row r="2" spans="1:44" ht="105.75" thickBot="1">
      <c r="A2" s="1837"/>
      <c r="B2" s="1827"/>
      <c r="C2" s="1827"/>
      <c r="D2" s="1827"/>
      <c r="E2" s="1827"/>
      <c r="F2" s="1827"/>
      <c r="G2" s="1827"/>
      <c r="H2" s="1839"/>
      <c r="I2" s="1827"/>
      <c r="J2" s="1827"/>
      <c r="K2" s="1827"/>
      <c r="L2" s="1827"/>
      <c r="M2" s="1827"/>
      <c r="N2" s="1827"/>
      <c r="O2" s="1832"/>
      <c r="P2" s="1827"/>
      <c r="Q2" s="1257" t="s">
        <v>2396</v>
      </c>
      <c r="R2" s="1257" t="s">
        <v>2397</v>
      </c>
      <c r="S2" s="1258" t="s">
        <v>2398</v>
      </c>
      <c r="T2" s="1259" t="s">
        <v>2238</v>
      </c>
      <c r="U2" s="1259" t="s">
        <v>1240</v>
      </c>
      <c r="V2" s="1258" t="s">
        <v>249</v>
      </c>
      <c r="W2" s="1258" t="s">
        <v>2394</v>
      </c>
      <c r="X2" s="1258" t="s">
        <v>2395</v>
      </c>
      <c r="Y2" s="1258" t="s">
        <v>2385</v>
      </c>
      <c r="Z2" s="1259" t="s">
        <v>2383</v>
      </c>
      <c r="AA2" s="1259" t="s">
        <v>2387</v>
      </c>
      <c r="AB2" s="1259" t="s">
        <v>2386</v>
      </c>
      <c r="AC2" s="1258" t="s">
        <v>19</v>
      </c>
      <c r="AD2" s="1258" t="s">
        <v>2384</v>
      </c>
      <c r="AE2" s="1827"/>
      <c r="AF2" s="1827"/>
      <c r="AG2" s="1827"/>
      <c r="AH2" s="1827"/>
      <c r="AI2" s="1827"/>
      <c r="AJ2" s="1258" t="s">
        <v>1582</v>
      </c>
      <c r="AK2" s="1259" t="s">
        <v>168</v>
      </c>
      <c r="AL2" s="1259" t="s">
        <v>169</v>
      </c>
      <c r="AM2" s="1259" t="s">
        <v>350</v>
      </c>
      <c r="AN2" s="1258" t="s">
        <v>24</v>
      </c>
      <c r="AO2" s="1258" t="s">
        <v>25</v>
      </c>
      <c r="AP2" s="1258" t="s">
        <v>26</v>
      </c>
      <c r="AQ2" s="1825"/>
      <c r="AR2" s="1825"/>
    </row>
    <row r="3" spans="1:44" ht="24" thickBot="1">
      <c r="A3" s="1797">
        <v>1</v>
      </c>
      <c r="B3" s="1758" t="s">
        <v>2507</v>
      </c>
      <c r="C3" s="1267" t="s">
        <v>2917</v>
      </c>
      <c r="D3" s="1459"/>
      <c r="E3" s="1734" t="s">
        <v>2929</v>
      </c>
      <c r="F3" s="1450" t="s">
        <v>2926</v>
      </c>
      <c r="G3" s="1267" t="s">
        <v>2918</v>
      </c>
      <c r="H3" s="1451">
        <f>206000+46500</f>
        <v>252500</v>
      </c>
      <c r="I3" s="1267" t="s">
        <v>2927</v>
      </c>
      <c r="J3" s="1267" t="s">
        <v>2925</v>
      </c>
      <c r="K3" s="1386">
        <v>45750</v>
      </c>
      <c r="L3" s="1386">
        <v>45750</v>
      </c>
      <c r="M3" s="1386">
        <v>45754</v>
      </c>
      <c r="N3" s="1386">
        <v>45755</v>
      </c>
      <c r="O3" s="1386">
        <v>45765</v>
      </c>
      <c r="P3" s="1267" t="s">
        <v>2979</v>
      </c>
      <c r="Q3" s="1811">
        <v>3.7070000000000003</v>
      </c>
      <c r="R3" s="1810">
        <v>1.9890000000000001</v>
      </c>
      <c r="S3" s="1545">
        <f t="shared" ref="S3:S24" si="0">R3/Q3</f>
        <v>0.53655246830321013</v>
      </c>
      <c r="T3" s="1388">
        <v>188.91979299999994</v>
      </c>
      <c r="U3" s="1388">
        <v>260.00164419890592</v>
      </c>
      <c r="V3" s="1388">
        <v>13.530395860000002</v>
      </c>
      <c r="W3" s="1388">
        <v>3.67</v>
      </c>
      <c r="X3" s="1759">
        <v>4.43</v>
      </c>
      <c r="Y3" s="1276">
        <f t="shared" ref="Y3:Y24" si="1">V3/(U3-W3-X3)</f>
        <v>5.3713011294662959E-2</v>
      </c>
      <c r="Z3" s="1760"/>
      <c r="AA3" s="1786">
        <v>51</v>
      </c>
      <c r="AB3" s="1760">
        <v>17.995380000000001</v>
      </c>
      <c r="AC3" s="1388">
        <f t="shared" ref="AC3:AC24" si="2">U3*H3/10^7</f>
        <v>6.5650415160223741</v>
      </c>
      <c r="AD3" s="1275">
        <f t="shared" ref="AD3:AD24" si="3">T3/(U3-W3-X3)</f>
        <v>0.74997443387398299</v>
      </c>
      <c r="AE3" s="1787">
        <v>0</v>
      </c>
      <c r="AF3" s="1787">
        <v>0</v>
      </c>
      <c r="AG3" s="1787">
        <v>0</v>
      </c>
      <c r="AH3" s="1267"/>
      <c r="AI3" s="1267"/>
      <c r="AJ3" s="1267"/>
      <c r="AK3" s="1267"/>
      <c r="AL3" s="1267"/>
      <c r="AM3" s="1267"/>
      <c r="AN3" s="1267"/>
      <c r="AO3" s="1267"/>
      <c r="AP3" s="1267"/>
      <c r="AQ3" s="1387"/>
      <c r="AR3" s="1640"/>
    </row>
    <row r="4" spans="1:44" ht="24" thickBot="1">
      <c r="A4" s="1797">
        <v>2</v>
      </c>
      <c r="B4" s="1758" t="s">
        <v>1879</v>
      </c>
      <c r="C4" s="1267" t="s">
        <v>29</v>
      </c>
      <c r="D4" s="1459">
        <v>55689</v>
      </c>
      <c r="E4" s="1734" t="s">
        <v>2919</v>
      </c>
      <c r="F4" s="1450" t="s">
        <v>2923</v>
      </c>
      <c r="G4" s="1267" t="s">
        <v>2741</v>
      </c>
      <c r="H4" s="1451">
        <v>179500</v>
      </c>
      <c r="I4" s="1267" t="s">
        <v>35</v>
      </c>
      <c r="J4" s="1267" t="s">
        <v>2924</v>
      </c>
      <c r="K4" s="1386">
        <v>45762</v>
      </c>
      <c r="L4" s="1386">
        <v>45762</v>
      </c>
      <c r="M4" s="1386">
        <v>45766</v>
      </c>
      <c r="N4" s="1386">
        <v>45769</v>
      </c>
      <c r="O4" s="1386">
        <v>45780</v>
      </c>
      <c r="P4" s="1267" t="s">
        <v>2979</v>
      </c>
      <c r="Q4" s="1811">
        <v>1.8947237400000001</v>
      </c>
      <c r="R4" s="1810">
        <v>1.1319999999999999</v>
      </c>
      <c r="S4" s="1545">
        <f t="shared" si="0"/>
        <v>0.59744857580134603</v>
      </c>
      <c r="T4" s="1388">
        <v>161.7486221746</v>
      </c>
      <c r="U4" s="1388">
        <v>497.67926249866787</v>
      </c>
      <c r="V4" s="1388">
        <v>66.868318390277466</v>
      </c>
      <c r="W4" s="1388"/>
      <c r="X4" s="1759">
        <v>0</v>
      </c>
      <c r="Y4" s="1276">
        <v>4.2599999999999999E-2</v>
      </c>
      <c r="Z4" s="1760">
        <v>706.25122499999986</v>
      </c>
      <c r="AA4" s="1786"/>
      <c r="AB4" s="1760">
        <v>50.378</v>
      </c>
      <c r="AC4" s="1388">
        <f t="shared" si="2"/>
        <v>8.9333427618510886</v>
      </c>
      <c r="AD4" s="1275">
        <f t="shared" si="3"/>
        <v>0.32500575041547558</v>
      </c>
      <c r="AE4" s="1787">
        <v>0</v>
      </c>
      <c r="AF4" s="1787">
        <v>0</v>
      </c>
      <c r="AG4" s="1787">
        <v>0</v>
      </c>
      <c r="AH4" s="1267"/>
      <c r="AI4" s="1267"/>
      <c r="AJ4" s="1267"/>
      <c r="AK4" s="1267"/>
      <c r="AL4" s="1267"/>
      <c r="AM4" s="1267"/>
      <c r="AN4" s="1267"/>
      <c r="AO4" s="1267"/>
      <c r="AP4" s="1267"/>
      <c r="AQ4" s="1387"/>
      <c r="AR4" s="1640"/>
    </row>
    <row r="5" spans="1:44" ht="24" thickBot="1">
      <c r="A5" s="1797">
        <v>3</v>
      </c>
      <c r="B5" s="1758" t="s">
        <v>1879</v>
      </c>
      <c r="C5" s="1267" t="s">
        <v>29</v>
      </c>
      <c r="D5" s="1459">
        <v>56556</v>
      </c>
      <c r="E5" s="1734" t="s">
        <v>2920</v>
      </c>
      <c r="F5" s="1450" t="s">
        <v>2921</v>
      </c>
      <c r="G5" s="1267" t="s">
        <v>2741</v>
      </c>
      <c r="H5" s="1451">
        <v>179500</v>
      </c>
      <c r="I5" s="1267" t="s">
        <v>35</v>
      </c>
      <c r="J5" s="1267" t="s">
        <v>2924</v>
      </c>
      <c r="K5" s="1386">
        <v>45762</v>
      </c>
      <c r="L5" s="1386">
        <v>45762</v>
      </c>
      <c r="M5" s="1386">
        <v>45399</v>
      </c>
      <c r="N5" s="1386">
        <v>45770</v>
      </c>
      <c r="O5" s="1386">
        <v>45765</v>
      </c>
      <c r="P5" s="1267" t="s">
        <v>2979</v>
      </c>
      <c r="Q5" s="1811">
        <v>0.45945900000000001</v>
      </c>
      <c r="R5" s="1810">
        <v>0.1885</v>
      </c>
      <c r="S5" s="1545">
        <f t="shared" si="0"/>
        <v>0.41026511614746908</v>
      </c>
      <c r="T5" s="1388">
        <v>37.457716529999999</v>
      </c>
      <c r="U5" s="1388">
        <v>62.145723258729802</v>
      </c>
      <c r="V5" s="1388">
        <v>5.0468423528841218</v>
      </c>
      <c r="W5" s="1388"/>
      <c r="X5" s="1759">
        <v>1.3274465529024146</v>
      </c>
      <c r="Y5" s="1276">
        <f t="shared" si="1"/>
        <v>8.2982330744017146E-2</v>
      </c>
      <c r="Z5" s="1760">
        <v>3.5</v>
      </c>
      <c r="AA5" s="1786">
        <v>0</v>
      </c>
      <c r="AB5" s="1760">
        <v>3.9472</v>
      </c>
      <c r="AC5" s="1388">
        <f t="shared" si="2"/>
        <v>1.1155157324942</v>
      </c>
      <c r="AD5" s="1275">
        <f t="shared" si="3"/>
        <v>0.61589572343819698</v>
      </c>
      <c r="AE5" s="1787">
        <v>0.31072861629364901</v>
      </c>
      <c r="AF5" s="1787">
        <v>0.30917497321218074</v>
      </c>
      <c r="AG5" s="1787">
        <v>0.30762909834611984</v>
      </c>
      <c r="AH5" s="1267"/>
      <c r="AI5" s="1267"/>
      <c r="AJ5" s="1267"/>
      <c r="AK5" s="1267"/>
      <c r="AL5" s="1267"/>
      <c r="AM5" s="1267"/>
      <c r="AN5" s="1267"/>
      <c r="AO5" s="1267"/>
      <c r="AP5" s="1267"/>
      <c r="AQ5" s="1387"/>
      <c r="AR5" s="1640"/>
    </row>
    <row r="6" spans="1:44" ht="24" thickBot="1">
      <c r="A6" s="1797">
        <v>4</v>
      </c>
      <c r="B6" s="1758" t="s">
        <v>2943</v>
      </c>
      <c r="C6" s="1267" t="s">
        <v>172</v>
      </c>
      <c r="D6" s="1459"/>
      <c r="E6" s="1459" t="s">
        <v>2944</v>
      </c>
      <c r="F6" s="1450" t="s">
        <v>2945</v>
      </c>
      <c r="G6" s="1267" t="s">
        <v>2956</v>
      </c>
      <c r="H6" s="1451">
        <v>31180</v>
      </c>
      <c r="I6" s="1267" t="s">
        <v>1773</v>
      </c>
      <c r="J6" s="1267" t="s">
        <v>2957</v>
      </c>
      <c r="K6" s="1386" t="s">
        <v>2958</v>
      </c>
      <c r="L6" s="1386" t="s">
        <v>2958</v>
      </c>
      <c r="M6" s="1386" t="s">
        <v>2959</v>
      </c>
      <c r="N6" s="1386">
        <v>45785</v>
      </c>
      <c r="O6" s="1386">
        <v>45785</v>
      </c>
      <c r="P6" s="1267" t="s">
        <v>2979</v>
      </c>
      <c r="Q6" s="1811">
        <v>0.91254599999999997</v>
      </c>
      <c r="R6" s="1810">
        <v>0.52500000000000002</v>
      </c>
      <c r="S6" s="1545">
        <f t="shared" si="0"/>
        <v>0.57531346365005165</v>
      </c>
      <c r="T6" s="1388">
        <v>55.6406682</v>
      </c>
      <c r="U6" s="1388">
        <v>121.77114116738721</v>
      </c>
      <c r="V6" s="1388">
        <v>11.200813364000002</v>
      </c>
      <c r="W6" s="1388"/>
      <c r="X6" s="1759">
        <v>2.7725114032200007</v>
      </c>
      <c r="Y6" s="1276">
        <f>V6/(U6-W6-X6)</f>
        <v>9.4125565867421296E-2</v>
      </c>
      <c r="Z6" s="1760"/>
      <c r="AA6" s="1786"/>
      <c r="AB6" s="1760"/>
      <c r="AC6" s="1388">
        <f t="shared" si="2"/>
        <v>0.37968241815991333</v>
      </c>
      <c r="AD6" s="1275">
        <f t="shared" si="3"/>
        <v>0.46757402425783628</v>
      </c>
      <c r="AE6" s="1787"/>
      <c r="AF6" s="1787"/>
      <c r="AG6" s="1787"/>
      <c r="AH6" s="1267"/>
      <c r="AI6" s="1267"/>
      <c r="AJ6" s="1267"/>
      <c r="AK6" s="1267"/>
      <c r="AL6" s="1267"/>
      <c r="AM6" s="1267"/>
      <c r="AN6" s="1267"/>
      <c r="AO6" s="1267"/>
      <c r="AP6" s="1267"/>
      <c r="AQ6" s="1387"/>
      <c r="AR6" s="1640"/>
    </row>
    <row r="7" spans="1:44" ht="24" thickBot="1">
      <c r="A7" s="1797">
        <v>5</v>
      </c>
      <c r="B7" s="1758" t="s">
        <v>2943</v>
      </c>
      <c r="C7" s="1267" t="s">
        <v>172</v>
      </c>
      <c r="D7" s="1459"/>
      <c r="E7" s="1459" t="s">
        <v>2946</v>
      </c>
      <c r="F7" s="1450" t="s">
        <v>2947</v>
      </c>
      <c r="G7" s="1267" t="s">
        <v>2956</v>
      </c>
      <c r="H7" s="1451">
        <v>31180</v>
      </c>
      <c r="I7" s="1267" t="s">
        <v>1773</v>
      </c>
      <c r="J7" s="1267" t="s">
        <v>2957</v>
      </c>
      <c r="K7" s="1386" t="s">
        <v>2958</v>
      </c>
      <c r="L7" s="1386" t="s">
        <v>2958</v>
      </c>
      <c r="M7" s="1386" t="s">
        <v>2959</v>
      </c>
      <c r="N7" s="1386">
        <v>45785</v>
      </c>
      <c r="O7" s="1386">
        <v>45785</v>
      </c>
      <c r="P7" s="1267" t="s">
        <v>2979</v>
      </c>
      <c r="Q7" s="1811">
        <v>0.91254599999999997</v>
      </c>
      <c r="R7" s="1810">
        <v>0.52500000000000002</v>
      </c>
      <c r="S7" s="1545">
        <f t="shared" si="0"/>
        <v>0.57531346365005165</v>
      </c>
      <c r="T7" s="1388">
        <v>55.6406682</v>
      </c>
      <c r="U7" s="1388">
        <v>121.77114116738721</v>
      </c>
      <c r="V7" s="1388">
        <v>11.200813364000002</v>
      </c>
      <c r="W7" s="1388"/>
      <c r="X7" s="1759">
        <v>2.7725114032200007</v>
      </c>
      <c r="Y7" s="1276">
        <f t="shared" si="1"/>
        <v>9.4125565867421296E-2</v>
      </c>
      <c r="Z7" s="1760"/>
      <c r="AA7" s="1786"/>
      <c r="AB7" s="1760"/>
      <c r="AC7" s="1388">
        <f t="shared" si="2"/>
        <v>0.37968241815991333</v>
      </c>
      <c r="AD7" s="1275">
        <f t="shared" si="3"/>
        <v>0.46757402425783628</v>
      </c>
      <c r="AE7" s="1787"/>
      <c r="AF7" s="1787"/>
      <c r="AG7" s="1787"/>
      <c r="AH7" s="1267"/>
      <c r="AI7" s="1267"/>
      <c r="AJ7" s="1267"/>
      <c r="AK7" s="1267"/>
      <c r="AL7" s="1267"/>
      <c r="AM7" s="1267"/>
      <c r="AN7" s="1267"/>
      <c r="AO7" s="1267"/>
      <c r="AP7" s="1267"/>
      <c r="AQ7" s="1387"/>
      <c r="AR7" s="1640"/>
    </row>
    <row r="8" spans="1:44" ht="24" thickBot="1">
      <c r="A8" s="1797">
        <v>6</v>
      </c>
      <c r="B8" s="1758" t="s">
        <v>2943</v>
      </c>
      <c r="C8" s="1267" t="s">
        <v>172</v>
      </c>
      <c r="D8" s="1459"/>
      <c r="E8" s="1459" t="s">
        <v>2948</v>
      </c>
      <c r="F8" s="1450" t="s">
        <v>2949</v>
      </c>
      <c r="G8" s="1267" t="s">
        <v>2956</v>
      </c>
      <c r="H8" s="1451">
        <v>31180</v>
      </c>
      <c r="I8" s="1267" t="s">
        <v>1773</v>
      </c>
      <c r="J8" s="1267" t="s">
        <v>2957</v>
      </c>
      <c r="K8" s="1386" t="s">
        <v>2958</v>
      </c>
      <c r="L8" s="1386" t="s">
        <v>2958</v>
      </c>
      <c r="M8" s="1386" t="s">
        <v>2959</v>
      </c>
      <c r="N8" s="1386">
        <v>45785</v>
      </c>
      <c r="O8" s="1386">
        <v>45785</v>
      </c>
      <c r="P8" s="1267" t="s">
        <v>2979</v>
      </c>
      <c r="Q8" s="1811">
        <v>1.0318010639999999</v>
      </c>
      <c r="R8" s="1810">
        <v>0.44600000000000001</v>
      </c>
      <c r="S8" s="1545">
        <f t="shared" si="0"/>
        <v>0.43225386710785563</v>
      </c>
      <c r="T8" s="1388">
        <v>57.967104368799994</v>
      </c>
      <c r="U8" s="1388">
        <v>94.576867029466072</v>
      </c>
      <c r="V8" s="1388">
        <v>6.7113420873759999</v>
      </c>
      <c r="W8" s="1388"/>
      <c r="X8" s="1759">
        <v>1.5832949191744798</v>
      </c>
      <c r="Y8" s="1276">
        <f t="shared" si="1"/>
        <v>7.2169956859128498E-2</v>
      </c>
      <c r="Z8" s="1760"/>
      <c r="AA8" s="1786"/>
      <c r="AB8" s="1760"/>
      <c r="AC8" s="1388">
        <f t="shared" si="2"/>
        <v>0.29489067139787523</v>
      </c>
      <c r="AD8" s="1275">
        <f t="shared" si="3"/>
        <v>0.62334528132815725</v>
      </c>
      <c r="AE8" s="1787"/>
      <c r="AF8" s="1787"/>
      <c r="AG8" s="1787"/>
      <c r="AH8" s="1267"/>
      <c r="AI8" s="1267"/>
      <c r="AJ8" s="1267"/>
      <c r="AK8" s="1267"/>
      <c r="AL8" s="1267"/>
      <c r="AM8" s="1267"/>
      <c r="AN8" s="1267"/>
      <c r="AO8" s="1267"/>
      <c r="AP8" s="1267"/>
      <c r="AQ8" s="1387"/>
      <c r="AR8" s="1640"/>
    </row>
    <row r="9" spans="1:44" ht="24" thickBot="1">
      <c r="A9" s="1797">
        <v>7</v>
      </c>
      <c r="B9" s="1758" t="s">
        <v>2943</v>
      </c>
      <c r="C9" s="1267" t="s">
        <v>172</v>
      </c>
      <c r="D9" s="1459"/>
      <c r="E9" s="1459" t="s">
        <v>2950</v>
      </c>
      <c r="F9" s="1450" t="s">
        <v>2951</v>
      </c>
      <c r="G9" s="1267" t="s">
        <v>2956</v>
      </c>
      <c r="H9" s="1451">
        <v>31180</v>
      </c>
      <c r="I9" s="1267" t="s">
        <v>1773</v>
      </c>
      <c r="J9" s="1267" t="s">
        <v>2957</v>
      </c>
      <c r="K9" s="1386" t="s">
        <v>2958</v>
      </c>
      <c r="L9" s="1386" t="s">
        <v>2958</v>
      </c>
      <c r="M9" s="1386" t="s">
        <v>2959</v>
      </c>
      <c r="N9" s="1386">
        <v>45785</v>
      </c>
      <c r="O9" s="1386">
        <v>45785</v>
      </c>
      <c r="P9" s="1267" t="s">
        <v>2979</v>
      </c>
      <c r="Q9" s="1811">
        <v>1.0318010639999999</v>
      </c>
      <c r="R9" s="1810">
        <v>0.44600000000000001</v>
      </c>
      <c r="S9" s="1545">
        <f t="shared" si="0"/>
        <v>0.43225386710785563</v>
      </c>
      <c r="T9" s="1388">
        <v>57.967104368799994</v>
      </c>
      <c r="U9" s="1388">
        <v>94.576867029466072</v>
      </c>
      <c r="V9" s="1388">
        <v>6.7113420873759999</v>
      </c>
      <c r="W9" s="1388"/>
      <c r="X9" s="1759">
        <v>1.5832949191744798</v>
      </c>
      <c r="Y9" s="1276">
        <f t="shared" si="1"/>
        <v>7.2169956859128498E-2</v>
      </c>
      <c r="Z9" s="1760"/>
      <c r="AA9" s="1786"/>
      <c r="AB9" s="1760"/>
      <c r="AC9" s="1388">
        <f t="shared" si="2"/>
        <v>0.29489067139787523</v>
      </c>
      <c r="AD9" s="1275">
        <f t="shared" si="3"/>
        <v>0.62334528132815725</v>
      </c>
      <c r="AE9" s="1787"/>
      <c r="AF9" s="1787"/>
      <c r="AG9" s="1787"/>
      <c r="AH9" s="1267"/>
      <c r="AI9" s="1267"/>
      <c r="AJ9" s="1267"/>
      <c r="AK9" s="1267"/>
      <c r="AL9" s="1267"/>
      <c r="AM9" s="1267"/>
      <c r="AN9" s="1267"/>
      <c r="AO9" s="1267"/>
      <c r="AP9" s="1267"/>
      <c r="AQ9" s="1387"/>
      <c r="AR9" s="1640"/>
    </row>
    <row r="10" spans="1:44" ht="24" thickBot="1">
      <c r="A10" s="1797">
        <v>8</v>
      </c>
      <c r="B10" s="1758" t="s">
        <v>2943</v>
      </c>
      <c r="C10" s="1267" t="s">
        <v>172</v>
      </c>
      <c r="D10" s="1459"/>
      <c r="E10" s="1459" t="s">
        <v>2952</v>
      </c>
      <c r="F10" s="1450" t="s">
        <v>2953</v>
      </c>
      <c r="G10" s="1267" t="s">
        <v>2956</v>
      </c>
      <c r="H10" s="1451">
        <v>62360</v>
      </c>
      <c r="I10" s="1267" t="s">
        <v>1773</v>
      </c>
      <c r="J10" s="1267" t="s">
        <v>2957</v>
      </c>
      <c r="K10" s="1386" t="s">
        <v>2958</v>
      </c>
      <c r="L10" s="1386" t="s">
        <v>2958</v>
      </c>
      <c r="M10" s="1386" t="s">
        <v>2959</v>
      </c>
      <c r="N10" s="1386">
        <v>45785</v>
      </c>
      <c r="O10" s="1386">
        <v>45785</v>
      </c>
      <c r="P10" s="1267" t="s">
        <v>2979</v>
      </c>
      <c r="Q10" s="1811">
        <v>0.82577159999999994</v>
      </c>
      <c r="R10" s="1810">
        <v>0.38919999999999999</v>
      </c>
      <c r="S10" s="1545">
        <f t="shared" si="0"/>
        <v>0.4713167660403918</v>
      </c>
      <c r="T10" s="1388">
        <v>47.472875720000005</v>
      </c>
      <c r="U10" s="1388">
        <v>90.837824497795609</v>
      </c>
      <c r="V10" s="1388">
        <v>7.9974575144000006</v>
      </c>
      <c r="W10" s="1388"/>
      <c r="X10" s="1759">
        <v>1.9550790390120001</v>
      </c>
      <c r="Y10" s="1276">
        <f t="shared" si="1"/>
        <v>8.9977615712923203E-2</v>
      </c>
      <c r="Z10" s="1760"/>
      <c r="AA10" s="1786"/>
      <c r="AB10" s="1760"/>
      <c r="AC10" s="1388">
        <f t="shared" si="2"/>
        <v>0.56646467356825336</v>
      </c>
      <c r="AD10" s="1275">
        <f t="shared" si="3"/>
        <v>0.53410676588533101</v>
      </c>
      <c r="AE10" s="1787"/>
      <c r="AF10" s="1787"/>
      <c r="AG10" s="1787"/>
      <c r="AH10" s="1267"/>
      <c r="AI10" s="1267"/>
      <c r="AJ10" s="1267"/>
      <c r="AK10" s="1267"/>
      <c r="AL10" s="1267"/>
      <c r="AM10" s="1267"/>
      <c r="AN10" s="1267"/>
      <c r="AO10" s="1267"/>
      <c r="AP10" s="1267"/>
      <c r="AQ10" s="1387"/>
      <c r="AR10" s="1640"/>
    </row>
    <row r="11" spans="1:44" ht="24" thickBot="1">
      <c r="A11" s="1797">
        <v>9</v>
      </c>
      <c r="B11" s="1758" t="s">
        <v>2943</v>
      </c>
      <c r="C11" s="1267" t="s">
        <v>172</v>
      </c>
      <c r="D11" s="1459"/>
      <c r="E11" s="1459" t="s">
        <v>2954</v>
      </c>
      <c r="F11" s="1450" t="s">
        <v>2955</v>
      </c>
      <c r="G11" s="1267" t="s">
        <v>2956</v>
      </c>
      <c r="H11" s="1451">
        <v>62360</v>
      </c>
      <c r="I11" s="1267" t="s">
        <v>1773</v>
      </c>
      <c r="J11" s="1267" t="s">
        <v>2957</v>
      </c>
      <c r="K11" s="1386" t="s">
        <v>2958</v>
      </c>
      <c r="L11" s="1386" t="s">
        <v>2958</v>
      </c>
      <c r="M11" s="1386" t="s">
        <v>2959</v>
      </c>
      <c r="N11" s="1386">
        <v>45785</v>
      </c>
      <c r="O11" s="1386">
        <v>45785</v>
      </c>
      <c r="P11" s="1267" t="s">
        <v>2979</v>
      </c>
      <c r="Q11" s="1811">
        <v>0.82577159999999994</v>
      </c>
      <c r="R11" s="1810">
        <v>0.38919999999999999</v>
      </c>
      <c r="S11" s="1545">
        <f t="shared" si="0"/>
        <v>0.4713167660403918</v>
      </c>
      <c r="T11" s="1388">
        <v>47.472875720000005</v>
      </c>
      <c r="U11" s="1388">
        <v>90.837824497795609</v>
      </c>
      <c r="V11" s="1388">
        <v>7.9974575144000006</v>
      </c>
      <c r="W11" s="1388"/>
      <c r="X11" s="1759">
        <v>1.9550790390120001</v>
      </c>
      <c r="Y11" s="1276">
        <f t="shared" si="1"/>
        <v>8.9977615712923203E-2</v>
      </c>
      <c r="Z11" s="1760"/>
      <c r="AA11" s="1786"/>
      <c r="AB11" s="1760"/>
      <c r="AC11" s="1388">
        <f t="shared" si="2"/>
        <v>0.56646467356825336</v>
      </c>
      <c r="AD11" s="1275">
        <f t="shared" si="3"/>
        <v>0.53410676588533101</v>
      </c>
      <c r="AE11" s="1787"/>
      <c r="AF11" s="1787"/>
      <c r="AG11" s="1787"/>
      <c r="AH11" s="1267"/>
      <c r="AI11" s="1267"/>
      <c r="AJ11" s="1267"/>
      <c r="AK11" s="1267"/>
      <c r="AL11" s="1267"/>
      <c r="AM11" s="1267"/>
      <c r="AN11" s="1267"/>
      <c r="AO11" s="1267"/>
      <c r="AP11" s="1267"/>
      <c r="AQ11" s="1387"/>
      <c r="AR11" s="1640"/>
    </row>
    <row r="12" spans="1:44" ht="24" thickBot="1">
      <c r="A12" s="1797">
        <v>10</v>
      </c>
      <c r="B12" s="1758" t="s">
        <v>2300</v>
      </c>
      <c r="C12" s="1267" t="s">
        <v>29</v>
      </c>
      <c r="D12" s="1459">
        <v>58533</v>
      </c>
      <c r="E12" s="1734" t="s">
        <v>2931</v>
      </c>
      <c r="F12" s="1450" t="s">
        <v>2932</v>
      </c>
      <c r="G12" s="1267" t="s">
        <v>2933</v>
      </c>
      <c r="H12" s="1451">
        <v>172211</v>
      </c>
      <c r="I12" s="1267" t="s">
        <v>35</v>
      </c>
      <c r="J12" s="1267" t="s">
        <v>2924</v>
      </c>
      <c r="K12" s="1386">
        <v>45873</v>
      </c>
      <c r="L12" s="1386">
        <v>45873</v>
      </c>
      <c r="M12" s="1386">
        <v>45878</v>
      </c>
      <c r="N12" s="1386">
        <v>45881</v>
      </c>
      <c r="O12" s="1386">
        <v>45881</v>
      </c>
      <c r="P12" s="1267" t="s">
        <v>2979</v>
      </c>
      <c r="Q12" s="1811">
        <v>3.5819999999999999</v>
      </c>
      <c r="R12" s="1810">
        <v>1.8460000000000001</v>
      </c>
      <c r="S12" s="1545">
        <f t="shared" si="0"/>
        <v>0.51535455053043</v>
      </c>
      <c r="T12" s="1388">
        <v>182.92</v>
      </c>
      <c r="U12" s="1388">
        <v>248.78</v>
      </c>
      <c r="V12" s="1388">
        <v>14.07</v>
      </c>
      <c r="W12" s="1388"/>
      <c r="X12" s="1759">
        <v>3.41</v>
      </c>
      <c r="Y12" s="1276">
        <f t="shared" si="1"/>
        <v>5.7341973346374864E-2</v>
      </c>
      <c r="Z12" s="1760">
        <f>354.49+8</f>
        <v>362.49</v>
      </c>
      <c r="AA12" s="1786"/>
      <c r="AB12" s="1760">
        <v>11.38</v>
      </c>
      <c r="AC12" s="1388">
        <f t="shared" si="2"/>
        <v>4.2842652579999996</v>
      </c>
      <c r="AD12" s="1275">
        <f t="shared" si="3"/>
        <v>0.74548640828137092</v>
      </c>
      <c r="AE12" s="1787">
        <v>1.24</v>
      </c>
      <c r="AF12" s="1787">
        <v>1.24</v>
      </c>
      <c r="AG12" s="1787">
        <v>1.23</v>
      </c>
      <c r="AH12" s="1267"/>
      <c r="AI12" s="1267"/>
      <c r="AJ12" s="1267"/>
      <c r="AK12" s="1267"/>
      <c r="AL12" s="1267"/>
      <c r="AM12" s="1267"/>
      <c r="AN12" s="1267"/>
      <c r="AO12" s="1267"/>
      <c r="AP12" s="1267"/>
      <c r="AQ12" s="1387"/>
      <c r="AR12" s="1640"/>
    </row>
    <row r="13" spans="1:44" ht="24" thickBot="1">
      <c r="A13" s="1797">
        <v>11</v>
      </c>
      <c r="B13" s="1758" t="s">
        <v>1850</v>
      </c>
      <c r="C13" s="1267" t="s">
        <v>29</v>
      </c>
      <c r="D13" s="1459">
        <v>57096</v>
      </c>
      <c r="E13" s="1734" t="s">
        <v>2934</v>
      </c>
      <c r="F13" s="1450" t="s">
        <v>2912</v>
      </c>
      <c r="G13" s="1267" t="s">
        <v>2935</v>
      </c>
      <c r="H13" s="1451">
        <v>145000</v>
      </c>
      <c r="I13" s="1267" t="s">
        <v>35</v>
      </c>
      <c r="J13" s="1267" t="s">
        <v>2957</v>
      </c>
      <c r="K13" s="1386">
        <v>45873</v>
      </c>
      <c r="L13" s="1386">
        <v>45873</v>
      </c>
      <c r="M13" s="1386">
        <v>45878</v>
      </c>
      <c r="N13" s="1386">
        <v>45888</v>
      </c>
      <c r="O13" s="1386">
        <v>45888</v>
      </c>
      <c r="P13" s="1267" t="s">
        <v>2979</v>
      </c>
      <c r="Q13" s="1811">
        <v>1.9279999999999999</v>
      </c>
      <c r="R13" s="1810">
        <v>1.014</v>
      </c>
      <c r="S13" s="1545">
        <f t="shared" si="0"/>
        <v>0.52593360995850624</v>
      </c>
      <c r="T13" s="1388">
        <v>134.81</v>
      </c>
      <c r="U13" s="1388">
        <v>310.32</v>
      </c>
      <c r="V13" s="1388">
        <v>26.58</v>
      </c>
      <c r="W13" s="1388">
        <v>15.55</v>
      </c>
      <c r="X13" s="1759">
        <v>7.27</v>
      </c>
      <c r="Y13" s="1482">
        <f t="shared" si="1"/>
        <v>9.2452173913043473E-2</v>
      </c>
      <c r="Z13" s="1760">
        <v>149.97</v>
      </c>
      <c r="AA13" s="1786">
        <v>65.5</v>
      </c>
      <c r="AB13" s="1760">
        <v>18.75</v>
      </c>
      <c r="AC13" s="1388">
        <f t="shared" si="2"/>
        <v>4.4996400000000003</v>
      </c>
      <c r="AD13" s="1275">
        <f t="shared" si="3"/>
        <v>0.46890434782608698</v>
      </c>
      <c r="AE13" s="1787">
        <v>2.33</v>
      </c>
      <c r="AF13" s="1787">
        <v>2.31</v>
      </c>
      <c r="AG13" s="1787">
        <v>2.29</v>
      </c>
      <c r="AH13" s="1267"/>
      <c r="AI13" s="1267"/>
      <c r="AJ13" s="1267"/>
      <c r="AK13" s="1267"/>
      <c r="AL13" s="1267"/>
      <c r="AM13" s="1267"/>
      <c r="AN13" s="1267"/>
      <c r="AO13" s="1267"/>
      <c r="AP13" s="1267"/>
      <c r="AQ13" s="1387"/>
      <c r="AR13" s="1640"/>
    </row>
    <row r="14" spans="1:44" ht="24" thickBot="1">
      <c r="A14" s="1797">
        <v>12</v>
      </c>
      <c r="B14" s="1758" t="s">
        <v>1850</v>
      </c>
      <c r="C14" s="1267" t="s">
        <v>29</v>
      </c>
      <c r="D14" s="1459">
        <v>57096</v>
      </c>
      <c r="E14" s="1734" t="s">
        <v>2936</v>
      </c>
      <c r="F14" s="1450" t="s">
        <v>2912</v>
      </c>
      <c r="G14" s="1267" t="s">
        <v>2935</v>
      </c>
      <c r="H14" s="1524">
        <v>45000</v>
      </c>
      <c r="I14" s="1267" t="s">
        <v>35</v>
      </c>
      <c r="J14" s="1267" t="s">
        <v>2957</v>
      </c>
      <c r="K14" s="1386">
        <v>45873</v>
      </c>
      <c r="L14" s="1386">
        <v>45873</v>
      </c>
      <c r="M14" s="1386">
        <v>45878</v>
      </c>
      <c r="N14" s="1386">
        <v>45888</v>
      </c>
      <c r="O14" s="1386">
        <v>45888</v>
      </c>
      <c r="P14" s="1267" t="s">
        <v>2979</v>
      </c>
      <c r="Q14" s="1522">
        <v>1.9410000000000001</v>
      </c>
      <c r="R14" s="1333">
        <v>1.0209999999999999</v>
      </c>
      <c r="S14" s="1805">
        <f t="shared" si="0"/>
        <v>0.52601751674394637</v>
      </c>
      <c r="T14" s="1423">
        <v>133.63</v>
      </c>
      <c r="U14" s="1423">
        <v>314.79000000000002</v>
      </c>
      <c r="V14" s="1423">
        <v>27.5</v>
      </c>
      <c r="W14" s="1388">
        <v>15.55</v>
      </c>
      <c r="X14" s="1423">
        <v>7.55</v>
      </c>
      <c r="Y14" s="1282">
        <f t="shared" si="1"/>
        <v>9.4278172031951726E-2</v>
      </c>
      <c r="Z14" s="1807">
        <v>4.9000000000000004</v>
      </c>
      <c r="AA14" s="1808"/>
      <c r="AB14" s="1807"/>
      <c r="AC14" s="1807">
        <f t="shared" si="2"/>
        <v>1.416555</v>
      </c>
      <c r="AD14" s="1334">
        <f t="shared" si="3"/>
        <v>0.4581233501319894</v>
      </c>
      <c r="AE14" s="1809">
        <v>2.36</v>
      </c>
      <c r="AF14" s="1809">
        <v>2.34</v>
      </c>
      <c r="AG14" s="1809">
        <v>2.33</v>
      </c>
      <c r="AH14" s="1307"/>
      <c r="AI14" s="1307"/>
      <c r="AJ14" s="1307"/>
      <c r="AK14" s="1307"/>
      <c r="AL14" s="1307"/>
      <c r="AM14" s="1307"/>
      <c r="AN14" s="1307"/>
      <c r="AO14" s="1307"/>
      <c r="AP14" s="1307"/>
      <c r="AQ14" s="1422"/>
      <c r="AR14" s="1645"/>
    </row>
    <row r="15" spans="1:44" ht="24" thickBot="1">
      <c r="A15" s="1797">
        <v>13</v>
      </c>
      <c r="B15" s="1758" t="s">
        <v>2942</v>
      </c>
      <c r="C15" s="1267" t="s">
        <v>29</v>
      </c>
      <c r="D15" s="1341">
        <v>58384</v>
      </c>
      <c r="E15" s="1804" t="s">
        <v>2937</v>
      </c>
      <c r="F15" s="1326" t="s">
        <v>2940</v>
      </c>
      <c r="G15" s="1307" t="s">
        <v>2741</v>
      </c>
      <c r="H15" s="1524">
        <v>144000</v>
      </c>
      <c r="I15" s="1267" t="s">
        <v>35</v>
      </c>
      <c r="J15" s="1267" t="s">
        <v>2957</v>
      </c>
      <c r="K15" s="1386">
        <v>45890</v>
      </c>
      <c r="L15" s="1386">
        <v>45890</v>
      </c>
      <c r="M15" s="1386">
        <v>45894</v>
      </c>
      <c r="N15" s="1386">
        <v>45896</v>
      </c>
      <c r="O15" s="1386">
        <v>45896</v>
      </c>
      <c r="P15" s="1267" t="s">
        <v>2979</v>
      </c>
      <c r="Q15" s="1522">
        <v>2.5179999999999998</v>
      </c>
      <c r="R15" s="1333">
        <v>0.96899999999999997</v>
      </c>
      <c r="S15" s="1805">
        <f t="shared" si="0"/>
        <v>0.38482922954725973</v>
      </c>
      <c r="T15" s="1423">
        <v>122.55</v>
      </c>
      <c r="U15" s="1423">
        <v>201.36</v>
      </c>
      <c r="V15" s="1423">
        <v>14.89</v>
      </c>
      <c r="W15" s="1423">
        <v>18.420000000000002</v>
      </c>
      <c r="X15" s="1423">
        <v>3.89</v>
      </c>
      <c r="Y15" s="1282">
        <f t="shared" si="1"/>
        <v>8.3161128176487006E-2</v>
      </c>
      <c r="Z15" s="1807">
        <v>44.25</v>
      </c>
      <c r="AA15" s="1808"/>
      <c r="AB15" s="1807">
        <v>20.45</v>
      </c>
      <c r="AC15" s="1807">
        <f t="shared" si="2"/>
        <v>2.8995840000000004</v>
      </c>
      <c r="AD15" s="1334">
        <f t="shared" si="3"/>
        <v>0.68444568556269192</v>
      </c>
      <c r="AE15" s="1809">
        <v>2.52</v>
      </c>
      <c r="AF15" s="1809">
        <v>2.4900000000000002</v>
      </c>
      <c r="AG15" s="1809">
        <v>2.4500000000000002</v>
      </c>
      <c r="AH15" s="1307"/>
      <c r="AI15" s="1307"/>
      <c r="AJ15" s="1307"/>
      <c r="AK15" s="1307"/>
      <c r="AL15" s="1307"/>
      <c r="AM15" s="1307"/>
      <c r="AN15" s="1307"/>
      <c r="AO15" s="1307"/>
      <c r="AP15" s="1307"/>
      <c r="AQ15" s="1422"/>
      <c r="AR15" s="1645"/>
    </row>
    <row r="16" spans="1:44" ht="24" thickBot="1">
      <c r="A16" s="1797">
        <v>14</v>
      </c>
      <c r="B16" s="1758" t="s">
        <v>2942</v>
      </c>
      <c r="C16" s="1267" t="s">
        <v>29</v>
      </c>
      <c r="D16" s="1341">
        <v>58384</v>
      </c>
      <c r="E16" s="1804" t="s">
        <v>2938</v>
      </c>
      <c r="F16" s="1326" t="s">
        <v>2940</v>
      </c>
      <c r="G16" s="1307" t="s">
        <v>2741</v>
      </c>
      <c r="H16" s="1524">
        <v>85000</v>
      </c>
      <c r="I16" s="1267" t="s">
        <v>35</v>
      </c>
      <c r="J16" s="1267" t="s">
        <v>2957</v>
      </c>
      <c r="K16" s="1386">
        <v>45890</v>
      </c>
      <c r="L16" s="1386">
        <v>45890</v>
      </c>
      <c r="M16" s="1386">
        <v>45894</v>
      </c>
      <c r="N16" s="1386">
        <v>45896</v>
      </c>
      <c r="O16" s="1386">
        <v>45896</v>
      </c>
      <c r="P16" s="1267" t="s">
        <v>2979</v>
      </c>
      <c r="Q16" s="1522">
        <v>2.5179999999999998</v>
      </c>
      <c r="R16" s="1333">
        <v>1.129</v>
      </c>
      <c r="S16" s="1805">
        <f t="shared" si="0"/>
        <v>0.44837172359015093</v>
      </c>
      <c r="T16" s="1423">
        <v>128.36000000000001</v>
      </c>
      <c r="U16" s="1423">
        <v>207.7</v>
      </c>
      <c r="V16" s="1423">
        <v>15.01</v>
      </c>
      <c r="W16" s="1423">
        <v>18.420000000000002</v>
      </c>
      <c r="X16" s="1423">
        <v>3.91</v>
      </c>
      <c r="Y16" s="1282">
        <f t="shared" si="1"/>
        <v>8.0973188757619899E-2</v>
      </c>
      <c r="Z16" s="1807">
        <v>44.25</v>
      </c>
      <c r="AA16" s="1808"/>
      <c r="AB16" s="1807">
        <v>20.45</v>
      </c>
      <c r="AC16" s="1807">
        <f t="shared" si="2"/>
        <v>1.76545</v>
      </c>
      <c r="AD16" s="1334">
        <f t="shared" si="3"/>
        <v>0.69245293197389024</v>
      </c>
      <c r="AE16" s="1809">
        <v>2.6</v>
      </c>
      <c r="AF16" s="1809">
        <v>2.56</v>
      </c>
      <c r="AG16" s="1809">
        <v>2.5299999999999998</v>
      </c>
      <c r="AH16" s="1307"/>
      <c r="AI16" s="1307"/>
      <c r="AJ16" s="1307"/>
      <c r="AK16" s="1307"/>
      <c r="AL16" s="1307"/>
      <c r="AM16" s="1307"/>
      <c r="AN16" s="1307"/>
      <c r="AO16" s="1307"/>
      <c r="AP16" s="1307"/>
      <c r="AQ16" s="1422"/>
      <c r="AR16" s="1645"/>
    </row>
    <row r="17" spans="1:44" ht="24" thickBot="1">
      <c r="A17" s="1797">
        <v>15</v>
      </c>
      <c r="B17" s="1758" t="s">
        <v>2942</v>
      </c>
      <c r="C17" s="1267" t="s">
        <v>29</v>
      </c>
      <c r="D17" s="1341">
        <v>58384</v>
      </c>
      <c r="E17" s="1804" t="s">
        <v>2939</v>
      </c>
      <c r="F17" s="1326" t="s">
        <v>2941</v>
      </c>
      <c r="G17" s="1307" t="s">
        <v>2741</v>
      </c>
      <c r="H17" s="1524">
        <v>59000</v>
      </c>
      <c r="I17" s="1267" t="s">
        <v>35</v>
      </c>
      <c r="J17" s="1267" t="s">
        <v>2957</v>
      </c>
      <c r="K17" s="1386">
        <v>45890</v>
      </c>
      <c r="L17" s="1386">
        <v>45890</v>
      </c>
      <c r="M17" s="1386">
        <v>45894</v>
      </c>
      <c r="N17" s="1386">
        <v>45896</v>
      </c>
      <c r="O17" s="1386">
        <v>45896</v>
      </c>
      <c r="P17" s="1267" t="s">
        <v>2979</v>
      </c>
      <c r="Q17" s="1522">
        <v>2.69</v>
      </c>
      <c r="R17" s="1333">
        <v>1.228</v>
      </c>
      <c r="S17" s="1805">
        <f t="shared" si="0"/>
        <v>0.45650557620817844</v>
      </c>
      <c r="T17" s="1423">
        <v>140.41999999999999</v>
      </c>
      <c r="U17" s="1423">
        <v>230.74</v>
      </c>
      <c r="V17" s="1423">
        <v>16.739999999999998</v>
      </c>
      <c r="W17" s="1423">
        <v>18.420000000000002</v>
      </c>
      <c r="X17" s="1423">
        <v>4.37</v>
      </c>
      <c r="Y17" s="1282">
        <f t="shared" si="1"/>
        <v>8.0500120221207019E-2</v>
      </c>
      <c r="Z17" s="1807">
        <v>462.93</v>
      </c>
      <c r="AA17" s="1808"/>
      <c r="AB17" s="1807">
        <v>18.75</v>
      </c>
      <c r="AC17" s="1807">
        <f t="shared" si="2"/>
        <v>1.3613660000000001</v>
      </c>
      <c r="AD17" s="1334">
        <f t="shared" si="3"/>
        <v>0.675258475595095</v>
      </c>
      <c r="AE17" s="1809">
        <v>2.88</v>
      </c>
      <c r="AF17" s="1809">
        <v>2.85</v>
      </c>
      <c r="AG17" s="1809">
        <v>2.81</v>
      </c>
      <c r="AH17" s="1307"/>
      <c r="AI17" s="1307"/>
      <c r="AJ17" s="1307"/>
      <c r="AK17" s="1307"/>
      <c r="AL17" s="1307"/>
      <c r="AM17" s="1307"/>
      <c r="AN17" s="1307"/>
      <c r="AO17" s="1307"/>
      <c r="AP17" s="1307"/>
      <c r="AQ17" s="1422"/>
      <c r="AR17" s="1645"/>
    </row>
    <row r="18" spans="1:44" ht="24" thickBot="1">
      <c r="A18" s="1784">
        <v>16</v>
      </c>
      <c r="B18" s="1520" t="s">
        <v>2960</v>
      </c>
      <c r="C18" s="1267" t="s">
        <v>29</v>
      </c>
      <c r="D18" s="1341">
        <v>58734</v>
      </c>
      <c r="E18" s="1804" t="s">
        <v>2961</v>
      </c>
      <c r="F18" s="1326" t="s">
        <v>2962</v>
      </c>
      <c r="G18" s="1307" t="s">
        <v>2222</v>
      </c>
      <c r="H18" s="1524">
        <v>242000</v>
      </c>
      <c r="I18" s="1267" t="s">
        <v>35</v>
      </c>
      <c r="J18" s="1267" t="s">
        <v>2924</v>
      </c>
      <c r="K18" s="1386">
        <v>45891</v>
      </c>
      <c r="L18" s="1386">
        <v>45894</v>
      </c>
      <c r="M18" s="1386">
        <v>45896</v>
      </c>
      <c r="N18" s="1386">
        <v>45902</v>
      </c>
      <c r="O18" s="1421"/>
      <c r="P18" s="1307"/>
      <c r="Q18" s="1522"/>
      <c r="R18" s="1333"/>
      <c r="S18" s="1805"/>
      <c r="T18" s="1423"/>
      <c r="U18" s="1423"/>
      <c r="V18" s="1423"/>
      <c r="W18" s="1423"/>
      <c r="X18" s="1423"/>
      <c r="Y18" s="1806"/>
      <c r="Z18" s="1807"/>
      <c r="AA18" s="1808"/>
      <c r="AB18" s="1807"/>
      <c r="AC18" s="1807"/>
      <c r="AD18" s="1334"/>
      <c r="AE18" s="1809"/>
      <c r="AF18" s="1809"/>
      <c r="AG18" s="1809"/>
      <c r="AH18" s="1307"/>
      <c r="AI18" s="1307"/>
      <c r="AJ18" s="1307"/>
      <c r="AK18" s="1307"/>
      <c r="AL18" s="1307"/>
      <c r="AM18" s="1307"/>
      <c r="AN18" s="1307"/>
      <c r="AO18" s="1307"/>
      <c r="AP18" s="1307"/>
      <c r="AQ18" s="1422"/>
      <c r="AR18" s="1645"/>
    </row>
    <row r="19" spans="1:44" ht="24" thickBot="1">
      <c r="A19" s="1812">
        <v>17</v>
      </c>
      <c r="B19" s="1784" t="s">
        <v>2507</v>
      </c>
      <c r="C19" s="1514" t="s">
        <v>29</v>
      </c>
      <c r="D19" s="1341">
        <v>59145</v>
      </c>
      <c r="E19" s="1804" t="s">
        <v>2963</v>
      </c>
      <c r="F19" s="1326" t="s">
        <v>2967</v>
      </c>
      <c r="G19" s="1307" t="s">
        <v>2222</v>
      </c>
      <c r="H19" s="1524">
        <v>255852</v>
      </c>
      <c r="I19" s="1267" t="s">
        <v>35</v>
      </c>
      <c r="J19" s="1307" t="s">
        <v>2964</v>
      </c>
      <c r="K19" s="1386">
        <v>45901</v>
      </c>
      <c r="L19" s="1386">
        <v>45901</v>
      </c>
      <c r="M19" s="1386">
        <v>45905</v>
      </c>
      <c r="N19" s="1386">
        <v>45910</v>
      </c>
      <c r="O19" s="1386">
        <v>45910</v>
      </c>
      <c r="P19" s="1267" t="s">
        <v>2979</v>
      </c>
      <c r="Q19" s="1522">
        <v>1.9339999999999999</v>
      </c>
      <c r="R19" s="1333">
        <v>1.226</v>
      </c>
      <c r="S19" s="1805">
        <f t="shared" si="0"/>
        <v>0.63391933815925539</v>
      </c>
      <c r="T19" s="1423">
        <v>132.07</v>
      </c>
      <c r="U19" s="1423">
        <v>249.8</v>
      </c>
      <c r="V19" s="1423">
        <v>23.12</v>
      </c>
      <c r="W19" s="1423">
        <v>10.24</v>
      </c>
      <c r="X19" s="1423">
        <v>6.26</v>
      </c>
      <c r="Y19" s="1282">
        <f t="shared" si="1"/>
        <v>9.9099871410201462E-2</v>
      </c>
      <c r="Z19" s="1807">
        <v>313.97000000000003</v>
      </c>
      <c r="AA19" s="1808"/>
      <c r="AB19" s="1807">
        <v>15.21</v>
      </c>
      <c r="AC19" s="1807">
        <f t="shared" si="2"/>
        <v>6.3911829600000001</v>
      </c>
      <c r="AD19" s="1334">
        <f t="shared" si="3"/>
        <v>0.56609515645092146</v>
      </c>
      <c r="AE19" s="1809">
        <v>3.12</v>
      </c>
      <c r="AF19" s="1809">
        <v>3.08</v>
      </c>
      <c r="AG19" s="1809">
        <v>3.04</v>
      </c>
      <c r="AH19" s="1307"/>
      <c r="AI19" s="1307"/>
      <c r="AJ19" s="1307"/>
      <c r="AK19" s="1307"/>
      <c r="AL19" s="1307"/>
      <c r="AM19" s="1307"/>
      <c r="AN19" s="1307"/>
      <c r="AO19" s="1307"/>
      <c r="AP19" s="1307"/>
      <c r="AQ19" s="1422"/>
      <c r="AR19" s="1645"/>
    </row>
    <row r="20" spans="1:44" ht="24" thickBot="1">
      <c r="A20" s="1812">
        <v>18</v>
      </c>
      <c r="B20" s="1784" t="s">
        <v>2507</v>
      </c>
      <c r="C20" s="1514" t="s">
        <v>29</v>
      </c>
      <c r="D20" s="1341">
        <v>59145</v>
      </c>
      <c r="E20" s="1804" t="s">
        <v>2965</v>
      </c>
      <c r="F20" s="1326" t="s">
        <v>2966</v>
      </c>
      <c r="G20" s="1307" t="s">
        <v>2222</v>
      </c>
      <c r="H20" s="1524">
        <v>255852</v>
      </c>
      <c r="I20" s="1267" t="s">
        <v>35</v>
      </c>
      <c r="J20" s="1307" t="s">
        <v>2964</v>
      </c>
      <c r="K20" s="1386">
        <v>45901</v>
      </c>
      <c r="L20" s="1386">
        <v>45901</v>
      </c>
      <c r="M20" s="1386">
        <v>45905</v>
      </c>
      <c r="N20" s="1386">
        <v>45910</v>
      </c>
      <c r="O20" s="1386">
        <v>45910</v>
      </c>
      <c r="P20" s="1267" t="s">
        <v>2979</v>
      </c>
      <c r="Q20" s="1522">
        <v>1.9339999999999999</v>
      </c>
      <c r="R20" s="1333">
        <v>1.226</v>
      </c>
      <c r="S20" s="1805">
        <f t="shared" si="0"/>
        <v>0.63391933815925539</v>
      </c>
      <c r="T20" s="1423">
        <v>132.08000000000001</v>
      </c>
      <c r="U20" s="1423">
        <v>249.81</v>
      </c>
      <c r="V20" s="1423">
        <v>23.12</v>
      </c>
      <c r="W20" s="1423">
        <v>10.24</v>
      </c>
      <c r="X20" s="1423">
        <v>6.26</v>
      </c>
      <c r="Y20" s="1282">
        <f t="shared" si="1"/>
        <v>9.9095623848099099E-2</v>
      </c>
      <c r="Z20" s="1807">
        <v>298.33999999999997</v>
      </c>
      <c r="AA20" s="1808"/>
      <c r="AB20" s="1807">
        <v>15.21</v>
      </c>
      <c r="AC20" s="1807">
        <f t="shared" si="2"/>
        <v>6.3914388119999996</v>
      </c>
      <c r="AD20" s="1334">
        <f t="shared" si="3"/>
        <v>0.56611375423256616</v>
      </c>
      <c r="AE20" s="1809">
        <v>3.12</v>
      </c>
      <c r="AF20" s="1809">
        <v>3.08</v>
      </c>
      <c r="AG20" s="1809">
        <v>3.05</v>
      </c>
      <c r="AH20" s="1307"/>
      <c r="AI20" s="1307"/>
      <c r="AJ20" s="1307"/>
      <c r="AK20" s="1307"/>
      <c r="AL20" s="1307"/>
      <c r="AM20" s="1307"/>
      <c r="AN20" s="1307"/>
      <c r="AO20" s="1307"/>
      <c r="AP20" s="1307"/>
      <c r="AQ20" s="1422"/>
      <c r="AR20" s="1645"/>
    </row>
    <row r="21" spans="1:44" ht="24" thickBot="1">
      <c r="A21" s="1812">
        <v>19</v>
      </c>
      <c r="B21" s="1784" t="s">
        <v>2960</v>
      </c>
      <c r="C21" s="1514" t="s">
        <v>29</v>
      </c>
      <c r="D21" s="1341">
        <v>59311</v>
      </c>
      <c r="E21" s="1804" t="s">
        <v>2968</v>
      </c>
      <c r="F21" s="1326" t="s">
        <v>2972</v>
      </c>
      <c r="G21" s="1307" t="s">
        <v>2222</v>
      </c>
      <c r="H21" s="1524">
        <v>220000</v>
      </c>
      <c r="I21" s="1267" t="s">
        <v>35</v>
      </c>
      <c r="J21" s="1307" t="s">
        <v>2306</v>
      </c>
      <c r="K21" s="1386">
        <v>45905</v>
      </c>
      <c r="L21" s="1386">
        <v>45906</v>
      </c>
      <c r="M21" s="1386">
        <v>45912</v>
      </c>
      <c r="N21" s="1386">
        <v>45922</v>
      </c>
      <c r="O21" s="1386">
        <v>45922</v>
      </c>
      <c r="P21" s="1267" t="s">
        <v>2979</v>
      </c>
      <c r="Q21" s="1522">
        <v>2.2709999999999999</v>
      </c>
      <c r="R21" s="1333">
        <v>1.413</v>
      </c>
      <c r="S21" s="1805">
        <f t="shared" si="0"/>
        <v>0.62219286657859973</v>
      </c>
      <c r="T21" s="1423">
        <v>217.03</v>
      </c>
      <c r="U21" s="1423">
        <v>553.44000000000005</v>
      </c>
      <c r="V21" s="1423">
        <v>66.92</v>
      </c>
      <c r="W21" s="1423">
        <v>0</v>
      </c>
      <c r="X21" s="1423">
        <v>0</v>
      </c>
      <c r="Y21" s="1806">
        <f t="shared" si="1"/>
        <v>0.12091644984099449</v>
      </c>
      <c r="Z21" s="1807">
        <v>342.57</v>
      </c>
      <c r="AA21" s="1808">
        <v>18.649999999999999</v>
      </c>
      <c r="AB21" s="1807">
        <v>38.31</v>
      </c>
      <c r="AC21" s="1807">
        <f t="shared" si="2"/>
        <v>12.175680000000002</v>
      </c>
      <c r="AD21" s="1334">
        <f t="shared" si="3"/>
        <v>0.39214729690662037</v>
      </c>
      <c r="AE21" s="1809">
        <v>0</v>
      </c>
      <c r="AF21" s="1809">
        <v>0</v>
      </c>
      <c r="AG21" s="1809">
        <v>0</v>
      </c>
      <c r="AH21" s="1307"/>
      <c r="AI21" s="1307"/>
      <c r="AJ21" s="1307"/>
      <c r="AK21" s="1307"/>
      <c r="AL21" s="1307"/>
      <c r="AM21" s="1307"/>
      <c r="AN21" s="1307"/>
      <c r="AO21" s="1307"/>
      <c r="AP21" s="1307"/>
      <c r="AQ21" s="1422"/>
      <c r="AR21" s="1645"/>
    </row>
    <row r="22" spans="1:44" ht="24" thickBot="1">
      <c r="A22" s="1812">
        <v>20</v>
      </c>
      <c r="B22" s="1784" t="s">
        <v>2960</v>
      </c>
      <c r="C22" s="1514" t="s">
        <v>29</v>
      </c>
      <c r="D22" s="1341">
        <v>59311</v>
      </c>
      <c r="E22" s="1804" t="s">
        <v>2969</v>
      </c>
      <c r="F22" s="1326" t="s">
        <v>2972</v>
      </c>
      <c r="G22" s="1307" t="s">
        <v>2222</v>
      </c>
      <c r="H22" s="1524">
        <v>22000</v>
      </c>
      <c r="I22" s="1267" t="s">
        <v>35</v>
      </c>
      <c r="J22" s="1307" t="s">
        <v>2306</v>
      </c>
      <c r="K22" s="1386">
        <v>45905</v>
      </c>
      <c r="L22" s="1386">
        <v>45906</v>
      </c>
      <c r="M22" s="1386">
        <v>45912</v>
      </c>
      <c r="N22" s="1386">
        <v>45922</v>
      </c>
      <c r="O22" s="1386">
        <v>45922</v>
      </c>
      <c r="P22" s="1267" t="s">
        <v>2979</v>
      </c>
      <c r="Q22" s="1522">
        <v>2.8170000000000002</v>
      </c>
      <c r="R22" s="1333">
        <v>1.411</v>
      </c>
      <c r="S22" s="1805">
        <f t="shared" si="0"/>
        <v>0.50088746893858715</v>
      </c>
      <c r="T22" s="1423">
        <v>193.22</v>
      </c>
      <c r="U22" s="1423">
        <v>260.45</v>
      </c>
      <c r="V22" s="1423">
        <v>13.84</v>
      </c>
      <c r="W22" s="1423">
        <v>0</v>
      </c>
      <c r="X22" s="1423">
        <v>3.32</v>
      </c>
      <c r="Y22" s="1806">
        <f t="shared" si="1"/>
        <v>5.382491346789562E-2</v>
      </c>
      <c r="Z22" s="1807">
        <v>296.52999999999997</v>
      </c>
      <c r="AA22" s="1808">
        <v>8</v>
      </c>
      <c r="AB22" s="1807">
        <v>7.62</v>
      </c>
      <c r="AC22" s="1807">
        <f t="shared" si="2"/>
        <v>0.57299</v>
      </c>
      <c r="AD22" s="1334">
        <f t="shared" si="3"/>
        <v>0.75144868354528838</v>
      </c>
      <c r="AE22" s="1809">
        <v>0</v>
      </c>
      <c r="AF22" s="1809">
        <v>0</v>
      </c>
      <c r="AG22" s="1809">
        <v>0</v>
      </c>
      <c r="AH22" s="1307"/>
      <c r="AI22" s="1307"/>
      <c r="AJ22" s="1307"/>
      <c r="AK22" s="1307"/>
      <c r="AL22" s="1307"/>
      <c r="AM22" s="1307"/>
      <c r="AN22" s="1307"/>
      <c r="AO22" s="1307"/>
      <c r="AP22" s="1307"/>
      <c r="AQ22" s="1422"/>
      <c r="AR22" s="1645"/>
    </row>
    <row r="23" spans="1:44" ht="24" thickBot="1">
      <c r="A23" s="1812">
        <v>21</v>
      </c>
      <c r="B23" s="1784" t="s">
        <v>2960</v>
      </c>
      <c r="C23" s="1514" t="s">
        <v>29</v>
      </c>
      <c r="D23" s="1341">
        <v>59311</v>
      </c>
      <c r="E23" s="1804" t="s">
        <v>2970</v>
      </c>
      <c r="F23" s="1326" t="s">
        <v>2973</v>
      </c>
      <c r="G23" s="1307" t="s">
        <v>2222</v>
      </c>
      <c r="H23" s="1524">
        <v>22000</v>
      </c>
      <c r="I23" s="1267" t="s">
        <v>35</v>
      </c>
      <c r="J23" s="1307" t="s">
        <v>2306</v>
      </c>
      <c r="K23" s="1386">
        <v>45905</v>
      </c>
      <c r="L23" s="1386">
        <v>45906</v>
      </c>
      <c r="M23" s="1386">
        <v>45912</v>
      </c>
      <c r="N23" s="1386">
        <v>45922</v>
      </c>
      <c r="O23" s="1386">
        <v>45922</v>
      </c>
      <c r="P23" s="1267" t="s">
        <v>2979</v>
      </c>
      <c r="Q23" s="1522">
        <v>2.8170000000000002</v>
      </c>
      <c r="R23" s="1333">
        <v>1.411</v>
      </c>
      <c r="S23" s="1805">
        <f t="shared" si="0"/>
        <v>0.50088746893858715</v>
      </c>
      <c r="T23" s="1423">
        <v>193.22</v>
      </c>
      <c r="U23" s="1423">
        <v>260.45</v>
      </c>
      <c r="V23" s="1423">
        <v>13.84</v>
      </c>
      <c r="W23" s="1423">
        <v>0</v>
      </c>
      <c r="X23" s="1423">
        <v>3.32</v>
      </c>
      <c r="Y23" s="1806">
        <f t="shared" si="1"/>
        <v>5.382491346789562E-2</v>
      </c>
      <c r="Z23" s="1807">
        <v>296.52999999999997</v>
      </c>
      <c r="AA23" s="1808">
        <v>8</v>
      </c>
      <c r="AB23" s="1807">
        <v>7.62</v>
      </c>
      <c r="AC23" s="1807">
        <f t="shared" si="2"/>
        <v>0.57299</v>
      </c>
      <c r="AD23" s="1334">
        <f t="shared" si="3"/>
        <v>0.75144868354528838</v>
      </c>
      <c r="AE23" s="1809">
        <v>0</v>
      </c>
      <c r="AF23" s="1809">
        <v>0</v>
      </c>
      <c r="AG23" s="1809">
        <v>0</v>
      </c>
      <c r="AH23" s="1307"/>
      <c r="AI23" s="1307"/>
      <c r="AJ23" s="1307"/>
      <c r="AK23" s="1307"/>
      <c r="AL23" s="1307"/>
      <c r="AM23" s="1307"/>
      <c r="AN23" s="1307"/>
      <c r="AO23" s="1307"/>
      <c r="AP23" s="1307"/>
      <c r="AQ23" s="1422"/>
      <c r="AR23" s="1645"/>
    </row>
    <row r="24" spans="1:44" ht="24" thickBot="1">
      <c r="A24" s="1812">
        <v>22</v>
      </c>
      <c r="B24" s="1784" t="s">
        <v>2960</v>
      </c>
      <c r="C24" s="1514" t="s">
        <v>29</v>
      </c>
      <c r="D24" s="1341">
        <v>59311</v>
      </c>
      <c r="E24" s="1804" t="s">
        <v>2971</v>
      </c>
      <c r="F24" s="1326" t="s">
        <v>2973</v>
      </c>
      <c r="G24" s="1307" t="s">
        <v>2222</v>
      </c>
      <c r="H24" s="1524">
        <v>220000</v>
      </c>
      <c r="I24" s="1267" t="s">
        <v>35</v>
      </c>
      <c r="J24" s="1307" t="s">
        <v>2306</v>
      </c>
      <c r="K24" s="1386">
        <v>45905</v>
      </c>
      <c r="L24" s="1386">
        <v>45906</v>
      </c>
      <c r="M24" s="1386">
        <v>45912</v>
      </c>
      <c r="N24" s="1386">
        <v>45922</v>
      </c>
      <c r="O24" s="1386">
        <v>45922</v>
      </c>
      <c r="P24" s="1267" t="s">
        <v>2979</v>
      </c>
      <c r="Q24" s="1522">
        <v>2.2709999999999999</v>
      </c>
      <c r="R24" s="1333">
        <v>1.413</v>
      </c>
      <c r="S24" s="1805">
        <f t="shared" si="0"/>
        <v>0.62219286657859973</v>
      </c>
      <c r="T24" s="1423">
        <v>217.03</v>
      </c>
      <c r="U24" s="1423">
        <v>553.44000000000005</v>
      </c>
      <c r="V24" s="1423">
        <v>66.92</v>
      </c>
      <c r="W24" s="1423">
        <v>0</v>
      </c>
      <c r="X24" s="1423">
        <v>0</v>
      </c>
      <c r="Y24" s="1806">
        <f t="shared" si="1"/>
        <v>0.12091644984099449</v>
      </c>
      <c r="Z24" s="1807">
        <v>342.57</v>
      </c>
      <c r="AA24" s="1808">
        <v>18.649999999999999</v>
      </c>
      <c r="AB24" s="1807">
        <v>38.31</v>
      </c>
      <c r="AC24" s="1807">
        <f t="shared" si="2"/>
        <v>12.175680000000002</v>
      </c>
      <c r="AD24" s="1334">
        <f t="shared" si="3"/>
        <v>0.39214729690662037</v>
      </c>
      <c r="AE24" s="1809">
        <v>0</v>
      </c>
      <c r="AF24" s="1809">
        <v>0</v>
      </c>
      <c r="AG24" s="1809">
        <v>0</v>
      </c>
      <c r="AH24" s="1307"/>
      <c r="AI24" s="1307"/>
      <c r="AJ24" s="1307"/>
      <c r="AK24" s="1307"/>
      <c r="AL24" s="1307"/>
      <c r="AM24" s="1307"/>
      <c r="AN24" s="1307"/>
      <c r="AO24" s="1307"/>
      <c r="AP24" s="1307"/>
      <c r="AQ24" s="1422"/>
      <c r="AR24" s="1645"/>
    </row>
    <row r="25" spans="1:44" ht="24" thickBot="1">
      <c r="A25" s="1812">
        <v>23</v>
      </c>
      <c r="B25" s="1784" t="s">
        <v>2960</v>
      </c>
      <c r="C25" s="1514" t="s">
        <v>29</v>
      </c>
      <c r="D25" s="1341">
        <v>59265</v>
      </c>
      <c r="E25" s="1804" t="s">
        <v>2974</v>
      </c>
      <c r="F25" s="1326" t="s">
        <v>1872</v>
      </c>
      <c r="G25" s="1307" t="s">
        <v>2222</v>
      </c>
      <c r="H25" s="1524">
        <v>220000</v>
      </c>
      <c r="I25" s="1267" t="s">
        <v>35</v>
      </c>
      <c r="J25" s="1307" t="s">
        <v>2306</v>
      </c>
      <c r="K25" s="1386">
        <v>45911</v>
      </c>
      <c r="L25" s="1386">
        <v>45911</v>
      </c>
      <c r="M25" s="1386">
        <v>45916</v>
      </c>
      <c r="N25" s="1386">
        <v>45922</v>
      </c>
      <c r="O25" s="1386">
        <v>45924</v>
      </c>
      <c r="P25" s="1267" t="s">
        <v>2979</v>
      </c>
      <c r="Q25" s="1522">
        <v>6.7290000000000001</v>
      </c>
      <c r="R25" s="1333">
        <v>3.83</v>
      </c>
      <c r="S25" s="1805">
        <f t="shared" ref="S25:S40" si="4">R25/Q25</f>
        <v>0.56917818397978892</v>
      </c>
      <c r="T25" s="1423">
        <v>472.21</v>
      </c>
      <c r="U25" s="1423">
        <v>638.64</v>
      </c>
      <c r="V25" s="1423">
        <v>35.299999999999997</v>
      </c>
      <c r="W25" s="1423">
        <v>11.42</v>
      </c>
      <c r="X25" s="1423">
        <v>8.5500000000000007</v>
      </c>
      <c r="Y25" s="1282">
        <f t="shared" ref="Y25:Y40" si="5">V25/(U25-W25-X25)</f>
        <v>5.7057882231237964E-2</v>
      </c>
      <c r="Z25" s="1807">
        <v>590.02</v>
      </c>
      <c r="AA25" s="1808">
        <v>17.5</v>
      </c>
      <c r="AB25" s="1807">
        <v>49.38</v>
      </c>
      <c r="AC25" s="1807">
        <f t="shared" ref="AC25:AC40" si="6">U25*H25/10^7</f>
        <v>14.050079999999999</v>
      </c>
      <c r="AD25" s="1334">
        <f t="shared" ref="AD25:AD40" si="7">T25/(U25-W25-X25)</f>
        <v>0.76326636171141304</v>
      </c>
      <c r="AE25" s="1809">
        <v>7.98</v>
      </c>
      <c r="AF25" s="1809">
        <v>7.88</v>
      </c>
      <c r="AG25" s="1809">
        <v>7.78</v>
      </c>
      <c r="AH25" s="1307"/>
      <c r="AI25" s="1307"/>
      <c r="AJ25" s="1307"/>
      <c r="AK25" s="1307"/>
      <c r="AL25" s="1307"/>
      <c r="AM25" s="1307"/>
      <c r="AN25" s="1307"/>
      <c r="AO25" s="1307"/>
      <c r="AP25" s="1307"/>
      <c r="AQ25" s="1422"/>
      <c r="AR25" s="1645"/>
    </row>
    <row r="26" spans="1:44" ht="24" thickBot="1">
      <c r="A26" s="1812">
        <v>24</v>
      </c>
      <c r="B26" s="1784" t="s">
        <v>2960</v>
      </c>
      <c r="C26" s="1514" t="s">
        <v>29</v>
      </c>
      <c r="D26" s="1341">
        <v>59265</v>
      </c>
      <c r="E26" s="1804" t="s">
        <v>2975</v>
      </c>
      <c r="F26" s="1326" t="s">
        <v>1872</v>
      </c>
      <c r="G26" s="1307" t="s">
        <v>2222</v>
      </c>
      <c r="H26" s="1524">
        <v>22000</v>
      </c>
      <c r="I26" s="1267" t="s">
        <v>35</v>
      </c>
      <c r="J26" s="1307" t="s">
        <v>2306</v>
      </c>
      <c r="K26" s="1386">
        <v>45911</v>
      </c>
      <c r="L26" s="1386">
        <v>45911</v>
      </c>
      <c r="M26" s="1386">
        <v>45916</v>
      </c>
      <c r="N26" s="1386">
        <v>45922</v>
      </c>
      <c r="O26" s="1386">
        <v>45924</v>
      </c>
      <c r="P26" s="1267" t="s">
        <v>2979</v>
      </c>
      <c r="Q26" s="1522">
        <v>6.5289999999999999</v>
      </c>
      <c r="R26" s="1333">
        <v>3.7149999999999999</v>
      </c>
      <c r="S26" s="1805">
        <f t="shared" si="4"/>
        <v>0.56899984683718796</v>
      </c>
      <c r="T26" s="1423">
        <v>411.72</v>
      </c>
      <c r="U26" s="1423">
        <v>553.5</v>
      </c>
      <c r="V26" s="1423">
        <v>29.78</v>
      </c>
      <c r="W26" s="1423">
        <v>11.42</v>
      </c>
      <c r="X26" s="1423">
        <v>7.16</v>
      </c>
      <c r="Y26" s="1282">
        <f t="shared" si="5"/>
        <v>5.5671876168399005E-2</v>
      </c>
      <c r="Z26" s="1807">
        <v>312.24</v>
      </c>
      <c r="AA26" s="1808">
        <v>8</v>
      </c>
      <c r="AB26" s="1807"/>
      <c r="AC26" s="1807">
        <f t="shared" si="6"/>
        <v>1.2177</v>
      </c>
      <c r="AD26" s="1334">
        <f t="shared" si="7"/>
        <v>0.76968518656995433</v>
      </c>
      <c r="AE26" s="1809">
        <v>6.92</v>
      </c>
      <c r="AF26" s="1809">
        <v>6.83</v>
      </c>
      <c r="AG26" s="1809">
        <v>6.75</v>
      </c>
      <c r="AH26" s="1307"/>
      <c r="AI26" s="1307"/>
      <c r="AJ26" s="1307"/>
      <c r="AK26" s="1307"/>
      <c r="AL26" s="1307"/>
      <c r="AM26" s="1307"/>
      <c r="AN26" s="1307"/>
      <c r="AO26" s="1307"/>
      <c r="AP26" s="1307"/>
      <c r="AQ26" s="1422"/>
      <c r="AR26" s="1645"/>
    </row>
    <row r="27" spans="1:44" ht="24" thickBot="1">
      <c r="A27" s="1812">
        <v>25</v>
      </c>
      <c r="B27" s="1784" t="s">
        <v>2960</v>
      </c>
      <c r="C27" s="1514" t="s">
        <v>29</v>
      </c>
      <c r="D27" s="1341">
        <v>59265</v>
      </c>
      <c r="E27" s="1804" t="s">
        <v>2976</v>
      </c>
      <c r="F27" s="1326" t="s">
        <v>1874</v>
      </c>
      <c r="G27" s="1307" t="s">
        <v>2222</v>
      </c>
      <c r="H27" s="1524">
        <v>220000</v>
      </c>
      <c r="I27" s="1267" t="s">
        <v>35</v>
      </c>
      <c r="J27" s="1307" t="s">
        <v>2306</v>
      </c>
      <c r="K27" s="1386">
        <v>45911</v>
      </c>
      <c r="L27" s="1386">
        <v>45911</v>
      </c>
      <c r="M27" s="1386">
        <v>45916</v>
      </c>
      <c r="N27" s="1386">
        <v>45922</v>
      </c>
      <c r="O27" s="1386">
        <v>45924</v>
      </c>
      <c r="P27" s="1267" t="s">
        <v>2979</v>
      </c>
      <c r="Q27" s="1522">
        <v>6.7290000000000001</v>
      </c>
      <c r="R27" s="1333">
        <v>3.8330000000000002</v>
      </c>
      <c r="S27" s="1805">
        <f t="shared" si="4"/>
        <v>0.56962401545549113</v>
      </c>
      <c r="T27" s="1423">
        <v>472.31</v>
      </c>
      <c r="U27" s="1423">
        <v>638.75</v>
      </c>
      <c r="V27" s="1423">
        <v>35.299999999999997</v>
      </c>
      <c r="W27" s="1423">
        <v>11.42</v>
      </c>
      <c r="X27" s="1423">
        <v>8.5500000000000007</v>
      </c>
      <c r="Y27" s="1282">
        <f t="shared" si="5"/>
        <v>5.7047739099518394E-2</v>
      </c>
      <c r="Z27" s="1807">
        <v>491.72</v>
      </c>
      <c r="AA27" s="1808">
        <v>85</v>
      </c>
      <c r="AB27" s="1807">
        <v>49.38</v>
      </c>
      <c r="AC27" s="1807">
        <f t="shared" si="6"/>
        <v>14.0525</v>
      </c>
      <c r="AD27" s="1334">
        <f t="shared" si="7"/>
        <v>0.76329228481851374</v>
      </c>
      <c r="AE27" s="1809">
        <v>7.98</v>
      </c>
      <c r="AF27" s="1809">
        <v>7.88</v>
      </c>
      <c r="AG27" s="1809">
        <v>7.79</v>
      </c>
      <c r="AH27" s="1307"/>
      <c r="AI27" s="1307"/>
      <c r="AJ27" s="1307"/>
      <c r="AK27" s="1307"/>
      <c r="AL27" s="1307"/>
      <c r="AM27" s="1307"/>
      <c r="AN27" s="1307"/>
      <c r="AO27" s="1307"/>
      <c r="AP27" s="1307"/>
      <c r="AQ27" s="1422"/>
      <c r="AR27" s="1645"/>
    </row>
    <row r="28" spans="1:44" ht="24" thickBot="1">
      <c r="A28" s="1812">
        <v>26</v>
      </c>
      <c r="B28" s="1784" t="s">
        <v>2960</v>
      </c>
      <c r="C28" s="1514" t="s">
        <v>29</v>
      </c>
      <c r="D28" s="1341">
        <v>59265</v>
      </c>
      <c r="E28" s="1804" t="s">
        <v>2977</v>
      </c>
      <c r="F28" s="1326" t="s">
        <v>1874</v>
      </c>
      <c r="G28" s="1307" t="s">
        <v>2222</v>
      </c>
      <c r="H28" s="1524">
        <v>11000</v>
      </c>
      <c r="I28" s="1267" t="s">
        <v>35</v>
      </c>
      <c r="J28" s="1307" t="s">
        <v>2306</v>
      </c>
      <c r="K28" s="1386">
        <v>45911</v>
      </c>
      <c r="L28" s="1386">
        <v>45911</v>
      </c>
      <c r="M28" s="1386">
        <v>45916</v>
      </c>
      <c r="N28" s="1386">
        <v>45922</v>
      </c>
      <c r="O28" s="1386">
        <v>45924</v>
      </c>
      <c r="P28" s="1267" t="s">
        <v>2979</v>
      </c>
      <c r="Q28" s="1522">
        <v>6.0279999999999996</v>
      </c>
      <c r="R28" s="1333">
        <v>3.39</v>
      </c>
      <c r="S28" s="1805">
        <f t="shared" si="4"/>
        <v>0.56237558062375581</v>
      </c>
      <c r="T28" s="1423">
        <v>381.38</v>
      </c>
      <c r="U28" s="1423">
        <v>486.31</v>
      </c>
      <c r="V28" s="1423">
        <v>22.29</v>
      </c>
      <c r="W28" s="1423">
        <v>11.42</v>
      </c>
      <c r="X28" s="1423">
        <v>5.09</v>
      </c>
      <c r="Y28" s="1282">
        <f t="shared" si="5"/>
        <v>4.7445721583652616E-2</v>
      </c>
      <c r="Z28" s="1807">
        <v>254.74</v>
      </c>
      <c r="AA28" s="1808">
        <v>8</v>
      </c>
      <c r="AB28" s="1807">
        <v>0</v>
      </c>
      <c r="AC28" s="1807">
        <f t="shared" si="6"/>
        <v>0.534941</v>
      </c>
      <c r="AD28" s="1334">
        <f t="shared" si="7"/>
        <v>0.81179225202213701</v>
      </c>
      <c r="AE28" s="1809">
        <v>6.08</v>
      </c>
      <c r="AF28" s="1809">
        <v>6</v>
      </c>
      <c r="AG28" s="1809">
        <v>5.93</v>
      </c>
      <c r="AH28" s="1307"/>
      <c r="AI28" s="1307"/>
      <c r="AJ28" s="1307"/>
      <c r="AK28" s="1307"/>
      <c r="AL28" s="1307"/>
      <c r="AM28" s="1307"/>
      <c r="AN28" s="1307"/>
      <c r="AO28" s="1307"/>
      <c r="AP28" s="1307"/>
      <c r="AQ28" s="1422"/>
      <c r="AR28" s="1645"/>
    </row>
    <row r="29" spans="1:44" ht="24" thickBot="1">
      <c r="A29" s="1812">
        <v>27</v>
      </c>
      <c r="B29" s="1784" t="s">
        <v>2960</v>
      </c>
      <c r="C29" s="1514" t="s">
        <v>29</v>
      </c>
      <c r="D29" s="1341">
        <v>59265</v>
      </c>
      <c r="E29" s="1804" t="s">
        <v>2978</v>
      </c>
      <c r="F29" s="1326" t="s">
        <v>1874</v>
      </c>
      <c r="G29" s="1307" t="s">
        <v>2222</v>
      </c>
      <c r="H29" s="1524">
        <v>11000</v>
      </c>
      <c r="I29" s="1267" t="s">
        <v>35</v>
      </c>
      <c r="J29" s="1307" t="s">
        <v>2306</v>
      </c>
      <c r="K29" s="1386">
        <v>45911</v>
      </c>
      <c r="L29" s="1386">
        <v>45911</v>
      </c>
      <c r="M29" s="1386">
        <v>45916</v>
      </c>
      <c r="N29" s="1386">
        <v>45922</v>
      </c>
      <c r="O29" s="1386">
        <v>45924</v>
      </c>
      <c r="P29" s="1267" t="s">
        <v>2979</v>
      </c>
      <c r="Q29" s="1522">
        <v>6.5289999999999999</v>
      </c>
      <c r="R29" s="1333">
        <v>3.718</v>
      </c>
      <c r="S29" s="1805">
        <f t="shared" si="4"/>
        <v>0.56945933527339565</v>
      </c>
      <c r="T29" s="1423">
        <v>411.82</v>
      </c>
      <c r="U29" s="1423">
        <v>553.61</v>
      </c>
      <c r="V29" s="1423">
        <v>29.78</v>
      </c>
      <c r="W29" s="1423">
        <v>11.42</v>
      </c>
      <c r="X29" s="1423">
        <v>7.16</v>
      </c>
      <c r="Y29" s="1806">
        <f t="shared" si="5"/>
        <v>5.5660430256247305E-2</v>
      </c>
      <c r="Z29" s="1807">
        <v>0</v>
      </c>
      <c r="AA29" s="1808">
        <v>0</v>
      </c>
      <c r="AB29" s="1807">
        <v>0</v>
      </c>
      <c r="AC29" s="1807">
        <f t="shared" si="6"/>
        <v>0.60897100000000004</v>
      </c>
      <c r="AD29" s="1334">
        <f t="shared" si="7"/>
        <v>0.76971384782161734</v>
      </c>
      <c r="AE29" s="1809">
        <v>6.92</v>
      </c>
      <c r="AF29" s="1809">
        <v>6.83</v>
      </c>
      <c r="AG29" s="1809">
        <v>6.75</v>
      </c>
      <c r="AH29" s="1307"/>
      <c r="AI29" s="1307"/>
      <c r="AJ29" s="1307"/>
      <c r="AK29" s="1307"/>
      <c r="AL29" s="1307"/>
      <c r="AM29" s="1307"/>
      <c r="AN29" s="1307"/>
      <c r="AO29" s="1307"/>
      <c r="AP29" s="1307"/>
      <c r="AQ29" s="1422"/>
      <c r="AR29" s="1645"/>
    </row>
    <row r="30" spans="1:44" ht="24" thickBot="1">
      <c r="A30" s="1812">
        <v>28</v>
      </c>
      <c r="B30" s="1784" t="s">
        <v>2960</v>
      </c>
      <c r="C30" s="1514" t="s">
        <v>29</v>
      </c>
      <c r="D30" s="1341">
        <v>59324</v>
      </c>
      <c r="E30" s="1804" t="s">
        <v>2980</v>
      </c>
      <c r="F30" s="1326" t="s">
        <v>2982</v>
      </c>
      <c r="G30" s="1307" t="s">
        <v>2222</v>
      </c>
      <c r="H30" s="1524">
        <v>93668</v>
      </c>
      <c r="I30" s="1267" t="s">
        <v>35</v>
      </c>
      <c r="J30" s="1307" t="s">
        <v>2306</v>
      </c>
      <c r="K30" s="1386">
        <v>45914</v>
      </c>
      <c r="L30" s="1386">
        <v>45916</v>
      </c>
      <c r="M30" s="1386">
        <v>45919</v>
      </c>
      <c r="N30" s="1386">
        <v>45922</v>
      </c>
      <c r="O30" s="1386">
        <v>45925</v>
      </c>
      <c r="P30" s="1267" t="s">
        <v>2979</v>
      </c>
      <c r="Q30" s="1522">
        <v>13.057</v>
      </c>
      <c r="R30" s="1333">
        <v>9.4849999999999994</v>
      </c>
      <c r="S30" s="1805">
        <f t="shared" si="4"/>
        <v>0.72643026728957638</v>
      </c>
      <c r="T30" s="1423">
        <v>706.79</v>
      </c>
      <c r="U30" s="1423">
        <v>810.53</v>
      </c>
      <c r="V30" s="1423">
        <v>26.23</v>
      </c>
      <c r="W30" s="1423">
        <v>0</v>
      </c>
      <c r="X30" s="1423">
        <v>5.0199999999999996</v>
      </c>
      <c r="Y30" s="1806">
        <f t="shared" si="5"/>
        <v>3.2563220816625493E-2</v>
      </c>
      <c r="Z30" s="1807">
        <v>381.68</v>
      </c>
      <c r="AA30" s="1808">
        <v>15</v>
      </c>
      <c r="AB30" s="1807">
        <v>0</v>
      </c>
      <c r="AC30" s="1807">
        <f t="shared" si="6"/>
        <v>7.5920724039999996</v>
      </c>
      <c r="AD30" s="1334">
        <f t="shared" si="7"/>
        <v>0.87744410373552151</v>
      </c>
      <c r="AE30" s="1809">
        <v>2.0299999999999998</v>
      </c>
      <c r="AF30" s="1809">
        <v>2.02</v>
      </c>
      <c r="AG30" s="1809">
        <v>2.02</v>
      </c>
      <c r="AH30" s="1307"/>
      <c r="AI30" s="1307"/>
      <c r="AJ30" s="1307"/>
      <c r="AK30" s="1307"/>
      <c r="AL30" s="1307"/>
      <c r="AM30" s="1307"/>
      <c r="AN30" s="1307"/>
      <c r="AO30" s="1307"/>
      <c r="AP30" s="1307"/>
      <c r="AQ30" s="1422"/>
      <c r="AR30" s="1645"/>
    </row>
    <row r="31" spans="1:44" ht="24" thickBot="1">
      <c r="A31" s="1812">
        <v>29</v>
      </c>
      <c r="B31" s="1784" t="s">
        <v>2960</v>
      </c>
      <c r="C31" s="1514" t="s">
        <v>29</v>
      </c>
      <c r="D31" s="1341">
        <v>59324</v>
      </c>
      <c r="E31" s="1804" t="s">
        <v>2981</v>
      </c>
      <c r="F31" s="1326" t="s">
        <v>2982</v>
      </c>
      <c r="G31" s="1307" t="s">
        <v>2222</v>
      </c>
      <c r="H31" s="1524">
        <v>148332</v>
      </c>
      <c r="I31" s="1267" t="s">
        <v>35</v>
      </c>
      <c r="J31" s="1307" t="s">
        <v>2306</v>
      </c>
      <c r="K31" s="1386">
        <v>45914</v>
      </c>
      <c r="L31" s="1386">
        <v>45916</v>
      </c>
      <c r="M31" s="1386">
        <v>45919</v>
      </c>
      <c r="N31" s="1386">
        <v>45922</v>
      </c>
      <c r="O31" s="1386">
        <v>45925</v>
      </c>
      <c r="P31" s="1267" t="s">
        <v>2979</v>
      </c>
      <c r="Q31" s="1522">
        <v>13.923999999999999</v>
      </c>
      <c r="R31" s="1333">
        <v>10.122</v>
      </c>
      <c r="S31" s="1805">
        <f t="shared" si="4"/>
        <v>0.72694627980465387</v>
      </c>
      <c r="T31" s="1423">
        <v>785.1</v>
      </c>
      <c r="U31" s="1423">
        <v>899.77</v>
      </c>
      <c r="V31" s="1423">
        <v>29.2</v>
      </c>
      <c r="W31" s="1423">
        <v>0</v>
      </c>
      <c r="X31" s="1423">
        <v>5.59</v>
      </c>
      <c r="Y31" s="1806">
        <f t="shared" si="5"/>
        <v>3.2655617437205041E-2</v>
      </c>
      <c r="Z31" s="1807">
        <v>495.84</v>
      </c>
      <c r="AA31" s="1808">
        <v>15</v>
      </c>
      <c r="AB31" s="1807">
        <v>43.21</v>
      </c>
      <c r="AC31" s="1807">
        <f t="shared" si="6"/>
        <v>13.346468364</v>
      </c>
      <c r="AD31" s="1334">
        <f t="shared" si="7"/>
        <v>0.87801113869690672</v>
      </c>
      <c r="AE31" s="1809">
        <v>2.25</v>
      </c>
      <c r="AF31" s="1809">
        <v>2.2400000000000002</v>
      </c>
      <c r="AG31" s="1809">
        <v>2.2400000000000002</v>
      </c>
      <c r="AH31" s="1307"/>
      <c r="AI31" s="1307"/>
      <c r="AJ31" s="1307"/>
      <c r="AK31" s="1307"/>
      <c r="AL31" s="1307"/>
      <c r="AM31" s="1307"/>
      <c r="AN31" s="1307"/>
      <c r="AO31" s="1307"/>
      <c r="AP31" s="1307"/>
      <c r="AQ31" s="1422"/>
      <c r="AR31" s="1645"/>
    </row>
    <row r="32" spans="1:44" ht="24" thickBot="1">
      <c r="A32" s="1812">
        <v>30</v>
      </c>
      <c r="B32" s="1784" t="s">
        <v>2960</v>
      </c>
      <c r="C32" s="1514" t="s">
        <v>29</v>
      </c>
      <c r="D32" s="1341">
        <v>59469</v>
      </c>
      <c r="E32" s="1804" t="s">
        <v>2983</v>
      </c>
      <c r="F32" s="1326" t="s">
        <v>2984</v>
      </c>
      <c r="G32" s="1307" t="s">
        <v>2222</v>
      </c>
      <c r="H32" s="1524">
        <v>148332</v>
      </c>
      <c r="I32" s="1267" t="s">
        <v>35</v>
      </c>
      <c r="J32" s="1307" t="s">
        <v>2306</v>
      </c>
      <c r="K32" s="1386">
        <v>45916</v>
      </c>
      <c r="L32" s="1386">
        <v>45916</v>
      </c>
      <c r="M32" s="1386">
        <v>45919</v>
      </c>
      <c r="N32" s="1386">
        <v>45922</v>
      </c>
      <c r="O32" s="1386">
        <v>45925</v>
      </c>
      <c r="P32" s="1267" t="s">
        <v>2979</v>
      </c>
      <c r="Q32" s="1522">
        <v>2.38</v>
      </c>
      <c r="R32" s="1333">
        <v>1.52</v>
      </c>
      <c r="S32" s="1805">
        <f t="shared" si="4"/>
        <v>0.63865546218487401</v>
      </c>
      <c r="T32" s="1423">
        <v>141.13</v>
      </c>
      <c r="U32" s="1423">
        <v>383.62</v>
      </c>
      <c r="V32" s="1423">
        <v>48</v>
      </c>
      <c r="W32" s="1423">
        <v>14.49</v>
      </c>
      <c r="X32" s="1423">
        <v>13.5</v>
      </c>
      <c r="Y32" s="1806">
        <f t="shared" si="5"/>
        <v>0.13497174029187639</v>
      </c>
      <c r="Z32" s="1807">
        <v>253.88</v>
      </c>
      <c r="AA32" s="1808">
        <v>76</v>
      </c>
      <c r="AB32" s="1807">
        <v>21.59</v>
      </c>
      <c r="AC32" s="1807">
        <f t="shared" si="6"/>
        <v>5.6903121840000006</v>
      </c>
      <c r="AD32" s="1334">
        <f t="shared" si="7"/>
        <v>0.39684503557067741</v>
      </c>
      <c r="AE32" s="1809">
        <v>6.71</v>
      </c>
      <c r="AF32" s="1809">
        <v>6.6</v>
      </c>
      <c r="AG32" s="1809">
        <v>6.48</v>
      </c>
      <c r="AH32" s="1307"/>
      <c r="AI32" s="1307"/>
      <c r="AJ32" s="1307"/>
      <c r="AK32" s="1307"/>
      <c r="AL32" s="1307"/>
      <c r="AM32" s="1307"/>
      <c r="AN32" s="1307"/>
      <c r="AO32" s="1307"/>
      <c r="AP32" s="1307"/>
      <c r="AQ32" s="1422"/>
      <c r="AR32" s="1645"/>
    </row>
    <row r="33" spans="1:44" ht="24" thickBot="1">
      <c r="A33" s="1812">
        <v>31</v>
      </c>
      <c r="B33" s="1784" t="s">
        <v>2960</v>
      </c>
      <c r="C33" s="1514" t="s">
        <v>29</v>
      </c>
      <c r="D33" s="1341">
        <v>59746</v>
      </c>
      <c r="E33" s="1804" t="s">
        <v>2985</v>
      </c>
      <c r="F33" s="1326" t="s">
        <v>1858</v>
      </c>
      <c r="G33" s="1307" t="s">
        <v>2222</v>
      </c>
      <c r="H33" s="1524">
        <v>220000</v>
      </c>
      <c r="I33" s="1267" t="s">
        <v>35</v>
      </c>
      <c r="J33" s="1307" t="s">
        <v>2306</v>
      </c>
      <c r="K33" s="1386">
        <v>45925</v>
      </c>
      <c r="L33" s="1386">
        <v>45925</v>
      </c>
      <c r="M33" s="1386">
        <v>45929</v>
      </c>
      <c r="N33" s="1386">
        <v>45938</v>
      </c>
      <c r="O33" s="1386">
        <v>45937</v>
      </c>
      <c r="P33" s="1267" t="s">
        <v>2979</v>
      </c>
      <c r="Q33" s="1522">
        <v>9.5310000000000006</v>
      </c>
      <c r="R33" s="1333">
        <v>6.9290000000000003</v>
      </c>
      <c r="S33" s="1805">
        <f t="shared" si="4"/>
        <v>0.72699611793096208</v>
      </c>
      <c r="T33" s="1423">
        <v>805.85</v>
      </c>
      <c r="U33" s="1423">
        <v>1265.53</v>
      </c>
      <c r="V33" s="1423">
        <v>96.09</v>
      </c>
      <c r="W33" s="1423">
        <v>65.06</v>
      </c>
      <c r="X33" s="1423">
        <v>25.07</v>
      </c>
      <c r="Y33" s="1806">
        <f t="shared" si="5"/>
        <v>8.1750893312914755E-2</v>
      </c>
      <c r="Z33" s="1807">
        <v>1643.85</v>
      </c>
      <c r="AA33" s="1808">
        <v>318.49</v>
      </c>
      <c r="AB33" s="1807">
        <v>65.91</v>
      </c>
      <c r="AC33" s="1807">
        <f t="shared" si="6"/>
        <v>27.841660000000001</v>
      </c>
      <c r="AD33" s="1334">
        <f t="shared" si="7"/>
        <v>0.68559639271737283</v>
      </c>
      <c r="AE33" s="1809">
        <v>18.98</v>
      </c>
      <c r="AF33" s="1809">
        <v>18.7</v>
      </c>
      <c r="AG33" s="1809">
        <v>18.420000000000002</v>
      </c>
      <c r="AH33" s="1307"/>
      <c r="AI33" s="1307"/>
      <c r="AJ33" s="1307"/>
      <c r="AK33" s="1307"/>
      <c r="AL33" s="1307"/>
      <c r="AM33" s="1307"/>
      <c r="AN33" s="1307"/>
      <c r="AO33" s="1307"/>
      <c r="AP33" s="1307"/>
      <c r="AQ33" s="1422"/>
      <c r="AR33" s="1645"/>
    </row>
    <row r="34" spans="1:44" ht="24" thickBot="1">
      <c r="A34" s="1812">
        <v>32</v>
      </c>
      <c r="B34" s="1784" t="s">
        <v>2960</v>
      </c>
      <c r="C34" s="1514" t="s">
        <v>29</v>
      </c>
      <c r="D34" s="1341">
        <v>59746</v>
      </c>
      <c r="E34" s="1804" t="s">
        <v>2986</v>
      </c>
      <c r="F34" s="1326" t="s">
        <v>1858</v>
      </c>
      <c r="G34" s="1307" t="s">
        <v>2222</v>
      </c>
      <c r="H34" s="1524">
        <v>22000</v>
      </c>
      <c r="I34" s="1267" t="s">
        <v>35</v>
      </c>
      <c r="J34" s="1307" t="s">
        <v>2306</v>
      </c>
      <c r="K34" s="1386">
        <v>45925</v>
      </c>
      <c r="L34" s="1386">
        <v>45925</v>
      </c>
      <c r="M34" s="1386">
        <v>45929</v>
      </c>
      <c r="N34" s="1386">
        <v>45938</v>
      </c>
      <c r="O34" s="1386">
        <v>45937</v>
      </c>
      <c r="P34" s="1267" t="s">
        <v>2979</v>
      </c>
      <c r="Q34" s="1522">
        <v>6.78</v>
      </c>
      <c r="R34" s="1333">
        <v>4.95</v>
      </c>
      <c r="S34" s="1805">
        <f t="shared" si="4"/>
        <v>0.73008849557522126</v>
      </c>
      <c r="T34" s="1423">
        <v>461.95</v>
      </c>
      <c r="U34" s="1423">
        <v>764.92</v>
      </c>
      <c r="V34" s="1423">
        <v>61.69</v>
      </c>
      <c r="W34" s="1423">
        <v>65.06</v>
      </c>
      <c r="X34" s="1423">
        <v>16.3</v>
      </c>
      <c r="Y34" s="1806">
        <f t="shared" si="5"/>
        <v>9.0248112821113002E-2</v>
      </c>
      <c r="Z34" s="1807">
        <v>766.28</v>
      </c>
      <c r="AA34" s="1808">
        <v>35.79</v>
      </c>
      <c r="AB34" s="1807">
        <v>0</v>
      </c>
      <c r="AC34" s="1807">
        <f t="shared" si="6"/>
        <v>1.6828240000000001</v>
      </c>
      <c r="AD34" s="1334">
        <f t="shared" si="7"/>
        <v>0.67580022236526427</v>
      </c>
      <c r="AE34" s="1809">
        <v>11.47</v>
      </c>
      <c r="AF34" s="1809">
        <v>11.3</v>
      </c>
      <c r="AG34" s="1809">
        <v>11.13</v>
      </c>
      <c r="AH34" s="1307"/>
      <c r="AI34" s="1307"/>
      <c r="AJ34" s="1307"/>
      <c r="AK34" s="1307"/>
      <c r="AL34" s="1307"/>
      <c r="AM34" s="1307"/>
      <c r="AN34" s="1307"/>
      <c r="AO34" s="1307"/>
      <c r="AP34" s="1307"/>
      <c r="AQ34" s="1422"/>
      <c r="AR34" s="1645"/>
    </row>
    <row r="35" spans="1:44" ht="24" thickBot="1">
      <c r="A35" s="1812">
        <v>33</v>
      </c>
      <c r="B35" s="1784" t="s">
        <v>2960</v>
      </c>
      <c r="C35" s="1514" t="s">
        <v>29</v>
      </c>
      <c r="D35" s="1341">
        <v>59746</v>
      </c>
      <c r="E35" s="1804" t="s">
        <v>2987</v>
      </c>
      <c r="F35" s="1326" t="s">
        <v>1861</v>
      </c>
      <c r="G35" s="1307" t="s">
        <v>2222</v>
      </c>
      <c r="H35" s="1524">
        <v>22000</v>
      </c>
      <c r="I35" s="1267" t="s">
        <v>35</v>
      </c>
      <c r="J35" s="1307" t="s">
        <v>2306</v>
      </c>
      <c r="K35" s="1386">
        <v>45925</v>
      </c>
      <c r="L35" s="1386">
        <v>45925</v>
      </c>
      <c r="M35" s="1386">
        <v>45929</v>
      </c>
      <c r="N35" s="1386">
        <v>45938</v>
      </c>
      <c r="O35" s="1386">
        <v>45937</v>
      </c>
      <c r="P35" s="1267" t="s">
        <v>2979</v>
      </c>
      <c r="Q35" s="1522">
        <v>6.78</v>
      </c>
      <c r="R35" s="1333">
        <v>4.9400000000000004</v>
      </c>
      <c r="S35" s="1805">
        <f t="shared" si="4"/>
        <v>0.72861356932153398</v>
      </c>
      <c r="T35" s="1423">
        <v>461.74</v>
      </c>
      <c r="U35" s="1423">
        <v>764.5</v>
      </c>
      <c r="V35" s="1423">
        <v>61.69</v>
      </c>
      <c r="W35" s="1423">
        <v>65.06</v>
      </c>
      <c r="X35" s="1423">
        <v>16.3</v>
      </c>
      <c r="Y35" s="1806">
        <f t="shared" si="5"/>
        <v>9.0303598091167239E-2</v>
      </c>
      <c r="Z35" s="1807">
        <v>684.15</v>
      </c>
      <c r="AA35" s="1808">
        <v>26.02</v>
      </c>
      <c r="AB35" s="1807">
        <v>0</v>
      </c>
      <c r="AC35" s="1807">
        <f t="shared" si="6"/>
        <v>1.6819</v>
      </c>
      <c r="AD35" s="1334">
        <f t="shared" si="7"/>
        <v>0.67590830576455774</v>
      </c>
      <c r="AE35" s="1809">
        <v>11.47</v>
      </c>
      <c r="AF35" s="1809">
        <v>11.3</v>
      </c>
      <c r="AG35" s="1809">
        <v>11.13</v>
      </c>
      <c r="AH35" s="1307"/>
      <c r="AI35" s="1307"/>
      <c r="AJ35" s="1307"/>
      <c r="AK35" s="1307"/>
      <c r="AL35" s="1307"/>
      <c r="AM35" s="1307"/>
      <c r="AN35" s="1307"/>
      <c r="AO35" s="1307"/>
      <c r="AP35" s="1307"/>
      <c r="AQ35" s="1422"/>
      <c r="AR35" s="1645"/>
    </row>
    <row r="36" spans="1:44" ht="24" thickBot="1">
      <c r="A36" s="1812">
        <v>34</v>
      </c>
      <c r="B36" s="1784" t="s">
        <v>2960</v>
      </c>
      <c r="C36" s="1514" t="s">
        <v>29</v>
      </c>
      <c r="D36" s="1341">
        <v>59746</v>
      </c>
      <c r="E36" s="1804" t="s">
        <v>2988</v>
      </c>
      <c r="F36" s="1326" t="s">
        <v>1861</v>
      </c>
      <c r="G36" s="1307" t="s">
        <v>2222</v>
      </c>
      <c r="H36" s="1524">
        <v>220000</v>
      </c>
      <c r="I36" s="1267" t="s">
        <v>35</v>
      </c>
      <c r="J36" s="1307" t="s">
        <v>2306</v>
      </c>
      <c r="K36" s="1386">
        <v>45925</v>
      </c>
      <c r="L36" s="1386">
        <v>45925</v>
      </c>
      <c r="M36" s="1386">
        <v>45929</v>
      </c>
      <c r="N36" s="1386">
        <v>45938</v>
      </c>
      <c r="O36" s="1386">
        <v>45937</v>
      </c>
      <c r="P36" s="1267" t="s">
        <v>2979</v>
      </c>
      <c r="Q36" s="1522">
        <v>9.5299999999999994</v>
      </c>
      <c r="R36" s="1333">
        <v>6.93</v>
      </c>
      <c r="S36" s="1805">
        <f t="shared" si="4"/>
        <v>0.72717733473242396</v>
      </c>
      <c r="T36" s="1423">
        <v>805.85</v>
      </c>
      <c r="U36" s="1423">
        <v>1265.53</v>
      </c>
      <c r="V36" s="1423">
        <v>96.09</v>
      </c>
      <c r="W36" s="1423">
        <v>65.06</v>
      </c>
      <c r="X36" s="1423">
        <v>25.07</v>
      </c>
      <c r="Y36" s="1806">
        <f t="shared" si="5"/>
        <v>8.1750893312914755E-2</v>
      </c>
      <c r="Z36" s="1807">
        <v>1541.55</v>
      </c>
      <c r="AA36" s="1808">
        <v>314.75</v>
      </c>
      <c r="AB36" s="1807">
        <v>65.91</v>
      </c>
      <c r="AC36" s="1807">
        <f t="shared" si="6"/>
        <v>27.841660000000001</v>
      </c>
      <c r="AD36" s="1334">
        <f t="shared" si="7"/>
        <v>0.68559639271737283</v>
      </c>
      <c r="AE36" s="1809">
        <v>18.98</v>
      </c>
      <c r="AF36" s="1809">
        <v>18.7</v>
      </c>
      <c r="AG36" s="1809">
        <v>18.420000000000002</v>
      </c>
      <c r="AH36" s="1307"/>
      <c r="AI36" s="1307"/>
      <c r="AJ36" s="1307"/>
      <c r="AK36" s="1307"/>
      <c r="AL36" s="1307"/>
      <c r="AM36" s="1307"/>
      <c r="AN36" s="1307"/>
      <c r="AO36" s="1307"/>
      <c r="AP36" s="1307"/>
      <c r="AQ36" s="1422"/>
      <c r="AR36" s="1645"/>
    </row>
    <row r="37" spans="1:44" ht="24" thickBot="1">
      <c r="A37" s="1812">
        <v>35</v>
      </c>
      <c r="B37" s="1784" t="s">
        <v>2960</v>
      </c>
      <c r="C37" s="1514" t="s">
        <v>29</v>
      </c>
      <c r="D37" s="1341">
        <v>59778</v>
      </c>
      <c r="E37" s="1804" t="s">
        <v>2989</v>
      </c>
      <c r="F37" s="1326" t="s">
        <v>2511</v>
      </c>
      <c r="G37" s="1307" t="s">
        <v>2222</v>
      </c>
      <c r="H37" s="1524">
        <v>220000</v>
      </c>
      <c r="I37" s="1267" t="s">
        <v>35</v>
      </c>
      <c r="J37" s="1307" t="s">
        <v>2306</v>
      </c>
      <c r="K37" s="1386">
        <v>45925</v>
      </c>
      <c r="L37" s="1386">
        <v>45925</v>
      </c>
      <c r="M37" s="1386">
        <v>45929</v>
      </c>
      <c r="N37" s="1386">
        <v>45939</v>
      </c>
      <c r="O37" s="1386">
        <v>45938</v>
      </c>
      <c r="P37" s="1267" t="s">
        <v>2979</v>
      </c>
      <c r="Q37" s="1522">
        <v>6.11</v>
      </c>
      <c r="R37" s="1333">
        <v>4.08</v>
      </c>
      <c r="S37" s="1805">
        <f t="shared" si="4"/>
        <v>0.66775777414075288</v>
      </c>
      <c r="T37" s="1423">
        <v>610.20000000000005</v>
      </c>
      <c r="U37" s="1423">
        <v>859.45</v>
      </c>
      <c r="V37" s="1423">
        <v>53.53</v>
      </c>
      <c r="W37" s="1423">
        <v>29.9</v>
      </c>
      <c r="X37" s="1423">
        <v>13.36</v>
      </c>
      <c r="Y37" s="1806">
        <f t="shared" si="5"/>
        <v>6.5585219127899136E-2</v>
      </c>
      <c r="Z37" s="1807">
        <v>888.39</v>
      </c>
      <c r="AA37" s="1808">
        <v>177.43</v>
      </c>
      <c r="AB37" s="1807">
        <v>49.78</v>
      </c>
      <c r="AC37" s="1807">
        <f t="shared" si="6"/>
        <v>18.907900000000001</v>
      </c>
      <c r="AD37" s="1334">
        <f t="shared" si="7"/>
        <v>0.74762003945159827</v>
      </c>
      <c r="AE37" s="1809">
        <v>8.59</v>
      </c>
      <c r="AF37" s="1809">
        <v>8.51</v>
      </c>
      <c r="AG37" s="1809">
        <v>8.42</v>
      </c>
      <c r="AH37" s="1307"/>
      <c r="AI37" s="1307"/>
      <c r="AJ37" s="1307"/>
      <c r="AK37" s="1307"/>
      <c r="AL37" s="1307"/>
      <c r="AM37" s="1307"/>
      <c r="AN37" s="1307"/>
      <c r="AO37" s="1307"/>
      <c r="AP37" s="1307"/>
      <c r="AQ37" s="1422"/>
      <c r="AR37" s="1645"/>
    </row>
    <row r="38" spans="1:44" ht="24" thickBot="1">
      <c r="A38" s="1812">
        <v>36</v>
      </c>
      <c r="B38" s="1784" t="s">
        <v>2960</v>
      </c>
      <c r="C38" s="1514" t="s">
        <v>29</v>
      </c>
      <c r="D38" s="1341">
        <v>59778</v>
      </c>
      <c r="E38" s="1804" t="s">
        <v>2990</v>
      </c>
      <c r="F38" s="1326" t="s">
        <v>2511</v>
      </c>
      <c r="G38" s="1307" t="s">
        <v>2222</v>
      </c>
      <c r="H38" s="1524">
        <v>22000</v>
      </c>
      <c r="I38" s="1267" t="s">
        <v>35</v>
      </c>
      <c r="J38" s="1307" t="s">
        <v>2306</v>
      </c>
      <c r="K38" s="1386">
        <v>45925</v>
      </c>
      <c r="L38" s="1386">
        <v>45925</v>
      </c>
      <c r="M38" s="1386">
        <v>45929</v>
      </c>
      <c r="N38" s="1386">
        <v>45939</v>
      </c>
      <c r="O38" s="1386">
        <v>45938</v>
      </c>
      <c r="P38" s="1267" t="s">
        <v>2979</v>
      </c>
      <c r="Q38" s="1522">
        <v>5.01</v>
      </c>
      <c r="R38" s="1333">
        <v>3.54</v>
      </c>
      <c r="S38" s="1805">
        <f t="shared" si="4"/>
        <v>0.70658682634730541</v>
      </c>
      <c r="T38" s="1423">
        <v>490.82</v>
      </c>
      <c r="U38" s="1423">
        <v>690.7</v>
      </c>
      <c r="V38" s="1423">
        <v>42.42</v>
      </c>
      <c r="W38" s="1423">
        <v>29.9</v>
      </c>
      <c r="X38" s="1423">
        <v>10.56</v>
      </c>
      <c r="Y38" s="1806">
        <f t="shared" si="5"/>
        <v>6.5237450787401563E-2</v>
      </c>
      <c r="Z38" s="1807">
        <v>517.36</v>
      </c>
      <c r="AA38" s="1808">
        <v>18.98</v>
      </c>
      <c r="AB38" s="1807">
        <v>0</v>
      </c>
      <c r="AC38" s="1807">
        <f t="shared" si="6"/>
        <v>1.5195400000000001</v>
      </c>
      <c r="AD38" s="1334">
        <f t="shared" si="7"/>
        <v>0.75482898622047234</v>
      </c>
      <c r="AE38" s="1809">
        <v>6.91</v>
      </c>
      <c r="AF38" s="1809">
        <v>6.84</v>
      </c>
      <c r="AG38" s="1809">
        <v>6.77</v>
      </c>
      <c r="AH38" s="1307"/>
      <c r="AI38" s="1307"/>
      <c r="AJ38" s="1307"/>
      <c r="AK38" s="1307"/>
      <c r="AL38" s="1307"/>
      <c r="AM38" s="1307"/>
      <c r="AN38" s="1307"/>
      <c r="AO38" s="1307"/>
      <c r="AP38" s="1307"/>
      <c r="AQ38" s="1422"/>
      <c r="AR38" s="1645"/>
    </row>
    <row r="39" spans="1:44" ht="24" thickBot="1">
      <c r="A39" s="1812">
        <v>37</v>
      </c>
      <c r="B39" s="1784" t="s">
        <v>2960</v>
      </c>
      <c r="C39" s="1514" t="s">
        <v>29</v>
      </c>
      <c r="D39" s="1341">
        <v>59778</v>
      </c>
      <c r="E39" s="1804" t="s">
        <v>2991</v>
      </c>
      <c r="F39" s="1326" t="s">
        <v>2512</v>
      </c>
      <c r="G39" s="1307" t="s">
        <v>2222</v>
      </c>
      <c r="H39" s="1524">
        <v>22000</v>
      </c>
      <c r="I39" s="1267" t="s">
        <v>35</v>
      </c>
      <c r="J39" s="1307" t="s">
        <v>2306</v>
      </c>
      <c r="K39" s="1386">
        <v>45925</v>
      </c>
      <c r="L39" s="1386">
        <v>45925</v>
      </c>
      <c r="M39" s="1386">
        <v>45929</v>
      </c>
      <c r="N39" s="1386">
        <v>45939</v>
      </c>
      <c r="O39" s="1386">
        <v>45938</v>
      </c>
      <c r="P39" s="1267" t="s">
        <v>2979</v>
      </c>
      <c r="Q39" s="1522">
        <v>4.97</v>
      </c>
      <c r="R39" s="1333">
        <v>3.48</v>
      </c>
      <c r="S39" s="1805">
        <f t="shared" si="4"/>
        <v>0.7002012072434608</v>
      </c>
      <c r="T39" s="1423">
        <v>486.91</v>
      </c>
      <c r="U39" s="1423">
        <v>686.57</v>
      </c>
      <c r="V39" s="1423">
        <v>42.34</v>
      </c>
      <c r="W39" s="1423">
        <v>29.9</v>
      </c>
      <c r="X39" s="1423">
        <v>10.55</v>
      </c>
      <c r="Y39" s="1806">
        <f t="shared" si="5"/>
        <v>6.5529622980251334E-2</v>
      </c>
      <c r="Z39" s="1807">
        <v>516.41999999999996</v>
      </c>
      <c r="AA39" s="1808">
        <v>18.98</v>
      </c>
      <c r="AB39" s="1807">
        <v>0</v>
      </c>
      <c r="AC39" s="1807">
        <f t="shared" si="6"/>
        <v>1.5104540000000002</v>
      </c>
      <c r="AD39" s="1334">
        <f t="shared" si="7"/>
        <v>0.75359066427289034</v>
      </c>
      <c r="AE39" s="1809">
        <v>6.87</v>
      </c>
      <c r="AF39" s="1809">
        <v>6.8</v>
      </c>
      <c r="AG39" s="1809">
        <v>6.73</v>
      </c>
      <c r="AH39" s="1307"/>
      <c r="AI39" s="1307"/>
      <c r="AJ39" s="1307"/>
      <c r="AK39" s="1307"/>
      <c r="AL39" s="1307"/>
      <c r="AM39" s="1307"/>
      <c r="AN39" s="1307"/>
      <c r="AO39" s="1307"/>
      <c r="AP39" s="1307"/>
      <c r="AQ39" s="1422"/>
      <c r="AR39" s="1645"/>
    </row>
    <row r="40" spans="1:44" ht="24" thickBot="1">
      <c r="A40" s="1813">
        <v>38</v>
      </c>
      <c r="B40" s="1784" t="s">
        <v>2960</v>
      </c>
      <c r="C40" s="1514" t="s">
        <v>29</v>
      </c>
      <c r="D40" s="1341">
        <v>59778</v>
      </c>
      <c r="E40" s="1804" t="s">
        <v>3045</v>
      </c>
      <c r="F40" s="1326" t="s">
        <v>2512</v>
      </c>
      <c r="G40" s="1307" t="s">
        <v>2222</v>
      </c>
      <c r="H40" s="1524">
        <v>220000</v>
      </c>
      <c r="I40" s="1267" t="s">
        <v>35</v>
      </c>
      <c r="J40" s="1307" t="s">
        <v>2306</v>
      </c>
      <c r="K40" s="1386">
        <v>45925</v>
      </c>
      <c r="L40" s="1386">
        <v>45925</v>
      </c>
      <c r="M40" s="1386">
        <v>45929</v>
      </c>
      <c r="N40" s="1386">
        <v>45939</v>
      </c>
      <c r="O40" s="1386">
        <v>45938</v>
      </c>
      <c r="P40" s="1267" t="s">
        <v>2979</v>
      </c>
      <c r="Q40" s="1522">
        <v>6.11</v>
      </c>
      <c r="R40" s="1333">
        <v>4.04</v>
      </c>
      <c r="S40" s="1805">
        <f t="shared" si="4"/>
        <v>0.6612111292962356</v>
      </c>
      <c r="T40" s="1423">
        <v>609.04999999999995</v>
      </c>
      <c r="U40" s="1423">
        <v>858.22</v>
      </c>
      <c r="V40" s="1423">
        <v>53.51</v>
      </c>
      <c r="W40" s="1423">
        <v>29.9</v>
      </c>
      <c r="X40" s="1423">
        <v>13.36</v>
      </c>
      <c r="Y40" s="1806">
        <f t="shared" si="5"/>
        <v>6.5659664278001365E-2</v>
      </c>
      <c r="Z40" s="1807">
        <v>878.94</v>
      </c>
      <c r="AA40" s="1808">
        <v>175.99</v>
      </c>
      <c r="AB40" s="1807">
        <v>49.78</v>
      </c>
      <c r="AC40" s="1807">
        <f t="shared" si="6"/>
        <v>18.880839999999999</v>
      </c>
      <c r="AD40" s="1334">
        <f t="shared" si="7"/>
        <v>0.74733729262785897</v>
      </c>
      <c r="AE40" s="1809">
        <v>8.58</v>
      </c>
      <c r="AF40" s="1809">
        <v>8.5</v>
      </c>
      <c r="AG40" s="1809">
        <v>8.41</v>
      </c>
      <c r="AH40" s="1307"/>
      <c r="AI40" s="1307"/>
      <c r="AJ40" s="1307"/>
      <c r="AK40" s="1307"/>
      <c r="AL40" s="1307"/>
      <c r="AM40" s="1307"/>
      <c r="AN40" s="1307"/>
      <c r="AO40" s="1307"/>
      <c r="AP40" s="1307"/>
      <c r="AQ40" s="1422"/>
      <c r="AR40" s="1645"/>
    </row>
    <row r="41" spans="1:44" ht="24" thickBot="1">
      <c r="A41" s="1812">
        <v>39</v>
      </c>
      <c r="B41" s="1784" t="s">
        <v>2960</v>
      </c>
      <c r="C41" s="1514" t="s">
        <v>29</v>
      </c>
      <c r="D41" s="1341">
        <v>59481</v>
      </c>
      <c r="E41" s="1804" t="s">
        <v>2992</v>
      </c>
      <c r="F41" s="1326" t="s">
        <v>2996</v>
      </c>
      <c r="G41" s="1307" t="s">
        <v>2222</v>
      </c>
      <c r="H41" s="1524">
        <v>220000</v>
      </c>
      <c r="I41" s="1267" t="s">
        <v>35</v>
      </c>
      <c r="J41" s="1307" t="s">
        <v>2306</v>
      </c>
      <c r="K41" s="1386">
        <v>45930</v>
      </c>
      <c r="L41" s="1386">
        <v>45931</v>
      </c>
      <c r="M41" s="1386">
        <v>45934</v>
      </c>
      <c r="N41" s="1386">
        <v>45944</v>
      </c>
      <c r="O41" s="1386">
        <v>45954</v>
      </c>
      <c r="P41" s="1307" t="s">
        <v>2979</v>
      </c>
      <c r="Q41" s="1522"/>
      <c r="R41" s="1333"/>
      <c r="S41" s="1805"/>
      <c r="T41" s="1423"/>
      <c r="U41" s="1423"/>
      <c r="V41" s="1423"/>
      <c r="W41" s="1423"/>
      <c r="X41" s="1423"/>
      <c r="Y41" s="1806"/>
      <c r="Z41" s="1807"/>
      <c r="AA41" s="1808"/>
      <c r="AB41" s="1807"/>
      <c r="AC41" s="1807"/>
      <c r="AD41" s="1334"/>
      <c r="AE41" s="1809"/>
      <c r="AF41" s="1809"/>
      <c r="AG41" s="1809"/>
      <c r="AH41" s="1307"/>
      <c r="AI41" s="1307"/>
      <c r="AJ41" s="1307"/>
      <c r="AK41" s="1307"/>
      <c r="AL41" s="1307"/>
      <c r="AM41" s="1307"/>
      <c r="AN41" s="1307"/>
      <c r="AO41" s="1307"/>
      <c r="AP41" s="1307"/>
      <c r="AQ41" s="1422"/>
      <c r="AR41" s="1645"/>
    </row>
    <row r="42" spans="1:44" ht="24" thickBot="1">
      <c r="A42" s="1812">
        <v>40</v>
      </c>
      <c r="B42" s="1784" t="s">
        <v>2960</v>
      </c>
      <c r="C42" s="1514" t="s">
        <v>29</v>
      </c>
      <c r="D42" s="1341">
        <v>59481</v>
      </c>
      <c r="E42" s="1804" t="s">
        <v>2993</v>
      </c>
      <c r="F42" s="1326" t="s">
        <v>2996</v>
      </c>
      <c r="G42" s="1307" t="s">
        <v>2222</v>
      </c>
      <c r="H42" s="1524">
        <v>22000</v>
      </c>
      <c r="I42" s="1267" t="s">
        <v>35</v>
      </c>
      <c r="J42" s="1307" t="s">
        <v>2306</v>
      </c>
      <c r="K42" s="1386">
        <v>45930</v>
      </c>
      <c r="L42" s="1386">
        <v>45931</v>
      </c>
      <c r="M42" s="1386">
        <v>45934</v>
      </c>
      <c r="N42" s="1386">
        <v>45944</v>
      </c>
      <c r="O42" s="1386">
        <v>45954</v>
      </c>
      <c r="P42" s="1307" t="s">
        <v>2979</v>
      </c>
      <c r="Q42" s="1522"/>
      <c r="R42" s="1333"/>
      <c r="S42" s="1805"/>
      <c r="T42" s="1423"/>
      <c r="U42" s="1423"/>
      <c r="V42" s="1423"/>
      <c r="W42" s="1423"/>
      <c r="X42" s="1423"/>
      <c r="Y42" s="1806"/>
      <c r="Z42" s="1807"/>
      <c r="AA42" s="1808"/>
      <c r="AB42" s="1807"/>
      <c r="AC42" s="1807"/>
      <c r="AD42" s="1334"/>
      <c r="AE42" s="1809"/>
      <c r="AF42" s="1809"/>
      <c r="AG42" s="1809"/>
      <c r="AH42" s="1307"/>
      <c r="AI42" s="1307"/>
      <c r="AJ42" s="1307"/>
      <c r="AK42" s="1307"/>
      <c r="AL42" s="1307"/>
      <c r="AM42" s="1307"/>
      <c r="AN42" s="1307"/>
      <c r="AO42" s="1307"/>
      <c r="AP42" s="1307"/>
      <c r="AQ42" s="1422"/>
      <c r="AR42" s="1645"/>
    </row>
    <row r="43" spans="1:44" ht="24" thickBot="1">
      <c r="A43" s="1812">
        <v>41</v>
      </c>
      <c r="B43" s="1784" t="s">
        <v>2960</v>
      </c>
      <c r="C43" s="1514" t="s">
        <v>29</v>
      </c>
      <c r="D43" s="1341">
        <v>59481</v>
      </c>
      <c r="E43" s="1804" t="s">
        <v>2994</v>
      </c>
      <c r="F43" s="1326" t="s">
        <v>2997</v>
      </c>
      <c r="G43" s="1307" t="s">
        <v>2222</v>
      </c>
      <c r="H43" s="1524">
        <v>22000</v>
      </c>
      <c r="I43" s="1267" t="s">
        <v>35</v>
      </c>
      <c r="J43" s="1307" t="s">
        <v>2306</v>
      </c>
      <c r="K43" s="1386">
        <v>45930</v>
      </c>
      <c r="L43" s="1386">
        <v>45931</v>
      </c>
      <c r="M43" s="1386">
        <v>45934</v>
      </c>
      <c r="N43" s="1386">
        <v>45944</v>
      </c>
      <c r="O43" s="1386">
        <v>45954</v>
      </c>
      <c r="P43" s="1307" t="s">
        <v>2979</v>
      </c>
      <c r="Q43" s="1522"/>
      <c r="R43" s="1333"/>
      <c r="S43" s="1805"/>
      <c r="T43" s="1423"/>
      <c r="U43" s="1423"/>
      <c r="V43" s="1423"/>
      <c r="W43" s="1423"/>
      <c r="X43" s="1423"/>
      <c r="Y43" s="1806"/>
      <c r="Z43" s="1807"/>
      <c r="AA43" s="1808"/>
      <c r="AB43" s="1807"/>
      <c r="AC43" s="1807"/>
      <c r="AD43" s="1334"/>
      <c r="AE43" s="1809"/>
      <c r="AF43" s="1809"/>
      <c r="AG43" s="1809"/>
      <c r="AH43" s="1307"/>
      <c r="AI43" s="1307"/>
      <c r="AJ43" s="1307"/>
      <c r="AK43" s="1307"/>
      <c r="AL43" s="1307"/>
      <c r="AM43" s="1307"/>
      <c r="AN43" s="1307"/>
      <c r="AO43" s="1307"/>
      <c r="AP43" s="1307"/>
      <c r="AQ43" s="1422"/>
      <c r="AR43" s="1645"/>
    </row>
    <row r="44" spans="1:44" ht="24" thickBot="1">
      <c r="A44" s="1812">
        <v>42</v>
      </c>
      <c r="B44" s="1784" t="s">
        <v>2960</v>
      </c>
      <c r="C44" s="1514" t="s">
        <v>29</v>
      </c>
      <c r="D44" s="1341">
        <v>59481</v>
      </c>
      <c r="E44" s="1804" t="s">
        <v>2995</v>
      </c>
      <c r="F44" s="1326" t="s">
        <v>2997</v>
      </c>
      <c r="G44" s="1307" t="s">
        <v>2222</v>
      </c>
      <c r="H44" s="1524">
        <v>220000</v>
      </c>
      <c r="I44" s="1267" t="s">
        <v>35</v>
      </c>
      <c r="J44" s="1307" t="s">
        <v>2306</v>
      </c>
      <c r="K44" s="1386">
        <v>45930</v>
      </c>
      <c r="L44" s="1386">
        <v>45931</v>
      </c>
      <c r="M44" s="1386">
        <v>45934</v>
      </c>
      <c r="N44" s="1386">
        <v>45944</v>
      </c>
      <c r="O44" s="1386">
        <v>45954</v>
      </c>
      <c r="P44" s="1307" t="s">
        <v>2979</v>
      </c>
      <c r="Q44" s="1522"/>
      <c r="R44" s="1333"/>
      <c r="S44" s="1805"/>
      <c r="T44" s="1423"/>
      <c r="U44" s="1423"/>
      <c r="V44" s="1423"/>
      <c r="W44" s="1423"/>
      <c r="X44" s="1423"/>
      <c r="Y44" s="1806"/>
      <c r="Z44" s="1807"/>
      <c r="AA44" s="1808"/>
      <c r="AB44" s="1807"/>
      <c r="AC44" s="1807"/>
      <c r="AD44" s="1334"/>
      <c r="AE44" s="1809"/>
      <c r="AF44" s="1809"/>
      <c r="AG44" s="1809"/>
      <c r="AH44" s="1307"/>
      <c r="AI44" s="1307"/>
      <c r="AJ44" s="1307"/>
      <c r="AK44" s="1307"/>
      <c r="AL44" s="1307"/>
      <c r="AM44" s="1307"/>
      <c r="AN44" s="1307"/>
      <c r="AO44" s="1307"/>
      <c r="AP44" s="1307"/>
      <c r="AQ44" s="1422"/>
      <c r="AR44" s="1645"/>
    </row>
    <row r="45" spans="1:44" ht="24" thickBot="1">
      <c r="A45" s="1812">
        <v>43</v>
      </c>
      <c r="B45" s="1784" t="s">
        <v>2960</v>
      </c>
      <c r="C45" s="1514" t="s">
        <v>29</v>
      </c>
      <c r="D45" s="1341">
        <v>59880</v>
      </c>
      <c r="E45" s="1804" t="s">
        <v>2998</v>
      </c>
      <c r="F45" s="1326" t="s">
        <v>3006</v>
      </c>
      <c r="G45" s="1307" t="s">
        <v>2222</v>
      </c>
      <c r="H45" s="1524">
        <v>202400</v>
      </c>
      <c r="I45" s="1267" t="s">
        <v>35</v>
      </c>
      <c r="J45" s="1307" t="s">
        <v>2306</v>
      </c>
      <c r="K45" s="1386">
        <v>45936</v>
      </c>
      <c r="L45" s="1386">
        <v>45937</v>
      </c>
      <c r="M45" s="1386">
        <v>45941</v>
      </c>
      <c r="N45" s="1386">
        <v>45943</v>
      </c>
      <c r="O45" s="1421"/>
      <c r="P45" s="1307"/>
      <c r="Q45" s="1522"/>
      <c r="R45" s="1333"/>
      <c r="S45" s="1805"/>
      <c r="T45" s="1423"/>
      <c r="U45" s="1423"/>
      <c r="V45" s="1423"/>
      <c r="W45" s="1423"/>
      <c r="X45" s="1423"/>
      <c r="Y45" s="1806"/>
      <c r="Z45" s="1807"/>
      <c r="AA45" s="1808"/>
      <c r="AB45" s="1807"/>
      <c r="AC45" s="1807"/>
      <c r="AD45" s="1334"/>
      <c r="AE45" s="1809"/>
      <c r="AF45" s="1809"/>
      <c r="AG45" s="1809"/>
      <c r="AH45" s="1307"/>
      <c r="AI45" s="1307"/>
      <c r="AJ45" s="1307"/>
      <c r="AK45" s="1307"/>
      <c r="AL45" s="1307"/>
      <c r="AM45" s="1307"/>
      <c r="AN45" s="1307"/>
      <c r="AO45" s="1307"/>
      <c r="AP45" s="1307"/>
      <c r="AQ45" s="1422"/>
      <c r="AR45" s="1645"/>
    </row>
    <row r="46" spans="1:44" ht="24" thickBot="1">
      <c r="A46" s="1812">
        <v>44</v>
      </c>
      <c r="B46" s="1784" t="s">
        <v>2960</v>
      </c>
      <c r="C46" s="1514" t="s">
        <v>29</v>
      </c>
      <c r="D46" s="1341">
        <v>59880</v>
      </c>
      <c r="E46" s="1804" t="s">
        <v>2999</v>
      </c>
      <c r="F46" s="1326" t="s">
        <v>3006</v>
      </c>
      <c r="G46" s="1307" t="s">
        <v>2222</v>
      </c>
      <c r="H46" s="1524">
        <v>11000</v>
      </c>
      <c r="I46" s="1267" t="s">
        <v>35</v>
      </c>
      <c r="J46" s="1307" t="s">
        <v>2306</v>
      </c>
      <c r="K46" s="1386">
        <v>45936</v>
      </c>
      <c r="L46" s="1386">
        <v>45937</v>
      </c>
      <c r="M46" s="1386">
        <v>45941</v>
      </c>
      <c r="N46" s="1386">
        <v>45943</v>
      </c>
      <c r="O46" s="1421"/>
      <c r="P46" s="1307"/>
      <c r="Q46" s="1522"/>
      <c r="R46" s="1333"/>
      <c r="S46" s="1805"/>
      <c r="T46" s="1423"/>
      <c r="U46" s="1423"/>
      <c r="V46" s="1423"/>
      <c r="W46" s="1423"/>
      <c r="X46" s="1423"/>
      <c r="Y46" s="1806"/>
      <c r="Z46" s="1807"/>
      <c r="AA46" s="1808"/>
      <c r="AB46" s="1807"/>
      <c r="AC46" s="1807"/>
      <c r="AD46" s="1334"/>
      <c r="AE46" s="1809"/>
      <c r="AF46" s="1809"/>
      <c r="AG46" s="1809"/>
      <c r="AH46" s="1307"/>
      <c r="AI46" s="1307"/>
      <c r="AJ46" s="1307"/>
      <c r="AK46" s="1307"/>
      <c r="AL46" s="1307"/>
      <c r="AM46" s="1307"/>
      <c r="AN46" s="1307"/>
      <c r="AO46" s="1307"/>
      <c r="AP46" s="1307"/>
      <c r="AQ46" s="1422"/>
      <c r="AR46" s="1645"/>
    </row>
    <row r="47" spans="1:44" ht="24" thickBot="1">
      <c r="A47" s="1812">
        <v>45</v>
      </c>
      <c r="B47" s="1784" t="s">
        <v>2960</v>
      </c>
      <c r="C47" s="1514" t="s">
        <v>29</v>
      </c>
      <c r="D47" s="1341">
        <v>59880</v>
      </c>
      <c r="E47" s="1804" t="s">
        <v>3000</v>
      </c>
      <c r="F47" s="1326" t="s">
        <v>3006</v>
      </c>
      <c r="G47" s="1307" t="s">
        <v>2222</v>
      </c>
      <c r="H47" s="1524">
        <v>11000</v>
      </c>
      <c r="I47" s="1267" t="s">
        <v>35</v>
      </c>
      <c r="J47" s="1307" t="s">
        <v>2306</v>
      </c>
      <c r="K47" s="1386">
        <v>45936</v>
      </c>
      <c r="L47" s="1386">
        <v>45937</v>
      </c>
      <c r="M47" s="1386">
        <v>45941</v>
      </c>
      <c r="N47" s="1386">
        <v>45943</v>
      </c>
      <c r="O47" s="1421"/>
      <c r="P47" s="1307"/>
      <c r="Q47" s="1522"/>
      <c r="R47" s="1333"/>
      <c r="S47" s="1805"/>
      <c r="T47" s="1423"/>
      <c r="U47" s="1423"/>
      <c r="V47" s="1423"/>
      <c r="W47" s="1423"/>
      <c r="X47" s="1423"/>
      <c r="Y47" s="1806"/>
      <c r="Z47" s="1807"/>
      <c r="AA47" s="1808"/>
      <c r="AB47" s="1807"/>
      <c r="AC47" s="1807"/>
      <c r="AD47" s="1334"/>
      <c r="AE47" s="1809"/>
      <c r="AF47" s="1809"/>
      <c r="AG47" s="1809"/>
      <c r="AH47" s="1307"/>
      <c r="AI47" s="1307"/>
      <c r="AJ47" s="1307"/>
      <c r="AK47" s="1307"/>
      <c r="AL47" s="1307"/>
      <c r="AM47" s="1307"/>
      <c r="AN47" s="1307"/>
      <c r="AO47" s="1307"/>
      <c r="AP47" s="1307"/>
      <c r="AQ47" s="1422"/>
      <c r="AR47" s="1645"/>
    </row>
    <row r="48" spans="1:44" ht="24" thickBot="1">
      <c r="A48" s="1812">
        <v>46</v>
      </c>
      <c r="B48" s="1784" t="s">
        <v>2960</v>
      </c>
      <c r="C48" s="1514" t="s">
        <v>29</v>
      </c>
      <c r="D48" s="1341">
        <v>59880</v>
      </c>
      <c r="E48" s="1804" t="s">
        <v>3001</v>
      </c>
      <c r="F48" s="1326" t="s">
        <v>3006</v>
      </c>
      <c r="G48" s="1307" t="s">
        <v>2222</v>
      </c>
      <c r="H48" s="1524">
        <v>17600</v>
      </c>
      <c r="I48" s="1267" t="s">
        <v>35</v>
      </c>
      <c r="J48" s="1307" t="s">
        <v>2306</v>
      </c>
      <c r="K48" s="1386">
        <v>45936</v>
      </c>
      <c r="L48" s="1386">
        <v>45937</v>
      </c>
      <c r="M48" s="1386">
        <v>45941</v>
      </c>
      <c r="N48" s="1386">
        <v>45943</v>
      </c>
      <c r="O48" s="1421"/>
      <c r="P48" s="1307"/>
      <c r="Q48" s="1522"/>
      <c r="R48" s="1333"/>
      <c r="S48" s="1805"/>
      <c r="T48" s="1423"/>
      <c r="U48" s="1423"/>
      <c r="V48" s="1423"/>
      <c r="W48" s="1423"/>
      <c r="X48" s="1423"/>
      <c r="Y48" s="1806"/>
      <c r="Z48" s="1807"/>
      <c r="AA48" s="1808"/>
      <c r="AB48" s="1807"/>
      <c r="AC48" s="1807"/>
      <c r="AD48" s="1334"/>
      <c r="AE48" s="1809"/>
      <c r="AF48" s="1809"/>
      <c r="AG48" s="1809"/>
      <c r="AH48" s="1307"/>
      <c r="AI48" s="1307"/>
      <c r="AJ48" s="1307"/>
      <c r="AK48" s="1307"/>
      <c r="AL48" s="1307"/>
      <c r="AM48" s="1307"/>
      <c r="AN48" s="1307"/>
      <c r="AO48" s="1307"/>
      <c r="AP48" s="1307"/>
      <c r="AQ48" s="1422"/>
      <c r="AR48" s="1645"/>
    </row>
    <row r="49" spans="1:44" ht="24" thickBot="1">
      <c r="A49" s="1812">
        <v>47</v>
      </c>
      <c r="B49" s="1784" t="s">
        <v>2960</v>
      </c>
      <c r="C49" s="1514" t="s">
        <v>29</v>
      </c>
      <c r="D49" s="1341">
        <v>59880</v>
      </c>
      <c r="E49" s="1804" t="s">
        <v>3003</v>
      </c>
      <c r="F49" s="1326" t="s">
        <v>3007</v>
      </c>
      <c r="G49" s="1307" t="s">
        <v>2222</v>
      </c>
      <c r="H49" s="1524">
        <v>202400</v>
      </c>
      <c r="I49" s="1267" t="s">
        <v>35</v>
      </c>
      <c r="J49" s="1307" t="s">
        <v>2306</v>
      </c>
      <c r="K49" s="1386">
        <v>45936</v>
      </c>
      <c r="L49" s="1386">
        <v>45937</v>
      </c>
      <c r="M49" s="1386">
        <v>45941</v>
      </c>
      <c r="N49" s="1386">
        <v>45943</v>
      </c>
      <c r="O49" s="1421"/>
      <c r="P49" s="1307"/>
      <c r="Q49" s="1522"/>
      <c r="R49" s="1333"/>
      <c r="S49" s="1805"/>
      <c r="T49" s="1423"/>
      <c r="U49" s="1423"/>
      <c r="V49" s="1423"/>
      <c r="W49" s="1423"/>
      <c r="X49" s="1423"/>
      <c r="Y49" s="1806"/>
      <c r="Z49" s="1807"/>
      <c r="AA49" s="1808"/>
      <c r="AB49" s="1807"/>
      <c r="AC49" s="1807"/>
      <c r="AD49" s="1334"/>
      <c r="AE49" s="1809"/>
      <c r="AF49" s="1809"/>
      <c r="AG49" s="1809"/>
      <c r="AH49" s="1307"/>
      <c r="AI49" s="1307"/>
      <c r="AJ49" s="1307"/>
      <c r="AK49" s="1307"/>
      <c r="AL49" s="1307"/>
      <c r="AM49" s="1307"/>
      <c r="AN49" s="1307"/>
      <c r="AO49" s="1307"/>
      <c r="AP49" s="1307"/>
      <c r="AQ49" s="1422"/>
      <c r="AR49" s="1645"/>
    </row>
    <row r="50" spans="1:44" ht="24" thickBot="1">
      <c r="A50" s="1812">
        <v>48</v>
      </c>
      <c r="B50" s="1784" t="s">
        <v>2960</v>
      </c>
      <c r="C50" s="1514" t="s">
        <v>29</v>
      </c>
      <c r="D50" s="1341">
        <v>59880</v>
      </c>
      <c r="E50" s="1804" t="s">
        <v>3004</v>
      </c>
      <c r="F50" s="1326" t="s">
        <v>3007</v>
      </c>
      <c r="G50" s="1307" t="s">
        <v>2222</v>
      </c>
      <c r="H50" s="1524">
        <v>11000</v>
      </c>
      <c r="I50" s="1267" t="s">
        <v>35</v>
      </c>
      <c r="J50" s="1307" t="s">
        <v>2306</v>
      </c>
      <c r="K50" s="1386">
        <v>45936</v>
      </c>
      <c r="L50" s="1386">
        <v>45937</v>
      </c>
      <c r="M50" s="1386">
        <v>45941</v>
      </c>
      <c r="N50" s="1386">
        <v>45943</v>
      </c>
      <c r="O50" s="1421"/>
      <c r="P50" s="1307"/>
      <c r="Q50" s="1522"/>
      <c r="R50" s="1333"/>
      <c r="S50" s="1805"/>
      <c r="T50" s="1423"/>
      <c r="U50" s="1423"/>
      <c r="V50" s="1423"/>
      <c r="W50" s="1423"/>
      <c r="X50" s="1423"/>
      <c r="Y50" s="1806"/>
      <c r="Z50" s="1807"/>
      <c r="AA50" s="1808"/>
      <c r="AB50" s="1807"/>
      <c r="AC50" s="1807"/>
      <c r="AD50" s="1334"/>
      <c r="AE50" s="1809"/>
      <c r="AF50" s="1809"/>
      <c r="AG50" s="1809"/>
      <c r="AH50" s="1307"/>
      <c r="AI50" s="1307"/>
      <c r="AJ50" s="1307"/>
      <c r="AK50" s="1307"/>
      <c r="AL50" s="1307"/>
      <c r="AM50" s="1307"/>
      <c r="AN50" s="1307"/>
      <c r="AO50" s="1307"/>
      <c r="AP50" s="1307"/>
      <c r="AQ50" s="1422"/>
      <c r="AR50" s="1645"/>
    </row>
    <row r="51" spans="1:44" ht="24" thickBot="1">
      <c r="A51" s="1812">
        <v>49</v>
      </c>
      <c r="B51" s="1784" t="s">
        <v>2960</v>
      </c>
      <c r="C51" s="1514" t="s">
        <v>29</v>
      </c>
      <c r="D51" s="1341">
        <v>59880</v>
      </c>
      <c r="E51" s="1804" t="s">
        <v>3005</v>
      </c>
      <c r="F51" s="1326" t="s">
        <v>3007</v>
      </c>
      <c r="G51" s="1307" t="s">
        <v>2222</v>
      </c>
      <c r="H51" s="1524">
        <v>11000</v>
      </c>
      <c r="I51" s="1267" t="s">
        <v>35</v>
      </c>
      <c r="J51" s="1307" t="s">
        <v>2306</v>
      </c>
      <c r="K51" s="1386">
        <v>45936</v>
      </c>
      <c r="L51" s="1386">
        <v>45937</v>
      </c>
      <c r="M51" s="1386">
        <v>45941</v>
      </c>
      <c r="N51" s="1386">
        <v>45943</v>
      </c>
      <c r="O51" s="1421"/>
      <c r="P51" s="1307"/>
      <c r="Q51" s="1522"/>
      <c r="R51" s="1333"/>
      <c r="S51" s="1805"/>
      <c r="T51" s="1423"/>
      <c r="U51" s="1423"/>
      <c r="V51" s="1423"/>
      <c r="W51" s="1423"/>
      <c r="X51" s="1423"/>
      <c r="Y51" s="1806"/>
      <c r="Z51" s="1807"/>
      <c r="AA51" s="1808"/>
      <c r="AB51" s="1807"/>
      <c r="AC51" s="1807"/>
      <c r="AD51" s="1334"/>
      <c r="AE51" s="1809"/>
      <c r="AF51" s="1809"/>
      <c r="AG51" s="1809"/>
      <c r="AH51" s="1307"/>
      <c r="AI51" s="1307"/>
      <c r="AJ51" s="1307"/>
      <c r="AK51" s="1307"/>
      <c r="AL51" s="1307"/>
      <c r="AM51" s="1307"/>
      <c r="AN51" s="1307"/>
      <c r="AO51" s="1307"/>
      <c r="AP51" s="1307"/>
      <c r="AQ51" s="1422"/>
      <c r="AR51" s="1645"/>
    </row>
    <row r="52" spans="1:44" ht="24" thickBot="1">
      <c r="A52" s="1812">
        <v>50</v>
      </c>
      <c r="B52" s="1784" t="s">
        <v>2960</v>
      </c>
      <c r="C52" s="1514" t="s">
        <v>29</v>
      </c>
      <c r="D52" s="1341">
        <v>59880</v>
      </c>
      <c r="E52" s="1804" t="s">
        <v>3002</v>
      </c>
      <c r="F52" s="1326" t="s">
        <v>3007</v>
      </c>
      <c r="G52" s="1307" t="s">
        <v>2222</v>
      </c>
      <c r="H52" s="1524">
        <v>17600</v>
      </c>
      <c r="I52" s="1267" t="s">
        <v>35</v>
      </c>
      <c r="J52" s="1307" t="s">
        <v>2306</v>
      </c>
      <c r="K52" s="1386">
        <v>45936</v>
      </c>
      <c r="L52" s="1386">
        <v>45937</v>
      </c>
      <c r="M52" s="1386">
        <v>45941</v>
      </c>
      <c r="N52" s="1386">
        <v>45943</v>
      </c>
      <c r="O52" s="1421"/>
      <c r="P52" s="1307"/>
      <c r="Q52" s="1522"/>
      <c r="R52" s="1333"/>
      <c r="S52" s="1805"/>
      <c r="T52" s="1423"/>
      <c r="U52" s="1423"/>
      <c r="V52" s="1423"/>
      <c r="W52" s="1423"/>
      <c r="X52" s="1423"/>
      <c r="Y52" s="1806"/>
      <c r="Z52" s="1807"/>
      <c r="AA52" s="1808"/>
      <c r="AB52" s="1807"/>
      <c r="AC52" s="1807"/>
      <c r="AD52" s="1334"/>
      <c r="AE52" s="1809"/>
      <c r="AF52" s="1809"/>
      <c r="AG52" s="1809"/>
      <c r="AH52" s="1307"/>
      <c r="AI52" s="1307"/>
      <c r="AJ52" s="1307"/>
      <c r="AK52" s="1307"/>
      <c r="AL52" s="1307"/>
      <c r="AM52" s="1307"/>
      <c r="AN52" s="1307"/>
      <c r="AO52" s="1307"/>
      <c r="AP52" s="1307"/>
      <c r="AQ52" s="1422"/>
      <c r="AR52" s="1645"/>
    </row>
    <row r="53" spans="1:44" ht="24" thickBot="1">
      <c r="A53" s="1812">
        <v>51</v>
      </c>
      <c r="B53" s="1784" t="s">
        <v>2960</v>
      </c>
      <c r="C53" s="1514" t="s">
        <v>29</v>
      </c>
      <c r="D53" s="1341">
        <v>59265</v>
      </c>
      <c r="E53" s="1804" t="s">
        <v>2974</v>
      </c>
      <c r="F53" s="1326" t="s">
        <v>1872</v>
      </c>
      <c r="G53" s="1307" t="s">
        <v>2222</v>
      </c>
      <c r="H53" s="1524">
        <v>220000</v>
      </c>
      <c r="I53" s="1267" t="s">
        <v>35</v>
      </c>
      <c r="J53" s="1307" t="s">
        <v>2306</v>
      </c>
      <c r="K53" s="1386">
        <v>45938</v>
      </c>
      <c r="L53" s="1386">
        <v>45939</v>
      </c>
      <c r="M53" s="1386">
        <v>45943</v>
      </c>
      <c r="N53" s="1386">
        <v>45945</v>
      </c>
      <c r="O53" s="1421">
        <v>45945</v>
      </c>
      <c r="P53" s="1307" t="s">
        <v>2979</v>
      </c>
      <c r="Q53" s="1522">
        <v>6.7290000000000001</v>
      </c>
      <c r="R53" s="1333">
        <v>3.83</v>
      </c>
      <c r="S53" s="1805">
        <f>R53/Q53</f>
        <v>0.56917818397978892</v>
      </c>
      <c r="T53" s="1423">
        <v>441.21</v>
      </c>
      <c r="U53" s="1423">
        <v>606.49</v>
      </c>
      <c r="V53" s="1423">
        <v>34.68</v>
      </c>
      <c r="W53" s="1423">
        <v>11.42</v>
      </c>
      <c r="X53" s="1423">
        <v>8.48</v>
      </c>
      <c r="Y53" s="1806">
        <f t="shared" ref="Y53:Y57" si="8">V53/(U53-W53-X53)</f>
        <v>5.912136245077481E-2</v>
      </c>
      <c r="Z53" s="1807">
        <v>632.73</v>
      </c>
      <c r="AA53" s="1808">
        <v>88</v>
      </c>
      <c r="AB53" s="1807">
        <v>49.38</v>
      </c>
      <c r="AC53" s="1807">
        <f t="shared" ref="AC53:AC57" si="9">U53*H53/10^7</f>
        <v>13.342779999999999</v>
      </c>
      <c r="AD53" s="1334">
        <f t="shared" ref="AD53:AD57" si="10">T53/(U53-W53-X53)</f>
        <v>0.75216079374009093</v>
      </c>
      <c r="AE53" s="1809">
        <v>9.1</v>
      </c>
      <c r="AF53" s="1809">
        <v>8.9600000000000009</v>
      </c>
      <c r="AG53" s="1809">
        <v>8.83</v>
      </c>
      <c r="AH53" s="1307"/>
      <c r="AI53" s="1307"/>
      <c r="AJ53" s="1307"/>
      <c r="AK53" s="1307"/>
      <c r="AL53" s="1307"/>
      <c r="AM53" s="1307"/>
      <c r="AN53" s="1307"/>
      <c r="AO53" s="1307"/>
      <c r="AP53" s="1307"/>
      <c r="AQ53" s="1422"/>
      <c r="AR53" s="1645"/>
    </row>
    <row r="54" spans="1:44" ht="24" thickBot="1">
      <c r="A54" s="1812">
        <v>52</v>
      </c>
      <c r="B54" s="1784" t="s">
        <v>2960</v>
      </c>
      <c r="C54" s="1514" t="s">
        <v>29</v>
      </c>
      <c r="D54" s="1341">
        <v>59265</v>
      </c>
      <c r="E54" s="1804" t="s">
        <v>2975</v>
      </c>
      <c r="F54" s="1326" t="s">
        <v>1872</v>
      </c>
      <c r="G54" s="1307" t="s">
        <v>2222</v>
      </c>
      <c r="H54" s="1524">
        <v>22000</v>
      </c>
      <c r="I54" s="1267" t="s">
        <v>35</v>
      </c>
      <c r="J54" s="1307" t="s">
        <v>2306</v>
      </c>
      <c r="K54" s="1386">
        <v>45938</v>
      </c>
      <c r="L54" s="1386">
        <v>45939</v>
      </c>
      <c r="M54" s="1386">
        <v>45943</v>
      </c>
      <c r="N54" s="1386">
        <v>45945</v>
      </c>
      <c r="O54" s="1421">
        <v>45945</v>
      </c>
      <c r="P54" s="1307" t="s">
        <v>2979</v>
      </c>
      <c r="Q54" s="1522">
        <v>6.5289999999999999</v>
      </c>
      <c r="R54" s="1333">
        <v>3.7149999999999999</v>
      </c>
      <c r="S54" s="1805">
        <f>R54/Q54</f>
        <v>0.56899984683718796</v>
      </c>
      <c r="T54" s="1423">
        <v>384.72</v>
      </c>
      <c r="U54" s="1423">
        <v>525.49</v>
      </c>
      <c r="V54" s="1423">
        <v>29.24</v>
      </c>
      <c r="W54" s="1423">
        <v>11.42</v>
      </c>
      <c r="X54" s="1423">
        <v>7.1</v>
      </c>
      <c r="Y54" s="1806">
        <f t="shared" si="8"/>
        <v>5.7675996607294312E-2</v>
      </c>
      <c r="Z54" s="1807">
        <v>334.75</v>
      </c>
      <c r="AA54" s="1808">
        <v>8.8000000000000007</v>
      </c>
      <c r="AB54" s="1807">
        <v>0</v>
      </c>
      <c r="AC54" s="1807">
        <f t="shared" si="9"/>
        <v>1.1560779999999999</v>
      </c>
      <c r="AD54" s="1334">
        <f t="shared" si="10"/>
        <v>0.75886147109296409</v>
      </c>
      <c r="AE54" s="1809">
        <v>7.88</v>
      </c>
      <c r="AF54" s="1809">
        <v>7.76</v>
      </c>
      <c r="AG54" s="1809">
        <v>7.65</v>
      </c>
      <c r="AH54" s="1307"/>
      <c r="AI54" s="1307"/>
      <c r="AJ54" s="1307"/>
      <c r="AK54" s="1307"/>
      <c r="AL54" s="1307"/>
      <c r="AM54" s="1307"/>
      <c r="AN54" s="1307"/>
      <c r="AO54" s="1307"/>
      <c r="AP54" s="1307"/>
      <c r="AQ54" s="1422"/>
      <c r="AR54" s="1645"/>
    </row>
    <row r="55" spans="1:44" ht="24" thickBot="1">
      <c r="A55" s="1812">
        <v>53</v>
      </c>
      <c r="B55" s="1784" t="s">
        <v>2960</v>
      </c>
      <c r="C55" s="1514" t="s">
        <v>29</v>
      </c>
      <c r="D55" s="1341">
        <v>59265</v>
      </c>
      <c r="E55" s="1804" t="s">
        <v>2976</v>
      </c>
      <c r="F55" s="1326" t="s">
        <v>1874</v>
      </c>
      <c r="G55" s="1307" t="s">
        <v>2222</v>
      </c>
      <c r="H55" s="1524">
        <v>220000</v>
      </c>
      <c r="I55" s="1267" t="s">
        <v>35</v>
      </c>
      <c r="J55" s="1307" t="s">
        <v>2306</v>
      </c>
      <c r="K55" s="1386">
        <v>45938</v>
      </c>
      <c r="L55" s="1386">
        <v>45939</v>
      </c>
      <c r="M55" s="1386">
        <v>45943</v>
      </c>
      <c r="N55" s="1386">
        <v>45945</v>
      </c>
      <c r="O55" s="1421">
        <v>45945</v>
      </c>
      <c r="P55" s="1307" t="s">
        <v>2979</v>
      </c>
      <c r="Q55" s="1522">
        <v>6.7290000000000001</v>
      </c>
      <c r="R55" s="1333">
        <v>3.8330000000000002</v>
      </c>
      <c r="S55" s="1805">
        <f>R55/Q55</f>
        <v>0.56962401545549113</v>
      </c>
      <c r="T55" s="1423">
        <v>441.31</v>
      </c>
      <c r="U55" s="1423">
        <v>606.6</v>
      </c>
      <c r="V55" s="1423">
        <v>34.68</v>
      </c>
      <c r="W55" s="1423">
        <v>11.42</v>
      </c>
      <c r="X55" s="1423">
        <v>8.48</v>
      </c>
      <c r="Y55" s="1806">
        <f t="shared" si="8"/>
        <v>5.9110277825123569E-2</v>
      </c>
      <c r="Z55" s="1807">
        <v>527.41999999999996</v>
      </c>
      <c r="AA55" s="1808">
        <v>86.63</v>
      </c>
      <c r="AB55" s="1807">
        <v>49.38</v>
      </c>
      <c r="AC55" s="1807">
        <f t="shared" si="9"/>
        <v>13.3452</v>
      </c>
      <c r="AD55" s="1334">
        <f t="shared" si="10"/>
        <v>0.75219021646497353</v>
      </c>
      <c r="AE55" s="1809">
        <v>9.1</v>
      </c>
      <c r="AF55" s="1809">
        <v>8.9600000000000009</v>
      </c>
      <c r="AG55" s="1809">
        <v>8.83</v>
      </c>
      <c r="AH55" s="1307"/>
      <c r="AI55" s="1307"/>
      <c r="AJ55" s="1307"/>
      <c r="AK55" s="1307"/>
      <c r="AL55" s="1307"/>
      <c r="AM55" s="1307"/>
      <c r="AN55" s="1307"/>
      <c r="AO55" s="1307"/>
      <c r="AP55" s="1307"/>
      <c r="AQ55" s="1422"/>
      <c r="AR55" s="1645"/>
    </row>
    <row r="56" spans="1:44" ht="24" thickBot="1">
      <c r="A56" s="1812">
        <v>54</v>
      </c>
      <c r="B56" s="1784" t="s">
        <v>2960</v>
      </c>
      <c r="C56" s="1514" t="s">
        <v>29</v>
      </c>
      <c r="D56" s="1341">
        <v>59265</v>
      </c>
      <c r="E56" s="1804" t="s">
        <v>2977</v>
      </c>
      <c r="F56" s="1326" t="s">
        <v>1874</v>
      </c>
      <c r="G56" s="1307" t="s">
        <v>2222</v>
      </c>
      <c r="H56" s="1524">
        <v>11000</v>
      </c>
      <c r="I56" s="1267" t="s">
        <v>35</v>
      </c>
      <c r="J56" s="1307" t="s">
        <v>2306</v>
      </c>
      <c r="K56" s="1386">
        <v>45938</v>
      </c>
      <c r="L56" s="1386">
        <v>45939</v>
      </c>
      <c r="M56" s="1386">
        <v>45943</v>
      </c>
      <c r="N56" s="1386">
        <v>45945</v>
      </c>
      <c r="O56" s="1421">
        <v>45945</v>
      </c>
      <c r="P56" s="1307" t="s">
        <v>2979</v>
      </c>
      <c r="Q56" s="1522">
        <v>6.0279999999999996</v>
      </c>
      <c r="R56" s="1333">
        <v>3.39</v>
      </c>
      <c r="S56" s="1805">
        <f>R56/Q56</f>
        <v>0.56237558062375581</v>
      </c>
      <c r="T56" s="1423">
        <v>357.88</v>
      </c>
      <c r="U56" s="1423">
        <v>461.94</v>
      </c>
      <c r="V56" s="1423">
        <v>21.82</v>
      </c>
      <c r="W56" s="1423">
        <v>11.42</v>
      </c>
      <c r="X56" s="1423">
        <v>5.04</v>
      </c>
      <c r="Y56" s="1806">
        <f t="shared" si="8"/>
        <v>4.8980874562269919E-2</v>
      </c>
      <c r="Z56" s="1807">
        <v>273.14999999999998</v>
      </c>
      <c r="AA56" s="1808">
        <v>8.8000000000000007</v>
      </c>
      <c r="AB56" s="1807">
        <v>0</v>
      </c>
      <c r="AC56" s="1807">
        <f t="shared" si="9"/>
        <v>0.50813399999999997</v>
      </c>
      <c r="AD56" s="1334">
        <f t="shared" si="10"/>
        <v>0.80335817545119881</v>
      </c>
      <c r="AE56" s="1809">
        <v>6.93</v>
      </c>
      <c r="AF56" s="1809">
        <v>6.83</v>
      </c>
      <c r="AG56" s="1809">
        <v>6.72</v>
      </c>
      <c r="AH56" s="1307"/>
      <c r="AI56" s="1307"/>
      <c r="AJ56" s="1307"/>
      <c r="AK56" s="1307"/>
      <c r="AL56" s="1307"/>
      <c r="AM56" s="1307"/>
      <c r="AN56" s="1307"/>
      <c r="AO56" s="1307"/>
      <c r="AP56" s="1307"/>
      <c r="AQ56" s="1422"/>
      <c r="AR56" s="1645"/>
    </row>
    <row r="57" spans="1:44" ht="24" thickBot="1">
      <c r="A57" s="1812">
        <v>55</v>
      </c>
      <c r="B57" s="1784" t="s">
        <v>2960</v>
      </c>
      <c r="C57" s="1514" t="s">
        <v>29</v>
      </c>
      <c r="D57" s="1341">
        <v>59265</v>
      </c>
      <c r="E57" s="1804" t="s">
        <v>2978</v>
      </c>
      <c r="F57" s="1326" t="s">
        <v>1874</v>
      </c>
      <c r="G57" s="1307" t="s">
        <v>2222</v>
      </c>
      <c r="H57" s="1524">
        <v>11000</v>
      </c>
      <c r="I57" s="1267" t="s">
        <v>35</v>
      </c>
      <c r="J57" s="1307" t="s">
        <v>2306</v>
      </c>
      <c r="K57" s="1386">
        <v>45938</v>
      </c>
      <c r="L57" s="1386">
        <v>45939</v>
      </c>
      <c r="M57" s="1386">
        <v>45943</v>
      </c>
      <c r="N57" s="1386">
        <v>45945</v>
      </c>
      <c r="O57" s="1421">
        <v>45945</v>
      </c>
      <c r="P57" s="1307" t="s">
        <v>2979</v>
      </c>
      <c r="Q57" s="1522">
        <v>6.5289999999999999</v>
      </c>
      <c r="R57" s="1333">
        <v>3.718</v>
      </c>
      <c r="S57" s="1805">
        <f>R57/Q57</f>
        <v>0.56945933527339565</v>
      </c>
      <c r="T57" s="1423">
        <v>384.82</v>
      </c>
      <c r="U57" s="1423">
        <v>525.61</v>
      </c>
      <c r="V57" s="1423">
        <v>29.24</v>
      </c>
      <c r="W57" s="1423">
        <v>11.42</v>
      </c>
      <c r="X57" s="1423">
        <v>7.1</v>
      </c>
      <c r="Y57" s="1806">
        <f t="shared" si="8"/>
        <v>5.7662347906683224E-2</v>
      </c>
      <c r="Z57" s="1807">
        <v>0</v>
      </c>
      <c r="AA57" s="1808">
        <v>0</v>
      </c>
      <c r="AB57" s="1807">
        <v>0</v>
      </c>
      <c r="AC57" s="1807">
        <f t="shared" si="9"/>
        <v>0.57817099999999999</v>
      </c>
      <c r="AD57" s="1334">
        <f t="shared" si="10"/>
        <v>0.75887909444082902</v>
      </c>
      <c r="AE57" s="1809">
        <v>7.88</v>
      </c>
      <c r="AF57" s="1809">
        <v>7.77</v>
      </c>
      <c r="AG57" s="1809">
        <v>7.65</v>
      </c>
      <c r="AH57" s="1307"/>
      <c r="AI57" s="1307"/>
      <c r="AJ57" s="1307"/>
      <c r="AK57" s="1307"/>
      <c r="AL57" s="1307"/>
      <c r="AM57" s="1307"/>
      <c r="AN57" s="1307"/>
      <c r="AO57" s="1307"/>
      <c r="AP57" s="1307"/>
      <c r="AQ57" s="1422"/>
      <c r="AR57" s="1645"/>
    </row>
    <row r="58" spans="1:44" ht="24" thickBot="1">
      <c r="A58" s="1812">
        <v>56</v>
      </c>
      <c r="B58" s="1784" t="s">
        <v>2960</v>
      </c>
      <c r="C58" s="1514" t="s">
        <v>29</v>
      </c>
      <c r="D58" s="1341">
        <v>59385</v>
      </c>
      <c r="E58" s="1804" t="s">
        <v>3008</v>
      </c>
      <c r="F58" s="1326" t="s">
        <v>3010</v>
      </c>
      <c r="G58" s="1307" t="s">
        <v>2222</v>
      </c>
      <c r="H58" s="1524">
        <v>93668</v>
      </c>
      <c r="I58" s="1267" t="s">
        <v>35</v>
      </c>
      <c r="J58" s="1307" t="s">
        <v>2306</v>
      </c>
      <c r="K58" s="1386">
        <v>45938</v>
      </c>
      <c r="L58" s="1386">
        <v>45939</v>
      </c>
      <c r="M58" s="1386">
        <v>45943</v>
      </c>
      <c r="N58" s="1386">
        <v>45945</v>
      </c>
      <c r="O58" s="1386">
        <v>45955</v>
      </c>
      <c r="P58" s="1307" t="s">
        <v>2979</v>
      </c>
      <c r="Q58" s="1522"/>
      <c r="R58" s="1333"/>
      <c r="S58" s="1805"/>
      <c r="T58" s="1423"/>
      <c r="U58" s="1423"/>
      <c r="V58" s="1423"/>
      <c r="W58" s="1423"/>
      <c r="X58" s="1423"/>
      <c r="Y58" s="1806"/>
      <c r="Z58" s="1807"/>
      <c r="AA58" s="1808"/>
      <c r="AB58" s="1807"/>
      <c r="AC58" s="1807"/>
      <c r="AD58" s="1334"/>
      <c r="AE58" s="1809"/>
      <c r="AF58" s="1809"/>
      <c r="AG58" s="1809"/>
      <c r="AH58" s="1307"/>
      <c r="AI58" s="1307"/>
      <c r="AJ58" s="1307"/>
      <c r="AK58" s="1307"/>
      <c r="AL58" s="1307"/>
      <c r="AM58" s="1307"/>
      <c r="AN58" s="1307"/>
      <c r="AO58" s="1307"/>
      <c r="AP58" s="1307"/>
      <c r="AQ58" s="1422"/>
      <c r="AR58" s="1645"/>
    </row>
    <row r="59" spans="1:44" ht="24" thickBot="1">
      <c r="A59" s="1812">
        <v>57</v>
      </c>
      <c r="B59" s="1784" t="s">
        <v>2960</v>
      </c>
      <c r="C59" s="1514" t="s">
        <v>29</v>
      </c>
      <c r="D59" s="1341">
        <v>59385</v>
      </c>
      <c r="E59" s="1804" t="s">
        <v>3009</v>
      </c>
      <c r="F59" s="1326" t="s">
        <v>3010</v>
      </c>
      <c r="G59" s="1307" t="s">
        <v>2222</v>
      </c>
      <c r="H59" s="1524">
        <v>148332</v>
      </c>
      <c r="I59" s="1267" t="s">
        <v>35</v>
      </c>
      <c r="J59" s="1307" t="s">
        <v>2306</v>
      </c>
      <c r="K59" s="1386">
        <v>45938</v>
      </c>
      <c r="L59" s="1386">
        <v>45939</v>
      </c>
      <c r="M59" s="1386">
        <v>45943</v>
      </c>
      <c r="N59" s="1386">
        <v>45945</v>
      </c>
      <c r="O59" s="1386">
        <v>45955</v>
      </c>
      <c r="P59" s="1307" t="s">
        <v>2979</v>
      </c>
      <c r="Q59" s="1522"/>
      <c r="R59" s="1333"/>
      <c r="S59" s="1805"/>
      <c r="T59" s="1423"/>
      <c r="U59" s="1423"/>
      <c r="V59" s="1423"/>
      <c r="W59" s="1423"/>
      <c r="X59" s="1423"/>
      <c r="Y59" s="1806"/>
      <c r="Z59" s="1807"/>
      <c r="AA59" s="1808"/>
      <c r="AB59" s="1807"/>
      <c r="AC59" s="1807"/>
      <c r="AD59" s="1334"/>
      <c r="AE59" s="1809"/>
      <c r="AF59" s="1809"/>
      <c r="AG59" s="1809"/>
      <c r="AH59" s="1307"/>
      <c r="AI59" s="1307"/>
      <c r="AJ59" s="1307"/>
      <c r="AK59" s="1307"/>
      <c r="AL59" s="1307"/>
      <c r="AM59" s="1307"/>
      <c r="AN59" s="1307"/>
      <c r="AO59" s="1307"/>
      <c r="AP59" s="1307"/>
      <c r="AQ59" s="1422"/>
      <c r="AR59" s="1645"/>
    </row>
    <row r="60" spans="1:44" ht="24" thickBot="1">
      <c r="A60" s="1812">
        <v>58</v>
      </c>
      <c r="B60" s="1784" t="s">
        <v>2960</v>
      </c>
      <c r="C60" s="1514" t="s">
        <v>29</v>
      </c>
      <c r="D60" s="1341">
        <v>59936</v>
      </c>
      <c r="E60" s="1804" t="s">
        <v>3011</v>
      </c>
      <c r="F60" s="1326" t="s">
        <v>3013</v>
      </c>
      <c r="G60" s="1307" t="s">
        <v>2222</v>
      </c>
      <c r="H60" s="1524">
        <v>93668</v>
      </c>
      <c r="I60" s="1267" t="s">
        <v>35</v>
      </c>
      <c r="J60" s="1307" t="s">
        <v>2306</v>
      </c>
      <c r="K60" s="1386">
        <v>45938</v>
      </c>
      <c r="L60" s="1386">
        <v>45939</v>
      </c>
      <c r="M60" s="1386">
        <v>45943</v>
      </c>
      <c r="N60" s="1386">
        <v>45945</v>
      </c>
      <c r="O60" s="1386">
        <v>45954</v>
      </c>
      <c r="P60" s="1307" t="s">
        <v>2979</v>
      </c>
      <c r="Q60" s="1522"/>
      <c r="R60" s="1333"/>
      <c r="S60" s="1805"/>
      <c r="T60" s="1423"/>
      <c r="U60" s="1423"/>
      <c r="V60" s="1423"/>
      <c r="W60" s="1423"/>
      <c r="X60" s="1423"/>
      <c r="Y60" s="1806"/>
      <c r="Z60" s="1807"/>
      <c r="AA60" s="1808"/>
      <c r="AB60" s="1807"/>
      <c r="AC60" s="1807"/>
      <c r="AD60" s="1334"/>
      <c r="AE60" s="1809"/>
      <c r="AF60" s="1809"/>
      <c r="AG60" s="1809"/>
      <c r="AH60" s="1307"/>
      <c r="AI60" s="1307"/>
      <c r="AJ60" s="1307"/>
      <c r="AK60" s="1307"/>
      <c r="AL60" s="1307"/>
      <c r="AM60" s="1307"/>
      <c r="AN60" s="1307"/>
      <c r="AO60" s="1307"/>
      <c r="AP60" s="1307"/>
      <c r="AQ60" s="1422"/>
      <c r="AR60" s="1645"/>
    </row>
    <row r="61" spans="1:44" ht="24" thickBot="1">
      <c r="A61" s="1812">
        <v>59</v>
      </c>
      <c r="B61" s="1784" t="s">
        <v>2960</v>
      </c>
      <c r="C61" s="1514" t="s">
        <v>29</v>
      </c>
      <c r="D61" s="1341">
        <v>59936</v>
      </c>
      <c r="E61" s="1804" t="s">
        <v>3012</v>
      </c>
      <c r="F61" s="1326" t="s">
        <v>3013</v>
      </c>
      <c r="G61" s="1307" t="s">
        <v>2222</v>
      </c>
      <c r="H61" s="1524">
        <v>148332</v>
      </c>
      <c r="I61" s="1267" t="s">
        <v>35</v>
      </c>
      <c r="J61" s="1307" t="s">
        <v>2306</v>
      </c>
      <c r="K61" s="1386">
        <v>45938</v>
      </c>
      <c r="L61" s="1386">
        <v>45939</v>
      </c>
      <c r="M61" s="1386">
        <v>45943</v>
      </c>
      <c r="N61" s="1386">
        <v>45945</v>
      </c>
      <c r="O61" s="1386">
        <v>45954</v>
      </c>
      <c r="P61" s="1307" t="s">
        <v>2979</v>
      </c>
      <c r="Q61" s="1522"/>
      <c r="R61" s="1333"/>
      <c r="S61" s="1805"/>
      <c r="T61" s="1423"/>
      <c r="U61" s="1423"/>
      <c r="V61" s="1423"/>
      <c r="W61" s="1423"/>
      <c r="X61" s="1423"/>
      <c r="Y61" s="1806"/>
      <c r="Z61" s="1807"/>
      <c r="AA61" s="1808"/>
      <c r="AB61" s="1807"/>
      <c r="AC61" s="1807"/>
      <c r="AD61" s="1334"/>
      <c r="AE61" s="1809"/>
      <c r="AF61" s="1809"/>
      <c r="AG61" s="1809"/>
      <c r="AH61" s="1307"/>
      <c r="AI61" s="1307"/>
      <c r="AJ61" s="1307"/>
      <c r="AK61" s="1307"/>
      <c r="AL61" s="1307"/>
      <c r="AM61" s="1307"/>
      <c r="AN61" s="1307"/>
      <c r="AO61" s="1307"/>
      <c r="AP61" s="1307"/>
      <c r="AQ61" s="1422"/>
      <c r="AR61" s="1645"/>
    </row>
    <row r="62" spans="1:44" ht="24" thickBot="1">
      <c r="A62" s="1812">
        <v>60</v>
      </c>
      <c r="B62" s="1784" t="s">
        <v>2960</v>
      </c>
      <c r="C62" s="1514" t="s">
        <v>29</v>
      </c>
      <c r="D62" s="1341">
        <v>59940</v>
      </c>
      <c r="E62" s="1804" t="s">
        <v>3014</v>
      </c>
      <c r="F62" s="1326" t="s">
        <v>3016</v>
      </c>
      <c r="G62" s="1307" t="s">
        <v>2222</v>
      </c>
      <c r="H62" s="1524">
        <v>242000</v>
      </c>
      <c r="I62" s="1267" t="s">
        <v>35</v>
      </c>
      <c r="J62" s="1307" t="s">
        <v>2306</v>
      </c>
      <c r="K62" s="1386">
        <v>45938</v>
      </c>
      <c r="L62" s="1386">
        <v>45939</v>
      </c>
      <c r="M62" s="1386">
        <v>45943</v>
      </c>
      <c r="N62" s="1386">
        <v>45945</v>
      </c>
      <c r="O62" s="1386">
        <v>45955</v>
      </c>
      <c r="P62" s="1307" t="s">
        <v>2979</v>
      </c>
      <c r="Q62" s="1522"/>
      <c r="R62" s="1333"/>
      <c r="S62" s="1805"/>
      <c r="T62" s="1423"/>
      <c r="U62" s="1423"/>
      <c r="V62" s="1423"/>
      <c r="W62" s="1423"/>
      <c r="X62" s="1423"/>
      <c r="Y62" s="1806"/>
      <c r="Z62" s="1807"/>
      <c r="AA62" s="1808"/>
      <c r="AB62" s="1807"/>
      <c r="AC62" s="1807"/>
      <c r="AD62" s="1334"/>
      <c r="AE62" s="1809"/>
      <c r="AF62" s="1809"/>
      <c r="AG62" s="1809"/>
      <c r="AH62" s="1307"/>
      <c r="AI62" s="1307"/>
      <c r="AJ62" s="1307"/>
      <c r="AK62" s="1307"/>
      <c r="AL62" s="1307"/>
      <c r="AM62" s="1307"/>
      <c r="AN62" s="1307"/>
      <c r="AO62" s="1307"/>
      <c r="AP62" s="1307"/>
      <c r="AQ62" s="1422"/>
      <c r="AR62" s="1645"/>
    </row>
    <row r="63" spans="1:44" ht="24" thickBot="1">
      <c r="A63" s="1812">
        <v>61</v>
      </c>
      <c r="B63" s="1784" t="s">
        <v>2960</v>
      </c>
      <c r="C63" s="1514" t="s">
        <v>29</v>
      </c>
      <c r="D63" s="1341">
        <v>59940</v>
      </c>
      <c r="E63" s="1804" t="s">
        <v>3015</v>
      </c>
      <c r="F63" s="1326" t="s">
        <v>3017</v>
      </c>
      <c r="G63" s="1307" t="s">
        <v>2222</v>
      </c>
      <c r="H63" s="1524">
        <v>242000</v>
      </c>
      <c r="I63" s="1267" t="s">
        <v>35</v>
      </c>
      <c r="J63" s="1307" t="s">
        <v>2306</v>
      </c>
      <c r="K63" s="1386">
        <v>45938</v>
      </c>
      <c r="L63" s="1386">
        <v>45939</v>
      </c>
      <c r="M63" s="1386">
        <v>45943</v>
      </c>
      <c r="N63" s="1386">
        <v>45945</v>
      </c>
      <c r="O63" s="1386">
        <v>45955</v>
      </c>
      <c r="P63" s="1307" t="s">
        <v>2979</v>
      </c>
      <c r="Q63" s="1522"/>
      <c r="R63" s="1333"/>
      <c r="S63" s="1805"/>
      <c r="T63" s="1423"/>
      <c r="U63" s="1423"/>
      <c r="V63" s="1423"/>
      <c r="W63" s="1423"/>
      <c r="X63" s="1423"/>
      <c r="Y63" s="1806"/>
      <c r="Z63" s="1807"/>
      <c r="AA63" s="1808"/>
      <c r="AB63" s="1807"/>
      <c r="AC63" s="1807"/>
      <c r="AD63" s="1334"/>
      <c r="AE63" s="1809"/>
      <c r="AF63" s="1809"/>
      <c r="AG63" s="1809"/>
      <c r="AH63" s="1307"/>
      <c r="AI63" s="1307"/>
      <c r="AJ63" s="1307"/>
      <c r="AK63" s="1307"/>
      <c r="AL63" s="1307"/>
      <c r="AM63" s="1307"/>
      <c r="AN63" s="1307"/>
      <c r="AO63" s="1307"/>
      <c r="AP63" s="1307"/>
      <c r="AQ63" s="1422"/>
      <c r="AR63" s="1645"/>
    </row>
    <row r="64" spans="1:44" ht="24" thickBot="1">
      <c r="A64" s="1812">
        <v>62</v>
      </c>
      <c r="B64" s="1784" t="s">
        <v>2960</v>
      </c>
      <c r="C64" s="1514" t="s">
        <v>29</v>
      </c>
      <c r="D64" s="1341">
        <v>59960</v>
      </c>
      <c r="E64" s="1804" t="s">
        <v>3018</v>
      </c>
      <c r="F64" s="1326" t="s">
        <v>3019</v>
      </c>
      <c r="G64" s="1307" t="s">
        <v>2222</v>
      </c>
      <c r="H64" s="1524">
        <v>242000</v>
      </c>
      <c r="I64" s="1267" t="s">
        <v>35</v>
      </c>
      <c r="J64" s="1307" t="s">
        <v>2306</v>
      </c>
      <c r="K64" s="1386">
        <v>45938</v>
      </c>
      <c r="L64" s="1386">
        <v>45939</v>
      </c>
      <c r="M64" s="1386">
        <v>45943</v>
      </c>
      <c r="N64" s="1386">
        <v>45945</v>
      </c>
      <c r="O64" s="1386">
        <v>45946</v>
      </c>
      <c r="P64" s="1307" t="s">
        <v>2979</v>
      </c>
      <c r="Q64" s="1522">
        <v>5.0119999999999996</v>
      </c>
      <c r="R64" s="1333">
        <v>2.7349999999999999</v>
      </c>
      <c r="S64" s="1805">
        <f>R64/Q64</f>
        <v>0.54569034317637677</v>
      </c>
      <c r="T64" s="1423">
        <v>251.19</v>
      </c>
      <c r="U64" s="1423">
        <v>340.46</v>
      </c>
      <c r="V64" s="1423">
        <v>19.510000000000002</v>
      </c>
      <c r="W64" s="1423">
        <v>0</v>
      </c>
      <c r="X64" s="1423">
        <v>4.76</v>
      </c>
      <c r="Y64" s="1806">
        <f t="shared" ref="Y64" si="11">V64/(U64-W64-X64)</f>
        <v>5.8117366696455175E-2</v>
      </c>
      <c r="Z64" s="1807">
        <v>377.88</v>
      </c>
      <c r="AA64" s="1808">
        <v>9.1999999999999993</v>
      </c>
      <c r="AB64" s="1807">
        <v>11.95</v>
      </c>
      <c r="AC64" s="1807">
        <f t="shared" ref="AC64" si="12">U64*H64/10^7</f>
        <v>8.2391319999999997</v>
      </c>
      <c r="AD64" s="1334">
        <f t="shared" ref="AD64" si="13">T64/(U64-W64-X64)</f>
        <v>0.74825737265415548</v>
      </c>
      <c r="AE64" s="1809">
        <v>4.26</v>
      </c>
      <c r="AF64" s="1809">
        <v>4.2</v>
      </c>
      <c r="AG64" s="1809">
        <v>4.1500000000000004</v>
      </c>
      <c r="AH64" s="1307"/>
      <c r="AI64" s="1307"/>
      <c r="AJ64" s="1307"/>
      <c r="AK64" s="1307"/>
      <c r="AL64" s="1307"/>
      <c r="AM64" s="1307"/>
      <c r="AN64" s="1307"/>
      <c r="AO64" s="1307"/>
      <c r="AP64" s="1307"/>
      <c r="AQ64" s="1422"/>
      <c r="AR64" s="1645"/>
    </row>
    <row r="65" spans="1:44" ht="24" thickBot="1">
      <c r="A65" s="1812">
        <v>63</v>
      </c>
      <c r="B65" s="1784" t="s">
        <v>2960</v>
      </c>
      <c r="C65" s="1514" t="s">
        <v>29</v>
      </c>
      <c r="D65" s="1341">
        <v>59913</v>
      </c>
      <c r="E65" s="1804" t="s">
        <v>3020</v>
      </c>
      <c r="F65" s="1326" t="s">
        <v>3022</v>
      </c>
      <c r="G65" s="1307" t="s">
        <v>2222</v>
      </c>
      <c r="H65" s="1524">
        <v>93668</v>
      </c>
      <c r="I65" s="1267" t="s">
        <v>35</v>
      </c>
      <c r="J65" s="1307" t="s">
        <v>2306</v>
      </c>
      <c r="K65" s="1386">
        <v>45939</v>
      </c>
      <c r="L65" s="1386">
        <v>45939</v>
      </c>
      <c r="M65" s="1386">
        <v>45943</v>
      </c>
      <c r="N65" s="1386">
        <v>45946</v>
      </c>
      <c r="O65" s="1386">
        <v>45954</v>
      </c>
      <c r="P65" s="1307" t="s">
        <v>2979</v>
      </c>
      <c r="Q65" s="1522"/>
      <c r="R65" s="1333"/>
      <c r="S65" s="1805"/>
      <c r="T65" s="1423"/>
      <c r="U65" s="1423"/>
      <c r="V65" s="1423"/>
      <c r="W65" s="1423"/>
      <c r="X65" s="1423"/>
      <c r="Y65" s="1806"/>
      <c r="Z65" s="1807"/>
      <c r="AA65" s="1808"/>
      <c r="AB65" s="1807"/>
      <c r="AC65" s="1807"/>
      <c r="AD65" s="1334"/>
      <c r="AE65" s="1809"/>
      <c r="AF65" s="1809"/>
      <c r="AG65" s="1809"/>
      <c r="AH65" s="1307"/>
      <c r="AI65" s="1307"/>
      <c r="AJ65" s="1307"/>
      <c r="AK65" s="1307"/>
      <c r="AL65" s="1307"/>
      <c r="AM65" s="1307"/>
      <c r="AN65" s="1307"/>
      <c r="AO65" s="1307"/>
      <c r="AP65" s="1307"/>
      <c r="AQ65" s="1422"/>
      <c r="AR65" s="1645"/>
    </row>
    <row r="66" spans="1:44" ht="24" thickBot="1">
      <c r="A66" s="1812">
        <v>64</v>
      </c>
      <c r="B66" s="1784" t="s">
        <v>2960</v>
      </c>
      <c r="C66" s="1514" t="s">
        <v>29</v>
      </c>
      <c r="D66" s="1341">
        <v>59913</v>
      </c>
      <c r="E66" s="1804" t="s">
        <v>3021</v>
      </c>
      <c r="F66" s="1326" t="s">
        <v>3022</v>
      </c>
      <c r="G66" s="1307" t="s">
        <v>2222</v>
      </c>
      <c r="H66" s="1524">
        <v>148332</v>
      </c>
      <c r="I66" s="1267" t="s">
        <v>35</v>
      </c>
      <c r="J66" s="1307" t="s">
        <v>2306</v>
      </c>
      <c r="K66" s="1386">
        <v>45939</v>
      </c>
      <c r="L66" s="1386">
        <v>45939</v>
      </c>
      <c r="M66" s="1386">
        <v>45943</v>
      </c>
      <c r="N66" s="1386">
        <v>45946</v>
      </c>
      <c r="O66" s="1386">
        <v>45954</v>
      </c>
      <c r="P66" s="1307" t="s">
        <v>2979</v>
      </c>
      <c r="Q66" s="1522"/>
      <c r="R66" s="1333"/>
      <c r="S66" s="1805"/>
      <c r="T66" s="1423"/>
      <c r="U66" s="1423"/>
      <c r="V66" s="1423"/>
      <c r="W66" s="1423"/>
      <c r="X66" s="1423"/>
      <c r="Y66" s="1806"/>
      <c r="Z66" s="1807"/>
      <c r="AA66" s="1808"/>
      <c r="AB66" s="1807"/>
      <c r="AC66" s="1807"/>
      <c r="AD66" s="1334"/>
      <c r="AE66" s="1809"/>
      <c r="AF66" s="1809"/>
      <c r="AG66" s="1809"/>
      <c r="AH66" s="1307"/>
      <c r="AI66" s="1307"/>
      <c r="AJ66" s="1307"/>
      <c r="AK66" s="1307"/>
      <c r="AL66" s="1307"/>
      <c r="AM66" s="1307"/>
      <c r="AN66" s="1307"/>
      <c r="AO66" s="1307"/>
      <c r="AP66" s="1307"/>
      <c r="AQ66" s="1422"/>
      <c r="AR66" s="1645"/>
    </row>
    <row r="67" spans="1:44" ht="24" thickBot="1">
      <c r="A67" s="1812">
        <v>65</v>
      </c>
      <c r="B67" s="1784" t="s">
        <v>2960</v>
      </c>
      <c r="C67" s="1514" t="s">
        <v>29</v>
      </c>
      <c r="D67" s="1341">
        <v>59947</v>
      </c>
      <c r="E67" s="1804" t="s">
        <v>3037</v>
      </c>
      <c r="F67" s="1326" t="s">
        <v>3044</v>
      </c>
      <c r="G67" s="1307" t="s">
        <v>2222</v>
      </c>
      <c r="H67" s="1524">
        <v>47266</v>
      </c>
      <c r="I67" s="1267" t="s">
        <v>35</v>
      </c>
      <c r="J67" s="1307" t="s">
        <v>2306</v>
      </c>
      <c r="K67" s="1386">
        <v>45939</v>
      </c>
      <c r="L67" s="1386">
        <v>45940</v>
      </c>
      <c r="M67" s="1386">
        <v>45943</v>
      </c>
      <c r="N67" s="1386">
        <v>45946</v>
      </c>
      <c r="O67" s="1421"/>
      <c r="P67" s="1307"/>
      <c r="Q67" s="1522"/>
      <c r="R67" s="1333"/>
      <c r="S67" s="1805"/>
      <c r="T67" s="1423"/>
      <c r="U67" s="1423"/>
      <c r="V67" s="1423"/>
      <c r="W67" s="1423"/>
      <c r="X67" s="1423"/>
      <c r="Y67" s="1806"/>
      <c r="Z67" s="1807"/>
      <c r="AA67" s="1808"/>
      <c r="AB67" s="1807"/>
      <c r="AC67" s="1807"/>
      <c r="AD67" s="1334"/>
      <c r="AE67" s="1809"/>
      <c r="AF67" s="1809"/>
      <c r="AG67" s="1809"/>
      <c r="AH67" s="1307"/>
      <c r="AI67" s="1307"/>
      <c r="AJ67" s="1307"/>
      <c r="AK67" s="1307"/>
      <c r="AL67" s="1307"/>
      <c r="AM67" s="1307"/>
      <c r="AN67" s="1307"/>
      <c r="AO67" s="1307"/>
      <c r="AP67" s="1307"/>
      <c r="AQ67" s="1422"/>
      <c r="AR67" s="1645"/>
    </row>
    <row r="68" spans="1:44" ht="24" thickBot="1">
      <c r="A68" s="1812">
        <v>66</v>
      </c>
      <c r="B68" s="1784" t="s">
        <v>2960</v>
      </c>
      <c r="C68" s="1514" t="s">
        <v>29</v>
      </c>
      <c r="D68" s="1341">
        <v>59947</v>
      </c>
      <c r="E68" s="1804" t="s">
        <v>3038</v>
      </c>
      <c r="F68" s="1326" t="s">
        <v>3044</v>
      </c>
      <c r="G68" s="1307" t="s">
        <v>2222</v>
      </c>
      <c r="H68" s="1524">
        <v>148332</v>
      </c>
      <c r="I68" s="1267" t="s">
        <v>35</v>
      </c>
      <c r="J68" s="1307" t="s">
        <v>2306</v>
      </c>
      <c r="K68" s="1386">
        <v>45939</v>
      </c>
      <c r="L68" s="1386">
        <v>45940</v>
      </c>
      <c r="M68" s="1386">
        <v>45943</v>
      </c>
      <c r="N68" s="1386">
        <v>45946</v>
      </c>
      <c r="O68" s="1421"/>
      <c r="P68" s="1307"/>
      <c r="Q68" s="1522"/>
      <c r="R68" s="1333"/>
      <c r="S68" s="1805"/>
      <c r="T68" s="1423"/>
      <c r="U68" s="1423"/>
      <c r="V68" s="1423"/>
      <c r="W68" s="1423"/>
      <c r="X68" s="1423"/>
      <c r="Y68" s="1806"/>
      <c r="Z68" s="1807"/>
      <c r="AA68" s="1808"/>
      <c r="AB68" s="1807"/>
      <c r="AC68" s="1807"/>
      <c r="AD68" s="1334"/>
      <c r="AE68" s="1809"/>
      <c r="AF68" s="1809"/>
      <c r="AG68" s="1809"/>
      <c r="AH68" s="1307"/>
      <c r="AI68" s="1307"/>
      <c r="AJ68" s="1307"/>
      <c r="AK68" s="1307"/>
      <c r="AL68" s="1307"/>
      <c r="AM68" s="1307"/>
      <c r="AN68" s="1307"/>
      <c r="AO68" s="1307"/>
      <c r="AP68" s="1307"/>
      <c r="AQ68" s="1422"/>
      <c r="AR68" s="1645"/>
    </row>
    <row r="69" spans="1:44" ht="24" thickBot="1">
      <c r="A69" s="1812">
        <v>67</v>
      </c>
      <c r="B69" s="1784" t="s">
        <v>2960</v>
      </c>
      <c r="C69" s="1514" t="s">
        <v>29</v>
      </c>
      <c r="D69" s="1341">
        <v>59947</v>
      </c>
      <c r="E69" s="1804" t="s">
        <v>3039</v>
      </c>
      <c r="F69" s="1326" t="s">
        <v>3044</v>
      </c>
      <c r="G69" s="1307" t="s">
        <v>2222</v>
      </c>
      <c r="H69" s="1524">
        <v>24402</v>
      </c>
      <c r="I69" s="1267" t="s">
        <v>35</v>
      </c>
      <c r="J69" s="1307" t="s">
        <v>2306</v>
      </c>
      <c r="K69" s="1386">
        <v>45939</v>
      </c>
      <c r="L69" s="1386">
        <v>45940</v>
      </c>
      <c r="M69" s="1386">
        <v>45943</v>
      </c>
      <c r="N69" s="1386">
        <v>45946</v>
      </c>
      <c r="O69" s="1421"/>
      <c r="P69" s="1307"/>
      <c r="Q69" s="1522"/>
      <c r="R69" s="1333"/>
      <c r="S69" s="1805"/>
      <c r="T69" s="1423"/>
      <c r="U69" s="1423"/>
      <c r="V69" s="1423"/>
      <c r="W69" s="1423"/>
      <c r="X69" s="1423"/>
      <c r="Y69" s="1806"/>
      <c r="Z69" s="1807"/>
      <c r="AA69" s="1808"/>
      <c r="AB69" s="1807"/>
      <c r="AC69" s="1807"/>
      <c r="AD69" s="1334"/>
      <c r="AE69" s="1809"/>
      <c r="AF69" s="1809"/>
      <c r="AG69" s="1809"/>
      <c r="AH69" s="1307"/>
      <c r="AI69" s="1307"/>
      <c r="AJ69" s="1307"/>
      <c r="AK69" s="1307"/>
      <c r="AL69" s="1307"/>
      <c r="AM69" s="1307"/>
      <c r="AN69" s="1307"/>
      <c r="AO69" s="1307"/>
      <c r="AP69" s="1307"/>
      <c r="AQ69" s="1422"/>
      <c r="AR69" s="1645"/>
    </row>
    <row r="70" spans="1:44" ht="24" thickBot="1">
      <c r="A70" s="1812">
        <v>68</v>
      </c>
      <c r="B70" s="1784" t="s">
        <v>2960</v>
      </c>
      <c r="C70" s="1514" t="s">
        <v>29</v>
      </c>
      <c r="D70" s="1341">
        <v>59947</v>
      </c>
      <c r="E70" s="1804" t="s">
        <v>3040</v>
      </c>
      <c r="F70" s="1326" t="s">
        <v>3044</v>
      </c>
      <c r="G70" s="1307" t="s">
        <v>2222</v>
      </c>
      <c r="H70" s="1524">
        <v>5500</v>
      </c>
      <c r="I70" s="1267" t="s">
        <v>35</v>
      </c>
      <c r="J70" s="1307" t="s">
        <v>2306</v>
      </c>
      <c r="K70" s="1386">
        <v>45939</v>
      </c>
      <c r="L70" s="1386">
        <v>45940</v>
      </c>
      <c r="M70" s="1386">
        <v>45943</v>
      </c>
      <c r="N70" s="1386">
        <v>45946</v>
      </c>
      <c r="O70" s="1421"/>
      <c r="P70" s="1307"/>
      <c r="Q70" s="1522"/>
      <c r="R70" s="1333"/>
      <c r="S70" s="1805"/>
      <c r="T70" s="1423"/>
      <c r="U70" s="1423"/>
      <c r="V70" s="1423"/>
      <c r="W70" s="1423"/>
      <c r="X70" s="1423"/>
      <c r="Y70" s="1806"/>
      <c r="Z70" s="1807"/>
      <c r="AA70" s="1808"/>
      <c r="AB70" s="1807"/>
      <c r="AC70" s="1807"/>
      <c r="AD70" s="1334"/>
      <c r="AE70" s="1809"/>
      <c r="AF70" s="1809"/>
      <c r="AG70" s="1809"/>
      <c r="AH70" s="1307"/>
      <c r="AI70" s="1307"/>
      <c r="AJ70" s="1307"/>
      <c r="AK70" s="1307"/>
      <c r="AL70" s="1307"/>
      <c r="AM70" s="1307"/>
      <c r="AN70" s="1307"/>
      <c r="AO70" s="1307"/>
      <c r="AP70" s="1307"/>
      <c r="AQ70" s="1422"/>
      <c r="AR70" s="1645"/>
    </row>
    <row r="71" spans="1:44" ht="24" thickBot="1">
      <c r="A71" s="1812">
        <v>69</v>
      </c>
      <c r="B71" s="1784" t="s">
        <v>2960</v>
      </c>
      <c r="C71" s="1514" t="s">
        <v>29</v>
      </c>
      <c r="D71" s="1341">
        <v>59947</v>
      </c>
      <c r="E71" s="1804" t="s">
        <v>3041</v>
      </c>
      <c r="F71" s="1326" t="s">
        <v>3044</v>
      </c>
      <c r="G71" s="1307" t="s">
        <v>2222</v>
      </c>
      <c r="H71" s="1524">
        <v>5500</v>
      </c>
      <c r="I71" s="1267" t="s">
        <v>35</v>
      </c>
      <c r="J71" s="1307" t="s">
        <v>2306</v>
      </c>
      <c r="K71" s="1386">
        <v>45939</v>
      </c>
      <c r="L71" s="1386">
        <v>45940</v>
      </c>
      <c r="M71" s="1386">
        <v>45943</v>
      </c>
      <c r="N71" s="1386">
        <v>45946</v>
      </c>
      <c r="O71" s="1421"/>
      <c r="P71" s="1307"/>
      <c r="Q71" s="1522"/>
      <c r="R71" s="1333"/>
      <c r="S71" s="1805"/>
      <c r="T71" s="1423"/>
      <c r="U71" s="1423"/>
      <c r="V71" s="1423"/>
      <c r="W71" s="1423"/>
      <c r="X71" s="1423"/>
      <c r="Y71" s="1806"/>
      <c r="Z71" s="1807"/>
      <c r="AA71" s="1808"/>
      <c r="AB71" s="1807"/>
      <c r="AC71" s="1807"/>
      <c r="AD71" s="1334"/>
      <c r="AE71" s="1809"/>
      <c r="AF71" s="1809"/>
      <c r="AG71" s="1809"/>
      <c r="AH71" s="1307"/>
      <c r="AI71" s="1307"/>
      <c r="AJ71" s="1307"/>
      <c r="AK71" s="1307"/>
      <c r="AL71" s="1307"/>
      <c r="AM71" s="1307"/>
      <c r="AN71" s="1307"/>
      <c r="AO71" s="1307"/>
      <c r="AP71" s="1307"/>
      <c r="AQ71" s="1422"/>
      <c r="AR71" s="1645"/>
    </row>
    <row r="72" spans="1:44" ht="24" thickBot="1">
      <c r="A72" s="1812">
        <v>70</v>
      </c>
      <c r="B72" s="1784" t="s">
        <v>2960</v>
      </c>
      <c r="C72" s="1514" t="s">
        <v>29</v>
      </c>
      <c r="D72" s="1341">
        <v>59947</v>
      </c>
      <c r="E72" s="1804" t="s">
        <v>3042</v>
      </c>
      <c r="F72" s="1326" t="s">
        <v>3044</v>
      </c>
      <c r="G72" s="1307" t="s">
        <v>2222</v>
      </c>
      <c r="H72" s="1524">
        <v>5500</v>
      </c>
      <c r="I72" s="1267" t="s">
        <v>35</v>
      </c>
      <c r="J72" s="1307" t="s">
        <v>2306</v>
      </c>
      <c r="K72" s="1386">
        <v>45939</v>
      </c>
      <c r="L72" s="1386">
        <v>45940</v>
      </c>
      <c r="M72" s="1386">
        <v>45943</v>
      </c>
      <c r="N72" s="1386">
        <v>45946</v>
      </c>
      <c r="O72" s="1421"/>
      <c r="P72" s="1307"/>
      <c r="Q72" s="1522"/>
      <c r="R72" s="1333"/>
      <c r="S72" s="1805"/>
      <c r="T72" s="1423"/>
      <c r="U72" s="1423"/>
      <c r="V72" s="1423"/>
      <c r="W72" s="1423"/>
      <c r="X72" s="1423"/>
      <c r="Y72" s="1806"/>
      <c r="Z72" s="1807"/>
      <c r="AA72" s="1808"/>
      <c r="AB72" s="1807"/>
      <c r="AC72" s="1807"/>
      <c r="AD72" s="1334"/>
      <c r="AE72" s="1809"/>
      <c r="AF72" s="1809"/>
      <c r="AG72" s="1809"/>
      <c r="AH72" s="1307"/>
      <c r="AI72" s="1307"/>
      <c r="AJ72" s="1307"/>
      <c r="AK72" s="1307"/>
      <c r="AL72" s="1307"/>
      <c r="AM72" s="1307"/>
      <c r="AN72" s="1307"/>
      <c r="AO72" s="1307"/>
      <c r="AP72" s="1307"/>
      <c r="AQ72" s="1422"/>
      <c r="AR72" s="1645"/>
    </row>
    <row r="73" spans="1:44" ht="24" thickBot="1">
      <c r="A73" s="1812">
        <v>71</v>
      </c>
      <c r="B73" s="1784" t="s">
        <v>2960</v>
      </c>
      <c r="C73" s="1514" t="s">
        <v>29</v>
      </c>
      <c r="D73" s="1341">
        <v>59947</v>
      </c>
      <c r="E73" s="1804" t="s">
        <v>3043</v>
      </c>
      <c r="F73" s="1326" t="s">
        <v>3044</v>
      </c>
      <c r="G73" s="1307" t="s">
        <v>2222</v>
      </c>
      <c r="H73" s="1524">
        <v>5500</v>
      </c>
      <c r="I73" s="1267" t="s">
        <v>35</v>
      </c>
      <c r="J73" s="1307" t="s">
        <v>2306</v>
      </c>
      <c r="K73" s="1386">
        <v>45939</v>
      </c>
      <c r="L73" s="1386">
        <v>45940</v>
      </c>
      <c r="M73" s="1386">
        <v>45943</v>
      </c>
      <c r="N73" s="1386">
        <v>45946</v>
      </c>
      <c r="O73" s="1421"/>
      <c r="P73" s="1307"/>
      <c r="Q73" s="1522"/>
      <c r="R73" s="1333"/>
      <c r="S73" s="1805"/>
      <c r="T73" s="1423"/>
      <c r="U73" s="1423"/>
      <c r="V73" s="1423"/>
      <c r="W73" s="1423"/>
      <c r="X73" s="1423"/>
      <c r="Y73" s="1806"/>
      <c r="Z73" s="1807"/>
      <c r="AA73" s="1808"/>
      <c r="AB73" s="1807"/>
      <c r="AC73" s="1807"/>
      <c r="AD73" s="1334"/>
      <c r="AE73" s="1809"/>
      <c r="AF73" s="1809"/>
      <c r="AG73" s="1809"/>
      <c r="AH73" s="1307"/>
      <c r="AI73" s="1307"/>
      <c r="AJ73" s="1307"/>
      <c r="AK73" s="1307"/>
      <c r="AL73" s="1307"/>
      <c r="AM73" s="1307"/>
      <c r="AN73" s="1307"/>
      <c r="AO73" s="1307"/>
      <c r="AP73" s="1307"/>
      <c r="AQ73" s="1422"/>
      <c r="AR73" s="1645"/>
    </row>
    <row r="74" spans="1:44" ht="24" thickBot="1">
      <c r="A74" s="1812">
        <v>72</v>
      </c>
      <c r="B74" s="1784" t="s">
        <v>2960</v>
      </c>
      <c r="C74" s="1514" t="s">
        <v>29</v>
      </c>
      <c r="D74" s="1341">
        <v>59948</v>
      </c>
      <c r="E74" s="1804" t="s">
        <v>3023</v>
      </c>
      <c r="F74" s="1326" t="s">
        <v>3025</v>
      </c>
      <c r="G74" s="1307" t="s">
        <v>2222</v>
      </c>
      <c r="H74" s="1524">
        <v>242000</v>
      </c>
      <c r="I74" s="1267" t="s">
        <v>35</v>
      </c>
      <c r="J74" s="1307" t="s">
        <v>2306</v>
      </c>
      <c r="K74" s="1386">
        <v>45939</v>
      </c>
      <c r="L74" s="1386">
        <v>45939</v>
      </c>
      <c r="M74" s="1386">
        <v>45943</v>
      </c>
      <c r="N74" s="1386">
        <v>45946</v>
      </c>
      <c r="O74" s="1421"/>
      <c r="P74" s="1307"/>
      <c r="Q74" s="1522"/>
      <c r="R74" s="1333"/>
      <c r="S74" s="1805"/>
      <c r="T74" s="1423"/>
      <c r="U74" s="1423"/>
      <c r="V74" s="1423"/>
      <c r="W74" s="1423"/>
      <c r="X74" s="1423"/>
      <c r="Y74" s="1806"/>
      <c r="Z74" s="1807"/>
      <c r="AA74" s="1808"/>
      <c r="AB74" s="1807"/>
      <c r="AC74" s="1807"/>
      <c r="AD74" s="1334"/>
      <c r="AE74" s="1809"/>
      <c r="AF74" s="1809"/>
      <c r="AG74" s="1809"/>
      <c r="AH74" s="1307"/>
      <c r="AI74" s="1307"/>
      <c r="AJ74" s="1307"/>
      <c r="AK74" s="1307"/>
      <c r="AL74" s="1307"/>
      <c r="AM74" s="1307"/>
      <c r="AN74" s="1307"/>
      <c r="AO74" s="1307"/>
      <c r="AP74" s="1307"/>
      <c r="AQ74" s="1422"/>
      <c r="AR74" s="1645"/>
    </row>
    <row r="75" spans="1:44" ht="24" thickBot="1">
      <c r="A75" s="1812">
        <v>73</v>
      </c>
      <c r="B75" s="1784" t="s">
        <v>2960</v>
      </c>
      <c r="C75" s="1514" t="s">
        <v>29</v>
      </c>
      <c r="D75" s="1341">
        <v>59948</v>
      </c>
      <c r="E75" s="1804" t="s">
        <v>3024</v>
      </c>
      <c r="F75" s="1326" t="s">
        <v>3026</v>
      </c>
      <c r="G75" s="1307" t="s">
        <v>2222</v>
      </c>
      <c r="H75" s="1524">
        <v>242000</v>
      </c>
      <c r="I75" s="1267" t="s">
        <v>35</v>
      </c>
      <c r="J75" s="1307" t="s">
        <v>2306</v>
      </c>
      <c r="K75" s="1386">
        <v>45939</v>
      </c>
      <c r="L75" s="1386">
        <v>45939</v>
      </c>
      <c r="M75" s="1386">
        <v>45943</v>
      </c>
      <c r="N75" s="1386">
        <v>45946</v>
      </c>
      <c r="O75" s="1421"/>
      <c r="P75" s="1307"/>
      <c r="Q75" s="1522"/>
      <c r="R75" s="1333"/>
      <c r="S75" s="1805"/>
      <c r="T75" s="1423"/>
      <c r="U75" s="1423"/>
      <c r="V75" s="1423"/>
      <c r="W75" s="1423"/>
      <c r="X75" s="1423"/>
      <c r="Y75" s="1806"/>
      <c r="Z75" s="1807"/>
      <c r="AA75" s="1808"/>
      <c r="AB75" s="1807"/>
      <c r="AC75" s="1807"/>
      <c r="AD75" s="1334"/>
      <c r="AE75" s="1809"/>
      <c r="AF75" s="1809"/>
      <c r="AG75" s="1809"/>
      <c r="AH75" s="1307"/>
      <c r="AI75" s="1307"/>
      <c r="AJ75" s="1307"/>
      <c r="AK75" s="1307"/>
      <c r="AL75" s="1307"/>
      <c r="AM75" s="1307"/>
      <c r="AN75" s="1307"/>
      <c r="AO75" s="1307"/>
      <c r="AP75" s="1307"/>
      <c r="AQ75" s="1422"/>
      <c r="AR75" s="1645"/>
    </row>
    <row r="76" spans="1:44" ht="24" thickBot="1">
      <c r="A76" s="1812">
        <v>74</v>
      </c>
      <c r="B76" s="1784" t="s">
        <v>2960</v>
      </c>
      <c r="C76" s="1514" t="s">
        <v>29</v>
      </c>
      <c r="D76" s="1341">
        <v>59950</v>
      </c>
      <c r="E76" s="1804" t="s">
        <v>3027</v>
      </c>
      <c r="F76" s="1326" t="s">
        <v>3031</v>
      </c>
      <c r="G76" s="1307" t="s">
        <v>2222</v>
      </c>
      <c r="H76" s="1524">
        <v>29040</v>
      </c>
      <c r="I76" s="1267" t="s">
        <v>35</v>
      </c>
      <c r="J76" s="1307" t="s">
        <v>2306</v>
      </c>
      <c r="K76" s="1386">
        <v>45939</v>
      </c>
      <c r="L76" s="1386">
        <v>45939</v>
      </c>
      <c r="M76" s="1386">
        <v>45943</v>
      </c>
      <c r="N76" s="1386">
        <v>45946</v>
      </c>
      <c r="O76" s="1421"/>
      <c r="P76" s="1307"/>
      <c r="Q76" s="1522"/>
      <c r="R76" s="1333"/>
      <c r="S76" s="1805"/>
      <c r="T76" s="1423"/>
      <c r="U76" s="1423"/>
      <c r="V76" s="1423"/>
      <c r="W76" s="1423"/>
      <c r="X76" s="1423"/>
      <c r="Y76" s="1806"/>
      <c r="Z76" s="1807"/>
      <c r="AA76" s="1808"/>
      <c r="AB76" s="1807"/>
      <c r="AC76" s="1807"/>
      <c r="AD76" s="1334"/>
      <c r="AE76" s="1809"/>
      <c r="AF76" s="1809"/>
      <c r="AG76" s="1809"/>
      <c r="AH76" s="1307"/>
      <c r="AI76" s="1307"/>
      <c r="AJ76" s="1307"/>
      <c r="AK76" s="1307"/>
      <c r="AL76" s="1307"/>
      <c r="AM76" s="1307"/>
      <c r="AN76" s="1307"/>
      <c r="AO76" s="1307"/>
      <c r="AP76" s="1307"/>
      <c r="AQ76" s="1422"/>
      <c r="AR76" s="1645"/>
    </row>
    <row r="77" spans="1:44" ht="24" thickBot="1">
      <c r="A77" s="1812">
        <v>75</v>
      </c>
      <c r="B77" s="1784" t="s">
        <v>2960</v>
      </c>
      <c r="C77" s="1514" t="s">
        <v>29</v>
      </c>
      <c r="D77" s="1341">
        <v>59950</v>
      </c>
      <c r="E77" s="1804" t="s">
        <v>3028</v>
      </c>
      <c r="F77" s="1326" t="s">
        <v>3031</v>
      </c>
      <c r="G77" s="1307" t="s">
        <v>2222</v>
      </c>
      <c r="H77" s="1524">
        <v>121000</v>
      </c>
      <c r="I77" s="1267" t="s">
        <v>35</v>
      </c>
      <c r="J77" s="1307" t="s">
        <v>2306</v>
      </c>
      <c r="K77" s="1386">
        <v>45939</v>
      </c>
      <c r="L77" s="1386">
        <v>45939</v>
      </c>
      <c r="M77" s="1386">
        <v>45943</v>
      </c>
      <c r="N77" s="1386">
        <v>45946</v>
      </c>
      <c r="O77" s="1421"/>
      <c r="P77" s="1307"/>
      <c r="Q77" s="1522"/>
      <c r="R77" s="1333"/>
      <c r="S77" s="1805"/>
      <c r="T77" s="1423"/>
      <c r="U77" s="1423"/>
      <c r="V77" s="1423"/>
      <c r="W77" s="1423"/>
      <c r="X77" s="1423"/>
      <c r="Y77" s="1806"/>
      <c r="Z77" s="1807"/>
      <c r="AA77" s="1808"/>
      <c r="AB77" s="1807"/>
      <c r="AC77" s="1807"/>
      <c r="AD77" s="1334"/>
      <c r="AE77" s="1809"/>
      <c r="AF77" s="1809"/>
      <c r="AG77" s="1809"/>
      <c r="AH77" s="1307"/>
      <c r="AI77" s="1307"/>
      <c r="AJ77" s="1307"/>
      <c r="AK77" s="1307"/>
      <c r="AL77" s="1307"/>
      <c r="AM77" s="1307"/>
      <c r="AN77" s="1307"/>
      <c r="AO77" s="1307"/>
      <c r="AP77" s="1307"/>
      <c r="AQ77" s="1422"/>
      <c r="AR77" s="1645"/>
    </row>
    <row r="78" spans="1:44" ht="24" thickBot="1">
      <c r="A78" s="1812">
        <v>76</v>
      </c>
      <c r="B78" s="1784" t="s">
        <v>2960</v>
      </c>
      <c r="C78" s="1514" t="s">
        <v>29</v>
      </c>
      <c r="D78" s="1341">
        <v>59950</v>
      </c>
      <c r="E78" s="1804" t="s">
        <v>3029</v>
      </c>
      <c r="F78" s="1326" t="s">
        <v>3031</v>
      </c>
      <c r="G78" s="1307" t="s">
        <v>2222</v>
      </c>
      <c r="H78" s="1524">
        <v>72600</v>
      </c>
      <c r="I78" s="1267" t="s">
        <v>35</v>
      </c>
      <c r="J78" s="1307" t="s">
        <v>2306</v>
      </c>
      <c r="K78" s="1386">
        <v>45939</v>
      </c>
      <c r="L78" s="1386">
        <v>45939</v>
      </c>
      <c r="M78" s="1386">
        <v>45943</v>
      </c>
      <c r="N78" s="1386">
        <v>45946</v>
      </c>
      <c r="O78" s="1421"/>
      <c r="P78" s="1307"/>
      <c r="Q78" s="1522"/>
      <c r="R78" s="1333"/>
      <c r="S78" s="1805"/>
      <c r="T78" s="1423"/>
      <c r="U78" s="1423"/>
      <c r="V78" s="1423"/>
      <c r="W78" s="1423"/>
      <c r="X78" s="1423"/>
      <c r="Y78" s="1806"/>
      <c r="Z78" s="1807"/>
      <c r="AA78" s="1808"/>
      <c r="AB78" s="1807"/>
      <c r="AC78" s="1807"/>
      <c r="AD78" s="1334"/>
      <c r="AE78" s="1809"/>
      <c r="AF78" s="1809"/>
      <c r="AG78" s="1809"/>
      <c r="AH78" s="1307"/>
      <c r="AI78" s="1307"/>
      <c r="AJ78" s="1307"/>
      <c r="AK78" s="1307"/>
      <c r="AL78" s="1307"/>
      <c r="AM78" s="1307"/>
      <c r="AN78" s="1307"/>
      <c r="AO78" s="1307"/>
      <c r="AP78" s="1307"/>
      <c r="AQ78" s="1422"/>
      <c r="AR78" s="1645"/>
    </row>
    <row r="79" spans="1:44" ht="24" thickBot="1">
      <c r="A79" s="1812">
        <v>77</v>
      </c>
      <c r="B79" s="1784" t="s">
        <v>2960</v>
      </c>
      <c r="C79" s="1514" t="s">
        <v>29</v>
      </c>
      <c r="D79" s="1341">
        <v>59950</v>
      </c>
      <c r="E79" s="1804" t="s">
        <v>3030</v>
      </c>
      <c r="F79" s="1326" t="s">
        <v>3031</v>
      </c>
      <c r="G79" s="1307" t="s">
        <v>2222</v>
      </c>
      <c r="H79" s="1524">
        <v>19360</v>
      </c>
      <c r="I79" s="1267" t="s">
        <v>35</v>
      </c>
      <c r="J79" s="1307" t="s">
        <v>2306</v>
      </c>
      <c r="K79" s="1386">
        <v>45939</v>
      </c>
      <c r="L79" s="1386">
        <v>45939</v>
      </c>
      <c r="M79" s="1386">
        <v>45943</v>
      </c>
      <c r="N79" s="1386">
        <v>45946</v>
      </c>
      <c r="O79" s="1421"/>
      <c r="P79" s="1307"/>
      <c r="Q79" s="1522"/>
      <c r="R79" s="1333"/>
      <c r="S79" s="1805"/>
      <c r="T79" s="1423"/>
      <c r="U79" s="1423"/>
      <c r="V79" s="1423"/>
      <c r="W79" s="1423"/>
      <c r="X79" s="1423"/>
      <c r="Y79" s="1806"/>
      <c r="Z79" s="1807"/>
      <c r="AA79" s="1808"/>
      <c r="AB79" s="1807"/>
      <c r="AC79" s="1807"/>
      <c r="AD79" s="1334"/>
      <c r="AE79" s="1809"/>
      <c r="AF79" s="1809"/>
      <c r="AG79" s="1809"/>
      <c r="AH79" s="1307"/>
      <c r="AI79" s="1307"/>
      <c r="AJ79" s="1307"/>
      <c r="AK79" s="1307"/>
      <c r="AL79" s="1307"/>
      <c r="AM79" s="1307"/>
      <c r="AN79" s="1307"/>
      <c r="AO79" s="1307"/>
      <c r="AP79" s="1307"/>
      <c r="AQ79" s="1422"/>
      <c r="AR79" s="1645"/>
    </row>
    <row r="80" spans="1:44" ht="24" thickBot="1">
      <c r="A80" s="1812">
        <v>78</v>
      </c>
      <c r="B80" s="1784" t="s">
        <v>2960</v>
      </c>
      <c r="C80" s="1514" t="s">
        <v>29</v>
      </c>
      <c r="D80" s="1341">
        <v>59938</v>
      </c>
      <c r="E80" s="1804" t="s">
        <v>2961</v>
      </c>
      <c r="F80" s="1326" t="s">
        <v>3046</v>
      </c>
      <c r="G80" s="1307" t="s">
        <v>2222</v>
      </c>
      <c r="H80" s="1524">
        <v>242000</v>
      </c>
      <c r="I80" s="1267" t="s">
        <v>35</v>
      </c>
      <c r="J80" s="1307" t="s">
        <v>2306</v>
      </c>
      <c r="K80" s="1386">
        <v>45940</v>
      </c>
      <c r="L80" s="1386">
        <v>45943</v>
      </c>
      <c r="M80" s="1386">
        <v>45945</v>
      </c>
      <c r="N80" s="1386">
        <v>45946</v>
      </c>
      <c r="O80" s="1421"/>
      <c r="P80" s="1307"/>
      <c r="Q80" s="1522"/>
      <c r="R80" s="1333"/>
      <c r="S80" s="1805"/>
      <c r="T80" s="1423"/>
      <c r="U80" s="1423"/>
      <c r="V80" s="1423"/>
      <c r="W80" s="1423"/>
      <c r="X80" s="1423"/>
      <c r="Y80" s="1806"/>
      <c r="Z80" s="1807"/>
      <c r="AA80" s="1808"/>
      <c r="AB80" s="1807"/>
      <c r="AC80" s="1807"/>
      <c r="AD80" s="1334"/>
      <c r="AE80" s="1809"/>
      <c r="AF80" s="1809"/>
      <c r="AG80" s="1809"/>
      <c r="AH80" s="1307"/>
      <c r="AI80" s="1307"/>
      <c r="AJ80" s="1307"/>
      <c r="AK80" s="1307"/>
      <c r="AL80" s="1307"/>
      <c r="AM80" s="1307"/>
      <c r="AN80" s="1307"/>
      <c r="AO80" s="1307"/>
      <c r="AP80" s="1307"/>
      <c r="AQ80" s="1422"/>
      <c r="AR80" s="1645"/>
    </row>
    <row r="81" spans="1:44" ht="24" thickBot="1">
      <c r="A81" s="1812">
        <v>79</v>
      </c>
      <c r="B81" s="1784" t="s">
        <v>2507</v>
      </c>
      <c r="C81" s="1514" t="s">
        <v>29</v>
      </c>
      <c r="D81" s="1341">
        <v>60095</v>
      </c>
      <c r="E81" s="1804" t="s">
        <v>3047</v>
      </c>
      <c r="F81" s="1326" t="s">
        <v>3048</v>
      </c>
      <c r="G81" s="1307" t="s">
        <v>2222</v>
      </c>
      <c r="H81" s="1524">
        <v>262228</v>
      </c>
      <c r="I81" s="1267" t="s">
        <v>35</v>
      </c>
      <c r="J81" s="1307" t="s">
        <v>2306</v>
      </c>
      <c r="K81" s="1386">
        <v>45943</v>
      </c>
      <c r="L81" s="1386">
        <v>45944</v>
      </c>
      <c r="M81" s="1386">
        <v>45946</v>
      </c>
      <c r="N81" s="1386">
        <v>45957</v>
      </c>
      <c r="O81" s="1421"/>
      <c r="P81" s="1307"/>
      <c r="Q81" s="1522"/>
      <c r="R81" s="1333"/>
      <c r="S81" s="1805"/>
      <c r="T81" s="1423"/>
      <c r="U81" s="1423"/>
      <c r="V81" s="1423"/>
      <c r="W81" s="1423"/>
      <c r="X81" s="1423"/>
      <c r="Y81" s="1806"/>
      <c r="Z81" s="1807"/>
      <c r="AA81" s="1808"/>
      <c r="AB81" s="1807"/>
      <c r="AC81" s="1807"/>
      <c r="AD81" s="1334"/>
      <c r="AE81" s="1809"/>
      <c r="AF81" s="1809"/>
      <c r="AG81" s="1809"/>
      <c r="AH81" s="1307"/>
      <c r="AI81" s="1307"/>
      <c r="AJ81" s="1307"/>
      <c r="AK81" s="1307"/>
      <c r="AL81" s="1307"/>
      <c r="AM81" s="1307"/>
      <c r="AN81" s="1307"/>
      <c r="AO81" s="1307"/>
      <c r="AP81" s="1307"/>
      <c r="AQ81" s="1422"/>
      <c r="AR81" s="1645"/>
    </row>
    <row r="82" spans="1:44" ht="24" thickBot="1">
      <c r="A82" s="1812">
        <v>80</v>
      </c>
      <c r="B82" s="1784" t="s">
        <v>2507</v>
      </c>
      <c r="C82" s="1514" t="s">
        <v>29</v>
      </c>
      <c r="D82" s="1341">
        <v>60095</v>
      </c>
      <c r="E82" s="1804" t="s">
        <v>3049</v>
      </c>
      <c r="F82" s="1326" t="s">
        <v>3048</v>
      </c>
      <c r="G82" s="1307" t="s">
        <v>2222</v>
      </c>
      <c r="H82" s="1524">
        <v>275795</v>
      </c>
      <c r="I82" s="1267" t="s">
        <v>35</v>
      </c>
      <c r="J82" s="1307" t="s">
        <v>2306</v>
      </c>
      <c r="K82" s="1386">
        <v>45943</v>
      </c>
      <c r="L82" s="1386">
        <v>45944</v>
      </c>
      <c r="M82" s="1386">
        <v>45946</v>
      </c>
      <c r="N82" s="1386">
        <v>45957</v>
      </c>
      <c r="O82" s="1421"/>
      <c r="P82" s="1307"/>
      <c r="Q82" s="1522"/>
      <c r="R82" s="1333"/>
      <c r="S82" s="1805"/>
      <c r="T82" s="1423"/>
      <c r="U82" s="1423"/>
      <c r="V82" s="1423"/>
      <c r="W82" s="1423"/>
      <c r="X82" s="1423"/>
      <c r="Y82" s="1806"/>
      <c r="Z82" s="1807"/>
      <c r="AA82" s="1808"/>
      <c r="AB82" s="1807"/>
      <c r="AC82" s="1807"/>
      <c r="AD82" s="1334"/>
      <c r="AE82" s="1809"/>
      <c r="AF82" s="1809"/>
      <c r="AG82" s="1809"/>
      <c r="AH82" s="1307"/>
      <c r="AI82" s="1307"/>
      <c r="AJ82" s="1307"/>
      <c r="AK82" s="1307"/>
      <c r="AL82" s="1307"/>
      <c r="AM82" s="1307"/>
      <c r="AN82" s="1307"/>
      <c r="AO82" s="1307"/>
      <c r="AP82" s="1307"/>
      <c r="AQ82" s="1422"/>
      <c r="AR82" s="1645"/>
    </row>
    <row r="83" spans="1:44" ht="24" thickBot="1">
      <c r="A83" s="1812">
        <v>81</v>
      </c>
      <c r="B83" s="1784" t="s">
        <v>2507</v>
      </c>
      <c r="C83" s="1514" t="s">
        <v>29</v>
      </c>
      <c r="D83" s="1341">
        <v>60090</v>
      </c>
      <c r="E83" s="1804" t="s">
        <v>3050</v>
      </c>
      <c r="F83" s="1326" t="s">
        <v>3051</v>
      </c>
      <c r="G83" s="1307" t="s">
        <v>2222</v>
      </c>
      <c r="H83" s="1524">
        <v>287967</v>
      </c>
      <c r="I83" s="1267" t="s">
        <v>35</v>
      </c>
      <c r="J83" s="1307" t="s">
        <v>2306</v>
      </c>
      <c r="K83" s="1386">
        <v>45944</v>
      </c>
      <c r="L83" s="1386">
        <v>45945</v>
      </c>
      <c r="M83" s="1386">
        <v>45946</v>
      </c>
      <c r="N83" s="1386">
        <v>45959</v>
      </c>
      <c r="O83" s="1421"/>
      <c r="P83" s="1307"/>
      <c r="Q83" s="1522"/>
      <c r="R83" s="1333"/>
      <c r="S83" s="1805"/>
      <c r="T83" s="1423"/>
      <c r="U83" s="1423"/>
      <c r="V83" s="1423"/>
      <c r="W83" s="1423"/>
      <c r="X83" s="1423"/>
      <c r="Y83" s="1806"/>
      <c r="Z83" s="1807"/>
      <c r="AA83" s="1808"/>
      <c r="AB83" s="1807"/>
      <c r="AC83" s="1807"/>
      <c r="AD83" s="1334"/>
      <c r="AE83" s="1809"/>
      <c r="AF83" s="1809"/>
      <c r="AG83" s="1809"/>
      <c r="AH83" s="1307"/>
      <c r="AI83" s="1307"/>
      <c r="AJ83" s="1307"/>
      <c r="AK83" s="1307"/>
      <c r="AL83" s="1307"/>
      <c r="AM83" s="1307"/>
      <c r="AN83" s="1307"/>
      <c r="AO83" s="1307"/>
      <c r="AP83" s="1307"/>
      <c r="AQ83" s="1422"/>
      <c r="AR83" s="1645"/>
    </row>
    <row r="84" spans="1:44" ht="24" thickBot="1">
      <c r="A84" s="1812">
        <v>82</v>
      </c>
      <c r="B84" s="1784" t="s">
        <v>2960</v>
      </c>
      <c r="C84" s="1514" t="s">
        <v>29</v>
      </c>
      <c r="D84" s="1341">
        <v>60181</v>
      </c>
      <c r="E84" s="1804" t="s">
        <v>3052</v>
      </c>
      <c r="F84" s="1326" t="s">
        <v>3061</v>
      </c>
      <c r="G84" s="1307" t="s">
        <v>2222</v>
      </c>
      <c r="H84" s="1524">
        <v>242000</v>
      </c>
      <c r="I84" s="1267" t="s">
        <v>35</v>
      </c>
      <c r="J84" s="1307" t="s">
        <v>2306</v>
      </c>
      <c r="K84" s="1386">
        <v>45947</v>
      </c>
      <c r="L84" s="1386">
        <v>45952</v>
      </c>
      <c r="M84" s="1386">
        <v>45957</v>
      </c>
      <c r="N84" s="1386">
        <v>45961</v>
      </c>
      <c r="O84" s="1421"/>
      <c r="P84" s="1307"/>
      <c r="Q84" s="1522"/>
      <c r="R84" s="1333"/>
      <c r="S84" s="1805"/>
      <c r="T84" s="1423"/>
      <c r="U84" s="1423"/>
      <c r="V84" s="1423"/>
      <c r="W84" s="1423"/>
      <c r="X84" s="1423"/>
      <c r="Y84" s="1806"/>
      <c r="Z84" s="1807"/>
      <c r="AA84" s="1808"/>
      <c r="AB84" s="1807"/>
      <c r="AC84" s="1807"/>
      <c r="AD84" s="1334"/>
      <c r="AE84" s="1809"/>
      <c r="AF84" s="1809"/>
      <c r="AG84" s="1809"/>
      <c r="AH84" s="1307"/>
      <c r="AI84" s="1307"/>
      <c r="AJ84" s="1307"/>
      <c r="AK84" s="1307"/>
      <c r="AL84" s="1307"/>
      <c r="AM84" s="1307"/>
      <c r="AN84" s="1307"/>
      <c r="AO84" s="1307"/>
      <c r="AP84" s="1307"/>
      <c r="AQ84" s="1422"/>
      <c r="AR84" s="1645"/>
    </row>
    <row r="85" spans="1:44" ht="24" thickBot="1">
      <c r="A85" s="1812">
        <v>83</v>
      </c>
      <c r="B85" s="1784" t="s">
        <v>2960</v>
      </c>
      <c r="C85" s="1514" t="s">
        <v>29</v>
      </c>
      <c r="D85" s="1341">
        <v>60349</v>
      </c>
      <c r="E85" s="1804" t="s">
        <v>3053</v>
      </c>
      <c r="F85" s="1326" t="s">
        <v>3062</v>
      </c>
      <c r="G85" s="1307" t="s">
        <v>2222</v>
      </c>
      <c r="H85" s="1524">
        <v>1521</v>
      </c>
      <c r="I85" s="1267" t="s">
        <v>35</v>
      </c>
      <c r="J85" s="1307" t="s">
        <v>2306</v>
      </c>
      <c r="K85" s="1386">
        <v>45947</v>
      </c>
      <c r="L85" s="1386">
        <v>45952</v>
      </c>
      <c r="M85" s="1386">
        <v>45957</v>
      </c>
      <c r="N85" s="1386">
        <v>45961</v>
      </c>
      <c r="O85" s="1421"/>
      <c r="P85" s="1307"/>
      <c r="Q85" s="1522"/>
      <c r="R85" s="1333"/>
      <c r="S85" s="1805"/>
      <c r="T85" s="1423"/>
      <c r="U85" s="1423"/>
      <c r="V85" s="1423"/>
      <c r="W85" s="1423"/>
      <c r="X85" s="1423"/>
      <c r="Y85" s="1806"/>
      <c r="Z85" s="1807"/>
      <c r="AA85" s="1808"/>
      <c r="AB85" s="1807"/>
      <c r="AC85" s="1807"/>
      <c r="AD85" s="1334"/>
      <c r="AE85" s="1809"/>
      <c r="AF85" s="1809"/>
      <c r="AG85" s="1809"/>
      <c r="AH85" s="1307"/>
      <c r="AI85" s="1307"/>
      <c r="AJ85" s="1307"/>
      <c r="AK85" s="1307"/>
      <c r="AL85" s="1307"/>
      <c r="AM85" s="1307"/>
      <c r="AN85" s="1307"/>
      <c r="AO85" s="1307"/>
      <c r="AP85" s="1307"/>
      <c r="AQ85" s="1422"/>
      <c r="AR85" s="1645"/>
    </row>
    <row r="86" spans="1:44" ht="24" thickBot="1">
      <c r="A86" s="1812">
        <v>84</v>
      </c>
      <c r="B86" s="1784" t="s">
        <v>2960</v>
      </c>
      <c r="C86" s="1514" t="s">
        <v>29</v>
      </c>
      <c r="D86" s="1341">
        <v>60349</v>
      </c>
      <c r="E86" s="1804" t="s">
        <v>3054</v>
      </c>
      <c r="F86" s="1326" t="s">
        <v>3062</v>
      </c>
      <c r="G86" s="1307" t="s">
        <v>2222</v>
      </c>
      <c r="H86" s="1524">
        <v>74547</v>
      </c>
      <c r="I86" s="1267" t="s">
        <v>35</v>
      </c>
      <c r="J86" s="1307" t="s">
        <v>2306</v>
      </c>
      <c r="K86" s="1386">
        <v>45947</v>
      </c>
      <c r="L86" s="1386">
        <v>45952</v>
      </c>
      <c r="M86" s="1386">
        <v>45957</v>
      </c>
      <c r="N86" s="1386">
        <v>45961</v>
      </c>
      <c r="O86" s="1421"/>
      <c r="P86" s="1307"/>
      <c r="Q86" s="1522"/>
      <c r="R86" s="1333"/>
      <c r="S86" s="1805"/>
      <c r="T86" s="1423"/>
      <c r="U86" s="1423"/>
      <c r="V86" s="1423"/>
      <c r="W86" s="1423"/>
      <c r="X86" s="1423"/>
      <c r="Y86" s="1806"/>
      <c r="Z86" s="1807"/>
      <c r="AA86" s="1808"/>
      <c r="AB86" s="1807"/>
      <c r="AC86" s="1807"/>
      <c r="AD86" s="1334"/>
      <c r="AE86" s="1809"/>
      <c r="AF86" s="1809"/>
      <c r="AG86" s="1809"/>
      <c r="AH86" s="1307"/>
      <c r="AI86" s="1307"/>
      <c r="AJ86" s="1307"/>
      <c r="AK86" s="1307"/>
      <c r="AL86" s="1307"/>
      <c r="AM86" s="1307"/>
      <c r="AN86" s="1307"/>
      <c r="AO86" s="1307"/>
      <c r="AP86" s="1307"/>
      <c r="AQ86" s="1422"/>
      <c r="AR86" s="1645"/>
    </row>
    <row r="87" spans="1:44" ht="24" thickBot="1">
      <c r="A87" s="1812">
        <v>85</v>
      </c>
      <c r="B87" s="1784" t="s">
        <v>2960</v>
      </c>
      <c r="C87" s="1514" t="s">
        <v>29</v>
      </c>
      <c r="D87" s="1341">
        <v>60349</v>
      </c>
      <c r="E87" s="1804" t="s">
        <v>3055</v>
      </c>
      <c r="F87" s="1326" t="s">
        <v>3062</v>
      </c>
      <c r="G87" s="1307" t="s">
        <v>2222</v>
      </c>
      <c r="H87" s="1524">
        <v>17600</v>
      </c>
      <c r="I87" s="1267" t="s">
        <v>35</v>
      </c>
      <c r="J87" s="1307" t="s">
        <v>2306</v>
      </c>
      <c r="K87" s="1386">
        <v>45947</v>
      </c>
      <c r="L87" s="1386">
        <v>45952</v>
      </c>
      <c r="M87" s="1386">
        <v>45957</v>
      </c>
      <c r="N87" s="1386">
        <v>45961</v>
      </c>
      <c r="O87" s="1421"/>
      <c r="P87" s="1307"/>
      <c r="Q87" s="1522"/>
      <c r="R87" s="1333"/>
      <c r="S87" s="1805"/>
      <c r="T87" s="1423"/>
      <c r="U87" s="1423"/>
      <c r="V87" s="1423"/>
      <c r="W87" s="1423"/>
      <c r="X87" s="1423"/>
      <c r="Y87" s="1806"/>
      <c r="Z87" s="1807"/>
      <c r="AA87" s="1808"/>
      <c r="AB87" s="1807"/>
      <c r="AC87" s="1807"/>
      <c r="AD87" s="1334"/>
      <c r="AE87" s="1809"/>
      <c r="AF87" s="1809"/>
      <c r="AG87" s="1809"/>
      <c r="AH87" s="1307"/>
      <c r="AI87" s="1307"/>
      <c r="AJ87" s="1307"/>
      <c r="AK87" s="1307"/>
      <c r="AL87" s="1307"/>
      <c r="AM87" s="1307"/>
      <c r="AN87" s="1307"/>
      <c r="AO87" s="1307"/>
      <c r="AP87" s="1307"/>
      <c r="AQ87" s="1422"/>
      <c r="AR87" s="1645"/>
    </row>
    <row r="88" spans="1:44" ht="24" thickBot="1">
      <c r="A88" s="1812">
        <v>86</v>
      </c>
      <c r="B88" s="1784" t="s">
        <v>2960</v>
      </c>
      <c r="C88" s="1514" t="s">
        <v>29</v>
      </c>
      <c r="D88" s="1341">
        <v>60349</v>
      </c>
      <c r="E88" s="1804" t="s">
        <v>3056</v>
      </c>
      <c r="F88" s="1326" t="s">
        <v>3062</v>
      </c>
      <c r="G88" s="1307" t="s">
        <v>2222</v>
      </c>
      <c r="H88" s="1524">
        <v>2967</v>
      </c>
      <c r="I88" s="1267" t="s">
        <v>35</v>
      </c>
      <c r="J88" s="1307" t="s">
        <v>2306</v>
      </c>
      <c r="K88" s="1386">
        <v>45947</v>
      </c>
      <c r="L88" s="1386">
        <v>45952</v>
      </c>
      <c r="M88" s="1386">
        <v>45957</v>
      </c>
      <c r="N88" s="1386">
        <v>45961</v>
      </c>
      <c r="O88" s="1421"/>
      <c r="P88" s="1307"/>
      <c r="Q88" s="1522"/>
      <c r="R88" s="1333"/>
      <c r="S88" s="1805"/>
      <c r="T88" s="1423"/>
      <c r="U88" s="1423"/>
      <c r="V88" s="1423"/>
      <c r="W88" s="1423"/>
      <c r="X88" s="1423"/>
      <c r="Y88" s="1806"/>
      <c r="Z88" s="1807"/>
      <c r="AA88" s="1808"/>
      <c r="AB88" s="1807"/>
      <c r="AC88" s="1807"/>
      <c r="AD88" s="1334"/>
      <c r="AE88" s="1809"/>
      <c r="AF88" s="1809"/>
      <c r="AG88" s="1809"/>
      <c r="AH88" s="1307"/>
      <c r="AI88" s="1307"/>
      <c r="AJ88" s="1307"/>
      <c r="AK88" s="1307"/>
      <c r="AL88" s="1307"/>
      <c r="AM88" s="1307"/>
      <c r="AN88" s="1307"/>
      <c r="AO88" s="1307"/>
      <c r="AP88" s="1307"/>
      <c r="AQ88" s="1422"/>
      <c r="AR88" s="1645"/>
    </row>
    <row r="89" spans="1:44" ht="24" thickBot="1">
      <c r="A89" s="1812">
        <v>87</v>
      </c>
      <c r="B89" s="1784" t="s">
        <v>2960</v>
      </c>
      <c r="C89" s="1514" t="s">
        <v>29</v>
      </c>
      <c r="D89" s="1341">
        <v>60349</v>
      </c>
      <c r="E89" s="1804" t="s">
        <v>3057</v>
      </c>
      <c r="F89" s="1326" t="s">
        <v>3062</v>
      </c>
      <c r="G89" s="1307" t="s">
        <v>2222</v>
      </c>
      <c r="H89" s="1524">
        <v>145365</v>
      </c>
      <c r="I89" s="1267" t="s">
        <v>35</v>
      </c>
      <c r="J89" s="1307" t="s">
        <v>2306</v>
      </c>
      <c r="K89" s="1386">
        <v>45947</v>
      </c>
      <c r="L89" s="1386">
        <v>45952</v>
      </c>
      <c r="M89" s="1386">
        <v>45957</v>
      </c>
      <c r="N89" s="1386">
        <v>45961</v>
      </c>
      <c r="O89" s="1421"/>
      <c r="P89" s="1307"/>
      <c r="Q89" s="1522"/>
      <c r="R89" s="1333"/>
      <c r="S89" s="1805"/>
      <c r="T89" s="1423"/>
      <c r="U89" s="1423"/>
      <c r="V89" s="1423"/>
      <c r="W89" s="1423"/>
      <c r="X89" s="1423"/>
      <c r="Y89" s="1806"/>
      <c r="Z89" s="1807"/>
      <c r="AA89" s="1808"/>
      <c r="AB89" s="1807"/>
      <c r="AC89" s="1807"/>
      <c r="AD89" s="1334"/>
      <c r="AE89" s="1809"/>
      <c r="AF89" s="1809"/>
      <c r="AG89" s="1809"/>
      <c r="AH89" s="1307"/>
      <c r="AI89" s="1307"/>
      <c r="AJ89" s="1307"/>
      <c r="AK89" s="1307"/>
      <c r="AL89" s="1307"/>
      <c r="AM89" s="1307"/>
      <c r="AN89" s="1307"/>
      <c r="AO89" s="1307"/>
      <c r="AP89" s="1307"/>
      <c r="AQ89" s="1422"/>
      <c r="AR89" s="1645"/>
    </row>
    <row r="90" spans="1:44" ht="24" thickBot="1">
      <c r="A90" s="1812">
        <v>88</v>
      </c>
      <c r="B90" s="1784" t="s">
        <v>2960</v>
      </c>
      <c r="C90" s="1514" t="s">
        <v>29</v>
      </c>
      <c r="D90" s="1341">
        <v>60349</v>
      </c>
      <c r="E90" s="1804" t="s">
        <v>3058</v>
      </c>
      <c r="F90" s="1326" t="s">
        <v>3063</v>
      </c>
      <c r="G90" s="1307" t="s">
        <v>2222</v>
      </c>
      <c r="H90" s="1524">
        <v>76068</v>
      </c>
      <c r="I90" s="1267" t="s">
        <v>35</v>
      </c>
      <c r="J90" s="1307" t="s">
        <v>2306</v>
      </c>
      <c r="K90" s="1386">
        <v>45947</v>
      </c>
      <c r="L90" s="1386">
        <v>45952</v>
      </c>
      <c r="M90" s="1386">
        <v>45957</v>
      </c>
      <c r="N90" s="1386">
        <v>45961</v>
      </c>
      <c r="O90" s="1421"/>
      <c r="P90" s="1307"/>
      <c r="Q90" s="1522"/>
      <c r="R90" s="1333"/>
      <c r="S90" s="1805"/>
      <c r="T90" s="1423"/>
      <c r="U90" s="1423"/>
      <c r="V90" s="1423"/>
      <c r="W90" s="1423"/>
      <c r="X90" s="1423"/>
      <c r="Y90" s="1806"/>
      <c r="Z90" s="1807"/>
      <c r="AA90" s="1808"/>
      <c r="AB90" s="1807"/>
      <c r="AC90" s="1807"/>
      <c r="AD90" s="1334"/>
      <c r="AE90" s="1809"/>
      <c r="AF90" s="1809"/>
      <c r="AG90" s="1809"/>
      <c r="AH90" s="1307"/>
      <c r="AI90" s="1307"/>
      <c r="AJ90" s="1307"/>
      <c r="AK90" s="1307"/>
      <c r="AL90" s="1307"/>
      <c r="AM90" s="1307"/>
      <c r="AN90" s="1307"/>
      <c r="AO90" s="1307"/>
      <c r="AP90" s="1307"/>
      <c r="AQ90" s="1422"/>
      <c r="AR90" s="1645"/>
    </row>
    <row r="91" spans="1:44" ht="24" thickBot="1">
      <c r="A91" s="1812">
        <v>89</v>
      </c>
      <c r="B91" s="1784" t="s">
        <v>2960</v>
      </c>
      <c r="C91" s="1514" t="s">
        <v>29</v>
      </c>
      <c r="D91" s="1341">
        <v>60349</v>
      </c>
      <c r="E91" s="1804" t="s">
        <v>3059</v>
      </c>
      <c r="F91" s="1326" t="s">
        <v>3063</v>
      </c>
      <c r="G91" s="1307" t="s">
        <v>2222</v>
      </c>
      <c r="H91" s="1524">
        <v>17600</v>
      </c>
      <c r="I91" s="1267" t="s">
        <v>35</v>
      </c>
      <c r="J91" s="1307" t="s">
        <v>2306</v>
      </c>
      <c r="K91" s="1386">
        <v>45947</v>
      </c>
      <c r="L91" s="1386">
        <v>45952</v>
      </c>
      <c r="M91" s="1386">
        <v>45957</v>
      </c>
      <c r="N91" s="1386">
        <v>45961</v>
      </c>
      <c r="O91" s="1421"/>
      <c r="P91" s="1307"/>
      <c r="Q91" s="1522"/>
      <c r="R91" s="1333"/>
      <c r="S91" s="1805"/>
      <c r="T91" s="1423"/>
      <c r="U91" s="1423"/>
      <c r="V91" s="1423"/>
      <c r="W91" s="1423"/>
      <c r="X91" s="1423"/>
      <c r="Y91" s="1806"/>
      <c r="Z91" s="1807"/>
      <c r="AA91" s="1808"/>
      <c r="AB91" s="1807"/>
      <c r="AC91" s="1807"/>
      <c r="AD91" s="1334"/>
      <c r="AE91" s="1809"/>
      <c r="AF91" s="1809"/>
      <c r="AG91" s="1809"/>
      <c r="AH91" s="1307"/>
      <c r="AI91" s="1307"/>
      <c r="AJ91" s="1307"/>
      <c r="AK91" s="1307"/>
      <c r="AL91" s="1307"/>
      <c r="AM91" s="1307"/>
      <c r="AN91" s="1307"/>
      <c r="AO91" s="1307"/>
      <c r="AP91" s="1307"/>
      <c r="AQ91" s="1422"/>
      <c r="AR91" s="1645"/>
    </row>
    <row r="92" spans="1:44" ht="24" thickBot="1">
      <c r="A92" s="1812">
        <v>90</v>
      </c>
      <c r="B92" s="1784" t="s">
        <v>2960</v>
      </c>
      <c r="C92" s="1514" t="s">
        <v>29</v>
      </c>
      <c r="D92" s="1341">
        <v>60349</v>
      </c>
      <c r="E92" s="1804" t="s">
        <v>3060</v>
      </c>
      <c r="F92" s="1326" t="s">
        <v>3063</v>
      </c>
      <c r="G92" s="1307" t="s">
        <v>2222</v>
      </c>
      <c r="H92" s="1524">
        <v>148332</v>
      </c>
      <c r="I92" s="1267" t="s">
        <v>35</v>
      </c>
      <c r="J92" s="1307" t="s">
        <v>2306</v>
      </c>
      <c r="K92" s="1386">
        <v>45947</v>
      </c>
      <c r="L92" s="1386">
        <v>45952</v>
      </c>
      <c r="M92" s="1386">
        <v>45957</v>
      </c>
      <c r="N92" s="1386">
        <v>45961</v>
      </c>
      <c r="O92" s="1421"/>
      <c r="P92" s="1307"/>
      <c r="Q92" s="1522"/>
      <c r="R92" s="1333"/>
      <c r="S92" s="1805"/>
      <c r="T92" s="1423"/>
      <c r="U92" s="1423"/>
      <c r="V92" s="1423"/>
      <c r="W92" s="1423"/>
      <c r="X92" s="1423"/>
      <c r="Y92" s="1806"/>
      <c r="Z92" s="1807"/>
      <c r="AA92" s="1808"/>
      <c r="AB92" s="1807"/>
      <c r="AC92" s="1807"/>
      <c r="AD92" s="1334"/>
      <c r="AE92" s="1809"/>
      <c r="AF92" s="1809"/>
      <c r="AG92" s="1809"/>
      <c r="AH92" s="1307"/>
      <c r="AI92" s="1307"/>
      <c r="AJ92" s="1307"/>
      <c r="AK92" s="1307"/>
      <c r="AL92" s="1307"/>
      <c r="AM92" s="1307"/>
      <c r="AN92" s="1307"/>
      <c r="AO92" s="1307"/>
      <c r="AP92" s="1307"/>
      <c r="AQ92" s="1422"/>
      <c r="AR92" s="1645"/>
    </row>
    <row r="93" spans="1:44" ht="24" thickBot="1">
      <c r="A93" s="1812">
        <v>91</v>
      </c>
      <c r="B93" s="1784" t="s">
        <v>2960</v>
      </c>
      <c r="C93" s="1514" t="s">
        <v>29</v>
      </c>
      <c r="D93" s="1341">
        <v>60052</v>
      </c>
      <c r="E93" s="1804" t="s">
        <v>3064</v>
      </c>
      <c r="F93" s="1326" t="s">
        <v>3067</v>
      </c>
      <c r="G93" s="1307" t="s">
        <v>2222</v>
      </c>
      <c r="H93" s="1524">
        <v>93668</v>
      </c>
      <c r="I93" s="1267" t="s">
        <v>35</v>
      </c>
      <c r="J93" s="1307" t="s">
        <v>2306</v>
      </c>
      <c r="K93" s="1386">
        <v>45954</v>
      </c>
      <c r="L93" s="1386">
        <v>45954</v>
      </c>
      <c r="M93" s="1386">
        <v>45956</v>
      </c>
      <c r="N93" s="1386">
        <v>45957</v>
      </c>
      <c r="O93" s="1421"/>
      <c r="P93" s="1307"/>
      <c r="Q93" s="1522"/>
      <c r="R93" s="1333"/>
      <c r="S93" s="1805"/>
      <c r="T93" s="1423"/>
      <c r="U93" s="1423"/>
      <c r="V93" s="1423"/>
      <c r="W93" s="1423"/>
      <c r="X93" s="1423"/>
      <c r="Y93" s="1806"/>
      <c r="Z93" s="1807"/>
      <c r="AA93" s="1808"/>
      <c r="AB93" s="1807"/>
      <c r="AC93" s="1807"/>
      <c r="AD93" s="1334"/>
      <c r="AE93" s="1809"/>
      <c r="AF93" s="1809"/>
      <c r="AG93" s="1809"/>
      <c r="AH93" s="1307"/>
      <c r="AI93" s="1307"/>
      <c r="AJ93" s="1307"/>
      <c r="AK93" s="1307"/>
      <c r="AL93" s="1307"/>
      <c r="AM93" s="1307"/>
      <c r="AN93" s="1307"/>
      <c r="AO93" s="1307"/>
      <c r="AP93" s="1307"/>
      <c r="AQ93" s="1422"/>
      <c r="AR93" s="1645"/>
    </row>
    <row r="94" spans="1:44" ht="24" thickBot="1">
      <c r="A94" s="1812">
        <v>92</v>
      </c>
      <c r="B94" s="1784" t="s">
        <v>2960</v>
      </c>
      <c r="C94" s="1514" t="s">
        <v>29</v>
      </c>
      <c r="D94" s="1341">
        <v>60052</v>
      </c>
      <c r="E94" s="1804" t="s">
        <v>3065</v>
      </c>
      <c r="F94" s="1326" t="s">
        <v>3067</v>
      </c>
      <c r="G94" s="1307" t="s">
        <v>2222</v>
      </c>
      <c r="H94" s="1524">
        <v>148332</v>
      </c>
      <c r="I94" s="1267" t="s">
        <v>35</v>
      </c>
      <c r="J94" s="1307" t="s">
        <v>2306</v>
      </c>
      <c r="K94" s="1386">
        <v>45954</v>
      </c>
      <c r="L94" s="1386">
        <v>45954</v>
      </c>
      <c r="M94" s="1386">
        <v>45956</v>
      </c>
      <c r="N94" s="1386">
        <v>45957</v>
      </c>
      <c r="O94" s="1421"/>
      <c r="P94" s="1307"/>
      <c r="Q94" s="1522"/>
      <c r="R94" s="1333"/>
      <c r="S94" s="1805"/>
      <c r="T94" s="1423"/>
      <c r="U94" s="1423"/>
      <c r="V94" s="1423"/>
      <c r="W94" s="1423"/>
      <c r="X94" s="1423"/>
      <c r="Y94" s="1806"/>
      <c r="Z94" s="1807"/>
      <c r="AA94" s="1808"/>
      <c r="AB94" s="1807"/>
      <c r="AC94" s="1807"/>
      <c r="AD94" s="1334"/>
      <c r="AE94" s="1809"/>
      <c r="AF94" s="1809"/>
      <c r="AG94" s="1809"/>
      <c r="AH94" s="1307"/>
      <c r="AI94" s="1307"/>
      <c r="AJ94" s="1307"/>
      <c r="AK94" s="1307"/>
      <c r="AL94" s="1307"/>
      <c r="AM94" s="1307"/>
      <c r="AN94" s="1307"/>
      <c r="AO94" s="1307"/>
      <c r="AP94" s="1307"/>
      <c r="AQ94" s="1422"/>
      <c r="AR94" s="1645"/>
    </row>
    <row r="95" spans="1:44" ht="24" thickBot="1">
      <c r="A95" s="1812">
        <v>93</v>
      </c>
      <c r="B95" s="1784" t="s">
        <v>2960</v>
      </c>
      <c r="C95" s="1514" t="s">
        <v>29</v>
      </c>
      <c r="D95" s="1341">
        <v>60052</v>
      </c>
      <c r="E95" s="1804" t="s">
        <v>3066</v>
      </c>
      <c r="F95" s="1326" t="s">
        <v>3068</v>
      </c>
      <c r="G95" s="1307" t="s">
        <v>2222</v>
      </c>
      <c r="H95" s="1524">
        <v>242000</v>
      </c>
      <c r="I95" s="1267" t="s">
        <v>35</v>
      </c>
      <c r="J95" s="1307" t="s">
        <v>2306</v>
      </c>
      <c r="K95" s="1386">
        <v>45954</v>
      </c>
      <c r="L95" s="1386">
        <v>45954</v>
      </c>
      <c r="M95" s="1386">
        <v>45956</v>
      </c>
      <c r="N95" s="1386">
        <v>45957</v>
      </c>
      <c r="O95" s="1421"/>
      <c r="P95" s="1307"/>
      <c r="Q95" s="1522"/>
      <c r="R95" s="1333"/>
      <c r="S95" s="1805"/>
      <c r="T95" s="1423"/>
      <c r="U95" s="1423"/>
      <c r="V95" s="1423"/>
      <c r="W95" s="1423"/>
      <c r="X95" s="1423"/>
      <c r="Y95" s="1806"/>
      <c r="Z95" s="1807"/>
      <c r="AA95" s="1808"/>
      <c r="AB95" s="1807"/>
      <c r="AC95" s="1807"/>
      <c r="AD95" s="1334"/>
      <c r="AE95" s="1809"/>
      <c r="AF95" s="1809"/>
      <c r="AG95" s="1809"/>
      <c r="AH95" s="1307"/>
      <c r="AI95" s="1307"/>
      <c r="AJ95" s="1307"/>
      <c r="AK95" s="1307"/>
      <c r="AL95" s="1307"/>
      <c r="AM95" s="1307"/>
      <c r="AN95" s="1307"/>
      <c r="AO95" s="1307"/>
      <c r="AP95" s="1307"/>
      <c r="AQ95" s="1422"/>
      <c r="AR95" s="1645"/>
    </row>
    <row r="96" spans="1:44" ht="24" thickBot="1">
      <c r="A96" s="1812">
        <v>94</v>
      </c>
      <c r="B96" s="1784" t="s">
        <v>2507</v>
      </c>
      <c r="C96" s="1514" t="s">
        <v>29</v>
      </c>
      <c r="D96" s="1341">
        <v>60305</v>
      </c>
      <c r="E96" s="1804" t="s">
        <v>3069</v>
      </c>
      <c r="F96" s="1326" t="s">
        <v>3070</v>
      </c>
      <c r="G96" s="1307" t="s">
        <v>3071</v>
      </c>
      <c r="H96" s="1524">
        <v>217757</v>
      </c>
      <c r="I96" s="1267" t="s">
        <v>35</v>
      </c>
      <c r="J96" s="1307" t="s">
        <v>2306</v>
      </c>
      <c r="K96" s="1386">
        <v>45954</v>
      </c>
      <c r="L96" s="1386">
        <v>45954</v>
      </c>
      <c r="M96" s="1386">
        <v>45957</v>
      </c>
      <c r="N96" s="1386">
        <v>45958</v>
      </c>
      <c r="O96" s="1421"/>
      <c r="P96" s="1307"/>
      <c r="Q96" s="1522"/>
      <c r="R96" s="1333"/>
      <c r="S96" s="1805"/>
      <c r="T96" s="1423"/>
      <c r="U96" s="1423"/>
      <c r="V96" s="1423"/>
      <c r="W96" s="1423"/>
      <c r="X96" s="1423"/>
      <c r="Y96" s="1806"/>
      <c r="Z96" s="1807"/>
      <c r="AA96" s="1808"/>
      <c r="AB96" s="1807"/>
      <c r="AC96" s="1807"/>
      <c r="AD96" s="1334"/>
      <c r="AE96" s="1809"/>
      <c r="AF96" s="1809"/>
      <c r="AG96" s="1809"/>
      <c r="AH96" s="1307"/>
      <c r="AI96" s="1307"/>
      <c r="AJ96" s="1307"/>
      <c r="AK96" s="1307"/>
      <c r="AL96" s="1307"/>
      <c r="AM96" s="1307"/>
      <c r="AN96" s="1307"/>
      <c r="AO96" s="1307"/>
      <c r="AP96" s="1307"/>
      <c r="AQ96" s="1422"/>
      <c r="AR96" s="1645"/>
    </row>
    <row r="97" spans="1:44" ht="24" thickBot="1">
      <c r="A97" s="1812">
        <v>95</v>
      </c>
      <c r="B97" s="1784" t="s">
        <v>2507</v>
      </c>
      <c r="C97" s="1514" t="s">
        <v>29</v>
      </c>
      <c r="D97" s="1341">
        <v>60306</v>
      </c>
      <c r="E97" s="1804" t="s">
        <v>3072</v>
      </c>
      <c r="F97" s="1326" t="s">
        <v>3070</v>
      </c>
      <c r="G97" s="1307" t="s">
        <v>3071</v>
      </c>
      <c r="H97" s="1524">
        <v>70210</v>
      </c>
      <c r="I97" s="1267" t="s">
        <v>35</v>
      </c>
      <c r="J97" s="1307" t="s">
        <v>2306</v>
      </c>
      <c r="K97" s="1386">
        <v>45954</v>
      </c>
      <c r="L97" s="1386">
        <v>45954</v>
      </c>
      <c r="M97" s="1386">
        <v>45957</v>
      </c>
      <c r="N97" s="1386">
        <v>45958</v>
      </c>
      <c r="O97" s="1421"/>
      <c r="P97" s="1307"/>
      <c r="Q97" s="1522"/>
      <c r="R97" s="1333"/>
      <c r="S97" s="1805"/>
      <c r="T97" s="1423"/>
      <c r="U97" s="1423"/>
      <c r="V97" s="1423"/>
      <c r="W97" s="1423"/>
      <c r="X97" s="1423"/>
      <c r="Y97" s="1806"/>
      <c r="Z97" s="1807"/>
      <c r="AA97" s="1808"/>
      <c r="AB97" s="1807"/>
      <c r="AC97" s="1807"/>
      <c r="AD97" s="1334"/>
      <c r="AE97" s="1809"/>
      <c r="AF97" s="1809"/>
      <c r="AG97" s="1809"/>
      <c r="AH97" s="1307"/>
      <c r="AI97" s="1307"/>
      <c r="AJ97" s="1307"/>
      <c r="AK97" s="1307"/>
      <c r="AL97" s="1307"/>
      <c r="AM97" s="1307"/>
      <c r="AN97" s="1307"/>
      <c r="AO97" s="1307"/>
      <c r="AP97" s="1307"/>
      <c r="AQ97" s="1422"/>
      <c r="AR97" s="1645"/>
    </row>
    <row r="98" spans="1:44" ht="24" thickBot="1">
      <c r="A98" s="1812">
        <v>96</v>
      </c>
      <c r="B98" s="1784" t="s">
        <v>2507</v>
      </c>
      <c r="C98" s="1514" t="s">
        <v>29</v>
      </c>
      <c r="D98" s="1341">
        <v>60309</v>
      </c>
      <c r="E98" s="1804" t="s">
        <v>1784</v>
      </c>
      <c r="F98" s="1326" t="s">
        <v>3073</v>
      </c>
      <c r="G98" s="1307" t="s">
        <v>3071</v>
      </c>
      <c r="H98" s="1524">
        <v>287967</v>
      </c>
      <c r="I98" s="1267" t="s">
        <v>35</v>
      </c>
      <c r="J98" s="1307" t="s">
        <v>2306</v>
      </c>
      <c r="K98" s="1386">
        <v>45954</v>
      </c>
      <c r="L98" s="1386">
        <v>45954</v>
      </c>
      <c r="M98" s="1386">
        <v>45957</v>
      </c>
      <c r="N98" s="1386">
        <v>45958</v>
      </c>
      <c r="O98" s="1421"/>
      <c r="P98" s="1307"/>
      <c r="Q98" s="1522"/>
      <c r="R98" s="1333"/>
      <c r="S98" s="1805"/>
      <c r="T98" s="1423"/>
      <c r="U98" s="1423"/>
      <c r="V98" s="1423"/>
      <c r="W98" s="1423"/>
      <c r="X98" s="1423"/>
      <c r="Y98" s="1806"/>
      <c r="Z98" s="1807"/>
      <c r="AA98" s="1808"/>
      <c r="AB98" s="1807"/>
      <c r="AC98" s="1807"/>
      <c r="AD98" s="1334"/>
      <c r="AE98" s="1809"/>
      <c r="AF98" s="1809"/>
      <c r="AG98" s="1809"/>
      <c r="AH98" s="1307"/>
      <c r="AI98" s="1307"/>
      <c r="AJ98" s="1307"/>
      <c r="AK98" s="1307"/>
      <c r="AL98" s="1307"/>
      <c r="AM98" s="1307"/>
      <c r="AN98" s="1307"/>
      <c r="AO98" s="1307"/>
      <c r="AP98" s="1307"/>
      <c r="AQ98" s="1422"/>
      <c r="AR98" s="1645"/>
    </row>
    <row r="99" spans="1:44" ht="24" thickBot="1">
      <c r="A99" s="1812">
        <v>97</v>
      </c>
      <c r="B99" s="1784" t="s">
        <v>2507</v>
      </c>
      <c r="C99" s="1514" t="s">
        <v>29</v>
      </c>
      <c r="D99" s="1341">
        <v>60311</v>
      </c>
      <c r="E99" s="1804" t="s">
        <v>3074</v>
      </c>
      <c r="F99" s="1326" t="s">
        <v>3075</v>
      </c>
      <c r="G99" s="1307" t="s">
        <v>3071</v>
      </c>
      <c r="H99" s="1524">
        <v>575934</v>
      </c>
      <c r="I99" s="1267" t="s">
        <v>35</v>
      </c>
      <c r="J99" s="1307" t="s">
        <v>2306</v>
      </c>
      <c r="K99" s="1386">
        <v>45954</v>
      </c>
      <c r="L99" s="1386">
        <v>45954</v>
      </c>
      <c r="M99" s="1386">
        <v>45957</v>
      </c>
      <c r="N99" s="1386">
        <v>45958</v>
      </c>
      <c r="O99" s="1421"/>
      <c r="P99" s="1307"/>
      <c r="Q99" s="1522"/>
      <c r="R99" s="1333"/>
      <c r="S99" s="1805"/>
      <c r="T99" s="1423"/>
      <c r="U99" s="1423"/>
      <c r="V99" s="1423"/>
      <c r="W99" s="1423"/>
      <c r="X99" s="1423"/>
      <c r="Y99" s="1806"/>
      <c r="Z99" s="1807"/>
      <c r="AA99" s="1808"/>
      <c r="AB99" s="1807"/>
      <c r="AC99" s="1807"/>
      <c r="AD99" s="1334"/>
      <c r="AE99" s="1809"/>
      <c r="AF99" s="1809"/>
      <c r="AG99" s="1809"/>
      <c r="AH99" s="1307"/>
      <c r="AI99" s="1307"/>
      <c r="AJ99" s="1307"/>
      <c r="AK99" s="1307"/>
      <c r="AL99" s="1307"/>
      <c r="AM99" s="1307"/>
      <c r="AN99" s="1307"/>
      <c r="AO99" s="1307"/>
      <c r="AP99" s="1307"/>
      <c r="AQ99" s="1422"/>
      <c r="AR99" s="1645"/>
    </row>
    <row r="100" spans="1:44" ht="24" thickBot="1">
      <c r="A100" s="1812">
        <v>98</v>
      </c>
      <c r="B100" s="1784" t="s">
        <v>2507</v>
      </c>
      <c r="C100" s="1514" t="s">
        <v>29</v>
      </c>
      <c r="D100" s="1341">
        <v>60312</v>
      </c>
      <c r="E100" s="2555" t="s">
        <v>3076</v>
      </c>
      <c r="F100" s="1326" t="s">
        <v>3077</v>
      </c>
      <c r="G100" s="1307" t="s">
        <v>3071</v>
      </c>
      <c r="H100" s="2556">
        <v>287967</v>
      </c>
      <c r="I100" s="1267" t="s">
        <v>35</v>
      </c>
      <c r="J100" s="1307" t="s">
        <v>2306</v>
      </c>
      <c r="K100" s="1386">
        <v>45954</v>
      </c>
      <c r="L100" s="1386">
        <v>45954</v>
      </c>
      <c r="M100" s="1386">
        <v>45957</v>
      </c>
      <c r="N100" s="1386">
        <v>45958</v>
      </c>
      <c r="O100" s="2557"/>
      <c r="P100" s="1520"/>
      <c r="Q100" s="1522"/>
      <c r="R100" s="1333"/>
      <c r="S100" s="1805"/>
      <c r="T100" s="1423"/>
      <c r="U100" s="1423"/>
      <c r="V100" s="1423"/>
      <c r="W100" s="1423"/>
      <c r="X100" s="1423"/>
      <c r="Y100" s="1806"/>
      <c r="Z100" s="1807"/>
      <c r="AA100" s="1808"/>
      <c r="AB100" s="1807"/>
      <c r="AC100" s="1807"/>
      <c r="AD100" s="1334"/>
      <c r="AE100" s="1809"/>
      <c r="AF100" s="1809"/>
      <c r="AG100" s="1809"/>
      <c r="AH100" s="1307"/>
      <c r="AI100" s="1307"/>
      <c r="AJ100" s="1307"/>
      <c r="AK100" s="1307"/>
      <c r="AL100" s="1307"/>
      <c r="AM100" s="1307"/>
      <c r="AN100" s="1307"/>
      <c r="AO100" s="1307"/>
      <c r="AP100" s="1307"/>
      <c r="AQ100" s="1422"/>
      <c r="AR100" s="1645"/>
    </row>
    <row r="101" spans="1:44" ht="24" thickBot="1">
      <c r="A101" s="1812">
        <v>99</v>
      </c>
      <c r="B101" s="1784" t="s">
        <v>2507</v>
      </c>
      <c r="C101" s="1514" t="s">
        <v>29</v>
      </c>
      <c r="D101" s="1341">
        <v>60321</v>
      </c>
      <c r="E101" s="2555" t="s">
        <v>3078</v>
      </c>
      <c r="F101" s="1326" t="s">
        <v>3079</v>
      </c>
      <c r="G101" s="1307" t="s">
        <v>3071</v>
      </c>
      <c r="H101" s="2556">
        <v>287967</v>
      </c>
      <c r="I101" s="1267" t="s">
        <v>35</v>
      </c>
      <c r="J101" s="1307" t="s">
        <v>2306</v>
      </c>
      <c r="K101" s="1386">
        <v>45954</v>
      </c>
      <c r="L101" s="1386">
        <v>45954</v>
      </c>
      <c r="M101" s="1386">
        <v>45958</v>
      </c>
      <c r="N101" s="1386">
        <v>45960</v>
      </c>
      <c r="O101" s="2557"/>
      <c r="P101" s="1520"/>
      <c r="Q101" s="1522"/>
      <c r="R101" s="1333"/>
      <c r="S101" s="1805"/>
      <c r="T101" s="1423"/>
      <c r="U101" s="1423"/>
      <c r="V101" s="1423"/>
      <c r="W101" s="1423"/>
      <c r="X101" s="1423"/>
      <c r="Y101" s="1806"/>
      <c r="Z101" s="1807"/>
      <c r="AA101" s="1808"/>
      <c r="AB101" s="1807"/>
      <c r="AC101" s="1807"/>
      <c r="AD101" s="1334"/>
      <c r="AE101" s="1809"/>
      <c r="AF101" s="1809"/>
      <c r="AG101" s="1809"/>
      <c r="AH101" s="1307"/>
      <c r="AI101" s="1307"/>
      <c r="AJ101" s="1307"/>
      <c r="AK101" s="1307"/>
      <c r="AL101" s="1307"/>
      <c r="AM101" s="1307"/>
      <c r="AN101" s="1307"/>
      <c r="AO101" s="1307"/>
      <c r="AP101" s="1307"/>
      <c r="AQ101" s="1422"/>
      <c r="AR101" s="1645"/>
    </row>
    <row r="102" spans="1:44" ht="24" thickBot="1">
      <c r="A102" s="1812">
        <v>100</v>
      </c>
      <c r="B102" s="1784" t="s">
        <v>2507</v>
      </c>
      <c r="C102" s="1514" t="s">
        <v>29</v>
      </c>
      <c r="D102" s="1341">
        <v>60323</v>
      </c>
      <c r="E102" s="2555" t="s">
        <v>3080</v>
      </c>
      <c r="F102" s="1326" t="s">
        <v>3081</v>
      </c>
      <c r="G102" s="1307" t="s">
        <v>3071</v>
      </c>
      <c r="H102" s="2556">
        <v>92377</v>
      </c>
      <c r="I102" s="1267" t="s">
        <v>35</v>
      </c>
      <c r="J102" s="1307" t="s">
        <v>2306</v>
      </c>
      <c r="K102" s="1386">
        <v>45954</v>
      </c>
      <c r="L102" s="1386">
        <v>45954</v>
      </c>
      <c r="M102" s="1386">
        <v>45958</v>
      </c>
      <c r="N102" s="1386">
        <v>45960</v>
      </c>
      <c r="O102" s="2557"/>
      <c r="P102" s="1520"/>
      <c r="Q102" s="1522"/>
      <c r="R102" s="1333"/>
      <c r="S102" s="1805"/>
      <c r="T102" s="1423"/>
      <c r="U102" s="1423"/>
      <c r="V102" s="1423"/>
      <c r="W102" s="1423"/>
      <c r="X102" s="1423"/>
      <c r="Y102" s="1806"/>
      <c r="Z102" s="1807"/>
      <c r="AA102" s="1808"/>
      <c r="AB102" s="1807"/>
      <c r="AC102" s="1807"/>
      <c r="AD102" s="1334"/>
      <c r="AE102" s="1809"/>
      <c r="AF102" s="1809"/>
      <c r="AG102" s="1809"/>
      <c r="AH102" s="1307"/>
      <c r="AI102" s="1307"/>
      <c r="AJ102" s="1307"/>
      <c r="AK102" s="1307"/>
      <c r="AL102" s="1307"/>
      <c r="AM102" s="1307"/>
      <c r="AN102" s="1307"/>
      <c r="AO102" s="1307"/>
      <c r="AP102" s="1307"/>
      <c r="AQ102" s="1422"/>
      <c r="AR102" s="1645"/>
    </row>
    <row r="103" spans="1:44" ht="24" thickBot="1">
      <c r="A103" s="1812">
        <v>101</v>
      </c>
      <c r="B103" s="1784" t="s">
        <v>2507</v>
      </c>
      <c r="C103" s="1514" t="s">
        <v>29</v>
      </c>
      <c r="D103" s="1341">
        <v>60329</v>
      </c>
      <c r="E103" s="2555" t="s">
        <v>3082</v>
      </c>
      <c r="F103" s="1326" t="s">
        <v>3083</v>
      </c>
      <c r="G103" s="1307" t="s">
        <v>3071</v>
      </c>
      <c r="H103" s="2556">
        <v>195590</v>
      </c>
      <c r="I103" s="1267" t="s">
        <v>35</v>
      </c>
      <c r="J103" s="1307" t="s">
        <v>2306</v>
      </c>
      <c r="K103" s="1386">
        <v>45954</v>
      </c>
      <c r="L103" s="1386">
        <v>45954</v>
      </c>
      <c r="M103" s="1386">
        <v>45958</v>
      </c>
      <c r="N103" s="1386">
        <v>45960</v>
      </c>
      <c r="O103" s="2557"/>
      <c r="P103" s="1520"/>
      <c r="Q103" s="1522"/>
      <c r="R103" s="1333"/>
      <c r="S103" s="1805"/>
      <c r="T103" s="1423"/>
      <c r="U103" s="1423"/>
      <c r="V103" s="1423"/>
      <c r="W103" s="1423"/>
      <c r="X103" s="1423"/>
      <c r="Y103" s="1806"/>
      <c r="Z103" s="1807"/>
      <c r="AA103" s="1808"/>
      <c r="AB103" s="1807"/>
      <c r="AC103" s="1807"/>
      <c r="AD103" s="1334"/>
      <c r="AE103" s="1809"/>
      <c r="AF103" s="1809"/>
      <c r="AG103" s="1809"/>
      <c r="AH103" s="1307"/>
      <c r="AI103" s="1307"/>
      <c r="AJ103" s="1307"/>
      <c r="AK103" s="1307"/>
      <c r="AL103" s="1307"/>
      <c r="AM103" s="1307"/>
      <c r="AN103" s="1307"/>
      <c r="AO103" s="1307"/>
      <c r="AP103" s="1307"/>
      <c r="AQ103" s="1422"/>
      <c r="AR103" s="1645"/>
    </row>
    <row r="104" spans="1:44" ht="24" thickBot="1">
      <c r="A104" s="1812">
        <v>102</v>
      </c>
      <c r="B104" s="1784" t="s">
        <v>2507</v>
      </c>
      <c r="C104" s="1514" t="s">
        <v>29</v>
      </c>
      <c r="D104" s="1341">
        <v>60331</v>
      </c>
      <c r="E104" s="1804" t="s">
        <v>3084</v>
      </c>
      <c r="F104" s="1326" t="s">
        <v>3081</v>
      </c>
      <c r="G104" s="1307" t="s">
        <v>3071</v>
      </c>
      <c r="H104" s="1524">
        <v>92377</v>
      </c>
      <c r="I104" s="1267" t="s">
        <v>35</v>
      </c>
      <c r="J104" s="1307" t="s">
        <v>2306</v>
      </c>
      <c r="K104" s="1386">
        <v>45954</v>
      </c>
      <c r="L104" s="1386">
        <v>45954</v>
      </c>
      <c r="M104" s="1386">
        <v>45958</v>
      </c>
      <c r="N104" s="1386">
        <v>45960</v>
      </c>
      <c r="O104" s="1421"/>
      <c r="P104" s="1307"/>
      <c r="Q104" s="1522"/>
      <c r="R104" s="1333"/>
      <c r="S104" s="1805"/>
      <c r="T104" s="1423"/>
      <c r="U104" s="1423"/>
      <c r="V104" s="1423"/>
      <c r="W104" s="1423"/>
      <c r="X104" s="1423"/>
      <c r="Y104" s="1806"/>
      <c r="Z104" s="1807"/>
      <c r="AA104" s="1808"/>
      <c r="AB104" s="1807"/>
      <c r="AC104" s="1807"/>
      <c r="AD104" s="1334"/>
      <c r="AE104" s="1809"/>
      <c r="AF104" s="1809"/>
      <c r="AG104" s="1809"/>
      <c r="AH104" s="1307"/>
      <c r="AI104" s="1307"/>
      <c r="AJ104" s="1307"/>
      <c r="AK104" s="1307"/>
      <c r="AL104" s="1307"/>
      <c r="AM104" s="1307"/>
      <c r="AN104" s="1307"/>
      <c r="AO104" s="1307"/>
      <c r="AP104" s="1307"/>
      <c r="AQ104" s="1422"/>
      <c r="AR104" s="1645"/>
    </row>
    <row r="105" spans="1:44" ht="24" thickBot="1">
      <c r="A105" s="1812">
        <v>103</v>
      </c>
      <c r="B105" s="1784" t="s">
        <v>2507</v>
      </c>
      <c r="C105" s="1514" t="s">
        <v>29</v>
      </c>
      <c r="D105" s="1341">
        <v>60301</v>
      </c>
      <c r="E105" s="1804" t="s">
        <v>3085</v>
      </c>
      <c r="F105" s="1326" t="s">
        <v>3086</v>
      </c>
      <c r="G105" s="1307" t="s">
        <v>3071</v>
      </c>
      <c r="H105" s="1524">
        <v>287967</v>
      </c>
      <c r="I105" s="1267" t="s">
        <v>35</v>
      </c>
      <c r="J105" s="1307" t="s">
        <v>2306</v>
      </c>
      <c r="K105" s="1386">
        <v>45957</v>
      </c>
      <c r="L105" s="1386">
        <v>45957</v>
      </c>
      <c r="M105" s="1386">
        <v>45960</v>
      </c>
      <c r="N105" s="1386">
        <v>45958</v>
      </c>
      <c r="O105" s="1421"/>
      <c r="P105" s="1307"/>
      <c r="Q105" s="1522"/>
      <c r="R105" s="1333"/>
      <c r="S105" s="1805"/>
      <c r="T105" s="1423"/>
      <c r="U105" s="1423"/>
      <c r="V105" s="1423"/>
      <c r="W105" s="1423"/>
      <c r="X105" s="1423"/>
      <c r="Y105" s="1806"/>
      <c r="Z105" s="1807"/>
      <c r="AA105" s="1808"/>
      <c r="AB105" s="1807"/>
      <c r="AC105" s="1807"/>
      <c r="AD105" s="1334"/>
      <c r="AE105" s="1809"/>
      <c r="AF105" s="1809"/>
      <c r="AG105" s="1809"/>
      <c r="AH105" s="1307"/>
      <c r="AI105" s="1307"/>
      <c r="AJ105" s="1307"/>
      <c r="AK105" s="1307"/>
      <c r="AL105" s="1307"/>
      <c r="AM105" s="1307"/>
      <c r="AN105" s="1307"/>
      <c r="AO105" s="1307"/>
      <c r="AP105" s="1307"/>
      <c r="AQ105" s="1422"/>
      <c r="AR105" s="1645"/>
    </row>
    <row r="106" spans="1:44" ht="24" thickBot="1">
      <c r="A106" s="1812">
        <v>104</v>
      </c>
      <c r="B106" s="1784" t="s">
        <v>2507</v>
      </c>
      <c r="C106" s="1514" t="s">
        <v>29</v>
      </c>
      <c r="D106" s="1341">
        <v>60302</v>
      </c>
      <c r="E106" s="1804" t="s">
        <v>3087</v>
      </c>
      <c r="F106" s="1326" t="s">
        <v>3088</v>
      </c>
      <c r="G106" s="1307" t="s">
        <v>3071</v>
      </c>
      <c r="H106" s="1524">
        <v>287967</v>
      </c>
      <c r="I106" s="1267" t="s">
        <v>35</v>
      </c>
      <c r="J106" s="1307" t="s">
        <v>2306</v>
      </c>
      <c r="K106" s="1386">
        <v>45957</v>
      </c>
      <c r="L106" s="1386">
        <v>45957</v>
      </c>
      <c r="M106" s="1386">
        <v>45960</v>
      </c>
      <c r="N106" s="1386">
        <v>45958</v>
      </c>
      <c r="O106" s="1421"/>
      <c r="P106" s="1307"/>
      <c r="Q106" s="1522"/>
      <c r="R106" s="1333"/>
      <c r="S106" s="1805"/>
      <c r="T106" s="1423"/>
      <c r="U106" s="1423"/>
      <c r="V106" s="1423"/>
      <c r="W106" s="1423"/>
      <c r="X106" s="1423"/>
      <c r="Y106" s="1806"/>
      <c r="Z106" s="1807"/>
      <c r="AA106" s="1808"/>
      <c r="AB106" s="1807"/>
      <c r="AC106" s="1807"/>
      <c r="AD106" s="1334"/>
      <c r="AE106" s="1809"/>
      <c r="AF106" s="1809"/>
      <c r="AG106" s="1809"/>
      <c r="AH106" s="1307"/>
      <c r="AI106" s="1307"/>
      <c r="AJ106" s="1307"/>
      <c r="AK106" s="1307"/>
      <c r="AL106" s="1307"/>
      <c r="AM106" s="1307"/>
      <c r="AN106" s="1307"/>
      <c r="AO106" s="1307"/>
      <c r="AP106" s="1307"/>
      <c r="AQ106" s="1422"/>
      <c r="AR106" s="1645"/>
    </row>
    <row r="107" spans="1:44" ht="24" thickBot="1">
      <c r="A107" s="1812">
        <v>105</v>
      </c>
      <c r="B107" s="1784" t="s">
        <v>2507</v>
      </c>
      <c r="C107" s="1514" t="s">
        <v>29</v>
      </c>
      <c r="D107" s="1341">
        <v>60324</v>
      </c>
      <c r="E107" s="1804" t="s">
        <v>1801</v>
      </c>
      <c r="F107" s="1326" t="s">
        <v>3089</v>
      </c>
      <c r="G107" s="1307" t="s">
        <v>3071</v>
      </c>
      <c r="H107" s="1524">
        <v>287967</v>
      </c>
      <c r="I107" s="1267" t="s">
        <v>35</v>
      </c>
      <c r="J107" s="1307" t="s">
        <v>2306</v>
      </c>
      <c r="K107" s="1386">
        <v>45957</v>
      </c>
      <c r="L107" s="1386">
        <v>45957</v>
      </c>
      <c r="M107" s="1386">
        <v>45960</v>
      </c>
      <c r="N107" s="1386">
        <v>45960</v>
      </c>
      <c r="O107" s="1421"/>
      <c r="P107" s="1307"/>
      <c r="Q107" s="1522"/>
      <c r="R107" s="1333"/>
      <c r="S107" s="1805"/>
      <c r="T107" s="1423"/>
      <c r="U107" s="1423"/>
      <c r="V107" s="1423"/>
      <c r="W107" s="1423"/>
      <c r="X107" s="1423"/>
      <c r="Y107" s="1806"/>
      <c r="Z107" s="1807"/>
      <c r="AA107" s="1808"/>
      <c r="AB107" s="1807"/>
      <c r="AC107" s="1807"/>
      <c r="AD107" s="1334"/>
      <c r="AE107" s="1809"/>
      <c r="AF107" s="1809"/>
      <c r="AG107" s="1809"/>
      <c r="AH107" s="1307"/>
      <c r="AI107" s="1307"/>
      <c r="AJ107" s="1307"/>
      <c r="AK107" s="1307"/>
      <c r="AL107" s="1307"/>
      <c r="AM107" s="1307"/>
      <c r="AN107" s="1307"/>
      <c r="AO107" s="1307"/>
      <c r="AP107" s="1307"/>
      <c r="AQ107" s="1422"/>
      <c r="AR107" s="1645"/>
    </row>
    <row r="108" spans="1:44" s="1489" customFormat="1" ht="38.1" customHeight="1" thickBot="1">
      <c r="A108" s="1817" t="s">
        <v>2393</v>
      </c>
      <c r="B108" s="1818"/>
      <c r="C108" s="1818"/>
      <c r="D108" s="1818"/>
      <c r="E108" s="1818"/>
      <c r="F108" s="1818"/>
      <c r="G108" s="1818"/>
      <c r="H108" s="1818"/>
      <c r="I108" s="1818"/>
      <c r="J108" s="1818"/>
      <c r="K108" s="1818"/>
      <c r="L108" s="1818"/>
      <c r="M108" s="1818"/>
      <c r="N108" s="1818"/>
      <c r="O108" s="1818"/>
      <c r="P108" s="1819"/>
      <c r="Q108" s="1798">
        <f>SUM(Q3:Q32)</f>
        <v>102.72742006800001</v>
      </c>
      <c r="R108" s="1798">
        <f t="shared" ref="R108:AG108" si="14">SUM(R3:R32)</f>
        <v>60.949900000000007</v>
      </c>
      <c r="S108" s="1798">
        <f t="shared" si="14"/>
        <v>15.804714879228699</v>
      </c>
      <c r="T108" s="1798">
        <f t="shared" si="14"/>
        <v>6420.0874282821997</v>
      </c>
      <c r="U108" s="1798">
        <f t="shared" si="14"/>
        <v>10040.008295345602</v>
      </c>
      <c r="V108" s="1798">
        <f t="shared" si="14"/>
        <v>715.69478253471357</v>
      </c>
      <c r="W108" s="1798">
        <f t="shared" si="14"/>
        <v>182.09999999999997</v>
      </c>
      <c r="X108" s="1798">
        <f t="shared" si="14"/>
        <v>128.55921727571535</v>
      </c>
      <c r="Y108" s="1798">
        <f t="shared" si="14"/>
        <v>2.2013008251251529</v>
      </c>
      <c r="Z108" s="1798">
        <f t="shared" si="14"/>
        <v>6449.171225000001</v>
      </c>
      <c r="AA108" s="1798">
        <f t="shared" si="14"/>
        <v>394.3</v>
      </c>
      <c r="AB108" s="1798">
        <f t="shared" si="14"/>
        <v>447.94057999999995</v>
      </c>
      <c r="AC108" s="1798">
        <f t="shared" si="14"/>
        <v>130.69584251861971</v>
      </c>
      <c r="AD108" s="1798">
        <f t="shared" si="14"/>
        <v>18.115050332575471</v>
      </c>
      <c r="AE108" s="1798">
        <f t="shared" si="14"/>
        <v>67.350728616293651</v>
      </c>
      <c r="AF108" s="1798">
        <f t="shared" si="14"/>
        <v>66.539174973212184</v>
      </c>
      <c r="AG108" s="1798">
        <f t="shared" si="14"/>
        <v>65.777629098346125</v>
      </c>
      <c r="AH108" s="1802"/>
      <c r="AI108" s="1802"/>
      <c r="AJ108" s="1798">
        <f>AJ3+AJ4+AJ5</f>
        <v>0</v>
      </c>
      <c r="AK108" s="1798">
        <f>SUM(AK3:AK5)</f>
        <v>0</v>
      </c>
      <c r="AL108" s="1798" t="e">
        <f>SUM(#REF!)</f>
        <v>#REF!</v>
      </c>
      <c r="AM108" s="1798">
        <f>SUM(AM3:AM5)</f>
        <v>0</v>
      </c>
      <c r="AN108" s="1798">
        <f>SUM(AN3:AN5)</f>
        <v>0</v>
      </c>
      <c r="AO108" s="1798">
        <f>SUM(AO3:AO5)</f>
        <v>0</v>
      </c>
      <c r="AP108" s="1798">
        <f>SUBTOTAL(9,AP3:AP5)</f>
        <v>0</v>
      </c>
      <c r="AQ108" s="1798">
        <f>SUM(AQ3:AQ5)</f>
        <v>0</v>
      </c>
      <c r="AR108" s="1803"/>
    </row>
    <row r="109" spans="1:44">
      <c r="AO109" s="1115"/>
    </row>
    <row r="112" spans="1:44" ht="21.75" thickBot="1"/>
    <row r="113" spans="2:4">
      <c r="B113" s="1820"/>
      <c r="C113" s="1821"/>
      <c r="D113" s="1775" t="s">
        <v>2891</v>
      </c>
    </row>
    <row r="114" spans="2:4" ht="21.75" thickBot="1">
      <c r="B114" s="1822"/>
      <c r="C114" s="1823"/>
      <c r="D114" s="1776" t="s">
        <v>352</v>
      </c>
    </row>
    <row r="115" spans="2:4">
      <c r="B115" s="1643" t="s">
        <v>2930</v>
      </c>
    </row>
  </sheetData>
  <mergeCells count="28">
    <mergeCell ref="L1:L2"/>
    <mergeCell ref="A1:A2"/>
    <mergeCell ref="B1:B2"/>
    <mergeCell ref="C1:C2"/>
    <mergeCell ref="D1:D2"/>
    <mergeCell ref="E1:E2"/>
    <mergeCell ref="F1:F2"/>
    <mergeCell ref="G1:G2"/>
    <mergeCell ref="H1:H2"/>
    <mergeCell ref="I1:I2"/>
    <mergeCell ref="J1:J2"/>
    <mergeCell ref="K1:K2"/>
    <mergeCell ref="A108:P108"/>
    <mergeCell ref="B113:C113"/>
    <mergeCell ref="B114:C114"/>
    <mergeCell ref="AR1:AR2"/>
    <mergeCell ref="AF1:AF2"/>
    <mergeCell ref="AG1:AG2"/>
    <mergeCell ref="AH1:AH2"/>
    <mergeCell ref="AI1:AI2"/>
    <mergeCell ref="AJ1:AP1"/>
    <mergeCell ref="AQ1:AQ2"/>
    <mergeCell ref="M1:M2"/>
    <mergeCell ref="N1:N2"/>
    <mergeCell ref="O1:O2"/>
    <mergeCell ref="P1:P2"/>
    <mergeCell ref="T1:AB1"/>
    <mergeCell ref="AE1:AE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6"/>
  <sheetViews>
    <sheetView zoomScale="60" zoomScaleNormal="60" workbookViewId="0">
      <pane xSplit="8" topLeftCell="I1" activePane="topRight" state="frozen"/>
      <selection pane="topRight" activeCell="G36" sqref="G36"/>
    </sheetView>
  </sheetViews>
  <sheetFormatPr defaultRowHeight="30.95" customHeight="1"/>
  <cols>
    <col min="1" max="1" width="7.42578125" bestFit="1" customWidth="1"/>
    <col min="2" max="2" width="11.42578125" customWidth="1"/>
    <col min="3" max="3" width="18.5703125" customWidth="1"/>
    <col min="4" max="4" width="10.85546875" bestFit="1" customWidth="1"/>
    <col min="5" max="5" width="17.85546875" bestFit="1" customWidth="1"/>
    <col min="6" max="6" width="48.140625" bestFit="1" customWidth="1"/>
    <col min="7" max="7" width="24.140625" bestFit="1" customWidth="1"/>
    <col min="8" max="8" width="15" customWidth="1"/>
    <col min="9" max="9" width="14.42578125" customWidth="1"/>
    <col min="10" max="10" width="17" bestFit="1" customWidth="1"/>
    <col min="11" max="11" width="17.140625" customWidth="1"/>
    <col min="12" max="12" width="19.42578125" customWidth="1"/>
    <col min="13" max="13" width="23.5703125" customWidth="1"/>
    <col min="14" max="14" width="27.28515625" customWidth="1"/>
    <col min="15" max="15" width="23" customWidth="1"/>
    <col min="16" max="16" width="42.5703125" bestFit="1" customWidth="1"/>
  </cols>
  <sheetData>
    <row r="1" spans="1:16" ht="30.95" customHeight="1">
      <c r="A1" s="1840" t="s">
        <v>0</v>
      </c>
      <c r="B1" s="1842" t="s">
        <v>1</v>
      </c>
      <c r="C1" s="1842" t="s">
        <v>1665</v>
      </c>
      <c r="D1" s="1842" t="s">
        <v>5</v>
      </c>
      <c r="E1" s="1842" t="s">
        <v>3</v>
      </c>
      <c r="F1" s="1842" t="s">
        <v>4</v>
      </c>
      <c r="G1" s="1842" t="s">
        <v>6</v>
      </c>
      <c r="H1" s="1851" t="s">
        <v>2362</v>
      </c>
      <c r="I1" s="1842" t="s">
        <v>11</v>
      </c>
      <c r="J1" s="1842" t="s">
        <v>12</v>
      </c>
      <c r="K1" s="1842" t="s">
        <v>55</v>
      </c>
      <c r="L1" s="1842" t="s">
        <v>15</v>
      </c>
      <c r="M1" s="1842" t="s">
        <v>1884</v>
      </c>
      <c r="N1" s="1842" t="s">
        <v>2928</v>
      </c>
      <c r="O1" s="1844" t="s">
        <v>3032</v>
      </c>
      <c r="P1" s="1846" t="s">
        <v>27</v>
      </c>
    </row>
    <row r="2" spans="1:16" ht="42.6" customHeight="1" thickBot="1">
      <c r="A2" s="1841"/>
      <c r="B2" s="1843"/>
      <c r="C2" s="1843"/>
      <c r="D2" s="1843"/>
      <c r="E2" s="1843"/>
      <c r="F2" s="1843"/>
      <c r="G2" s="1843"/>
      <c r="H2" s="1852"/>
      <c r="I2" s="1843"/>
      <c r="J2" s="1843"/>
      <c r="K2" s="1843"/>
      <c r="L2" s="1843"/>
      <c r="M2" s="1843"/>
      <c r="N2" s="1843"/>
      <c r="O2" s="1845"/>
      <c r="P2" s="1847"/>
    </row>
    <row r="3" spans="1:16" ht="30.95" customHeight="1" thickBot="1">
      <c r="A3" s="1812">
        <v>1</v>
      </c>
      <c r="B3" s="1784" t="s">
        <v>2960</v>
      </c>
      <c r="C3" s="1514" t="s">
        <v>29</v>
      </c>
      <c r="D3" s="1341">
        <v>59481</v>
      </c>
      <c r="E3" s="1804" t="s">
        <v>2992</v>
      </c>
      <c r="F3" s="1326" t="s">
        <v>2996</v>
      </c>
      <c r="G3" s="1307" t="s">
        <v>2222</v>
      </c>
      <c r="H3" s="1814">
        <v>220000</v>
      </c>
      <c r="I3" s="1267" t="s">
        <v>35</v>
      </c>
      <c r="J3" s="1307" t="s">
        <v>2306</v>
      </c>
      <c r="K3" s="1386">
        <v>45930</v>
      </c>
      <c r="L3" s="1386">
        <v>45931</v>
      </c>
      <c r="M3" s="1386">
        <v>45934</v>
      </c>
      <c r="N3" s="1386">
        <v>45944</v>
      </c>
      <c r="O3" s="1421"/>
      <c r="P3" s="1421" t="s">
        <v>3033</v>
      </c>
    </row>
    <row r="4" spans="1:16" ht="30.95" customHeight="1" thickBot="1">
      <c r="A4" s="1812">
        <v>2</v>
      </c>
      <c r="B4" s="1784" t="s">
        <v>2960</v>
      </c>
      <c r="C4" s="1514" t="s">
        <v>29</v>
      </c>
      <c r="D4" s="1341">
        <v>59481</v>
      </c>
      <c r="E4" s="1804" t="s">
        <v>2993</v>
      </c>
      <c r="F4" s="1326" t="s">
        <v>2996</v>
      </c>
      <c r="G4" s="1307" t="s">
        <v>2222</v>
      </c>
      <c r="H4" s="1814">
        <v>22000</v>
      </c>
      <c r="I4" s="1267" t="s">
        <v>35</v>
      </c>
      <c r="J4" s="1307" t="s">
        <v>2306</v>
      </c>
      <c r="K4" s="1386">
        <v>45930</v>
      </c>
      <c r="L4" s="1386">
        <v>45931</v>
      </c>
      <c r="M4" s="1386">
        <v>45934</v>
      </c>
      <c r="N4" s="1386">
        <v>45944</v>
      </c>
      <c r="O4" s="1421"/>
      <c r="P4" s="1421" t="s">
        <v>3033</v>
      </c>
    </row>
    <row r="5" spans="1:16" ht="30.95" customHeight="1" thickBot="1">
      <c r="A5" s="1812">
        <v>3</v>
      </c>
      <c r="B5" s="1784" t="s">
        <v>2960</v>
      </c>
      <c r="C5" s="1514" t="s">
        <v>29</v>
      </c>
      <c r="D5" s="1341">
        <v>59481</v>
      </c>
      <c r="E5" s="1804" t="s">
        <v>2994</v>
      </c>
      <c r="F5" s="1326" t="s">
        <v>2997</v>
      </c>
      <c r="G5" s="1307" t="s">
        <v>2222</v>
      </c>
      <c r="H5" s="1814">
        <v>22000</v>
      </c>
      <c r="I5" s="1267" t="s">
        <v>35</v>
      </c>
      <c r="J5" s="1307" t="s">
        <v>2306</v>
      </c>
      <c r="K5" s="1386">
        <v>45930</v>
      </c>
      <c r="L5" s="1386">
        <v>45931</v>
      </c>
      <c r="M5" s="1386">
        <v>45934</v>
      </c>
      <c r="N5" s="1386">
        <v>45944</v>
      </c>
      <c r="O5" s="1421"/>
      <c r="P5" s="1421" t="s">
        <v>3033</v>
      </c>
    </row>
    <row r="6" spans="1:16" ht="30.95" customHeight="1" thickBot="1">
      <c r="A6" s="1812">
        <v>4</v>
      </c>
      <c r="B6" s="1784" t="s">
        <v>2960</v>
      </c>
      <c r="C6" s="1514" t="s">
        <v>29</v>
      </c>
      <c r="D6" s="1341">
        <v>59481</v>
      </c>
      <c r="E6" s="1804" t="s">
        <v>2995</v>
      </c>
      <c r="F6" s="1326" t="s">
        <v>2997</v>
      </c>
      <c r="G6" s="1307" t="s">
        <v>2222</v>
      </c>
      <c r="H6" s="1814">
        <v>220000</v>
      </c>
      <c r="I6" s="1267" t="s">
        <v>35</v>
      </c>
      <c r="J6" s="1307" t="s">
        <v>2306</v>
      </c>
      <c r="K6" s="1386">
        <v>45930</v>
      </c>
      <c r="L6" s="1386">
        <v>45931</v>
      </c>
      <c r="M6" s="1386">
        <v>45934</v>
      </c>
      <c r="N6" s="1386">
        <v>45944</v>
      </c>
      <c r="O6" s="1421"/>
      <c r="P6" s="1421" t="s">
        <v>3033</v>
      </c>
    </row>
    <row r="7" spans="1:16" ht="30.95" customHeight="1" thickBot="1">
      <c r="A7" s="1812">
        <v>5</v>
      </c>
      <c r="B7" s="1784" t="s">
        <v>2960</v>
      </c>
      <c r="C7" s="1514" t="s">
        <v>29</v>
      </c>
      <c r="D7" s="1341">
        <v>59880</v>
      </c>
      <c r="E7" s="1804" t="s">
        <v>2998</v>
      </c>
      <c r="F7" s="1326" t="s">
        <v>3006</v>
      </c>
      <c r="G7" s="1307" t="s">
        <v>2222</v>
      </c>
      <c r="H7" s="1814">
        <v>202400</v>
      </c>
      <c r="I7" s="1267" t="s">
        <v>35</v>
      </c>
      <c r="J7" s="1307" t="s">
        <v>2306</v>
      </c>
      <c r="K7" s="1386">
        <v>45936</v>
      </c>
      <c r="L7" s="1386">
        <v>45937</v>
      </c>
      <c r="M7" s="1386">
        <v>45941</v>
      </c>
      <c r="N7" s="1386">
        <v>45943</v>
      </c>
      <c r="O7" s="1421"/>
      <c r="P7" s="1421" t="s">
        <v>3033</v>
      </c>
    </row>
    <row r="8" spans="1:16" ht="30.95" customHeight="1" thickBot="1">
      <c r="A8" s="1812">
        <v>6</v>
      </c>
      <c r="B8" s="1784" t="s">
        <v>2960</v>
      </c>
      <c r="C8" s="1514" t="s">
        <v>29</v>
      </c>
      <c r="D8" s="1341">
        <v>59880</v>
      </c>
      <c r="E8" s="1804" t="s">
        <v>2999</v>
      </c>
      <c r="F8" s="1326" t="s">
        <v>3006</v>
      </c>
      <c r="G8" s="1307" t="s">
        <v>2222</v>
      </c>
      <c r="H8" s="1814">
        <v>11000</v>
      </c>
      <c r="I8" s="1267" t="s">
        <v>35</v>
      </c>
      <c r="J8" s="1307" t="s">
        <v>2306</v>
      </c>
      <c r="K8" s="1386">
        <v>45936</v>
      </c>
      <c r="L8" s="1386">
        <v>45937</v>
      </c>
      <c r="M8" s="1386">
        <v>45941</v>
      </c>
      <c r="N8" s="1386">
        <v>45943</v>
      </c>
      <c r="O8" s="1421"/>
      <c r="P8" s="1421" t="s">
        <v>3033</v>
      </c>
    </row>
    <row r="9" spans="1:16" ht="30.95" customHeight="1" thickBot="1">
      <c r="A9" s="1812">
        <v>7</v>
      </c>
      <c r="B9" s="1784" t="s">
        <v>2960</v>
      </c>
      <c r="C9" s="1514" t="s">
        <v>29</v>
      </c>
      <c r="D9" s="1341">
        <v>59880</v>
      </c>
      <c r="E9" s="1804" t="s">
        <v>3000</v>
      </c>
      <c r="F9" s="1326" t="s">
        <v>3006</v>
      </c>
      <c r="G9" s="1307" t="s">
        <v>2222</v>
      </c>
      <c r="H9" s="1814">
        <v>11000</v>
      </c>
      <c r="I9" s="1267" t="s">
        <v>35</v>
      </c>
      <c r="J9" s="1307" t="s">
        <v>2306</v>
      </c>
      <c r="K9" s="1386">
        <v>45936</v>
      </c>
      <c r="L9" s="1386">
        <v>45937</v>
      </c>
      <c r="M9" s="1386">
        <v>45941</v>
      </c>
      <c r="N9" s="1386">
        <v>45943</v>
      </c>
      <c r="O9" s="1421"/>
      <c r="P9" s="1421" t="s">
        <v>3033</v>
      </c>
    </row>
    <row r="10" spans="1:16" ht="30.95" customHeight="1" thickBot="1">
      <c r="A10" s="1812">
        <v>8</v>
      </c>
      <c r="B10" s="1784" t="s">
        <v>2960</v>
      </c>
      <c r="C10" s="1514" t="s">
        <v>29</v>
      </c>
      <c r="D10" s="1341">
        <v>59880</v>
      </c>
      <c r="E10" s="1804" t="s">
        <v>3001</v>
      </c>
      <c r="F10" s="1326" t="s">
        <v>3006</v>
      </c>
      <c r="G10" s="1307" t="s">
        <v>2222</v>
      </c>
      <c r="H10" s="1814">
        <v>17600</v>
      </c>
      <c r="I10" s="1267" t="s">
        <v>35</v>
      </c>
      <c r="J10" s="1307" t="s">
        <v>2306</v>
      </c>
      <c r="K10" s="1386">
        <v>45936</v>
      </c>
      <c r="L10" s="1386">
        <v>45937</v>
      </c>
      <c r="M10" s="1386">
        <v>45941</v>
      </c>
      <c r="N10" s="1386">
        <v>45943</v>
      </c>
      <c r="O10" s="1421"/>
      <c r="P10" s="1421" t="s">
        <v>3033</v>
      </c>
    </row>
    <row r="11" spans="1:16" ht="30.95" customHeight="1" thickBot="1">
      <c r="A11" s="1812">
        <v>9</v>
      </c>
      <c r="B11" s="1784" t="s">
        <v>2960</v>
      </c>
      <c r="C11" s="1514" t="s">
        <v>29</v>
      </c>
      <c r="D11" s="1341">
        <v>59880</v>
      </c>
      <c r="E11" s="1804" t="s">
        <v>3003</v>
      </c>
      <c r="F11" s="1326" t="s">
        <v>3007</v>
      </c>
      <c r="G11" s="1307" t="s">
        <v>2222</v>
      </c>
      <c r="H11" s="1814">
        <v>202400</v>
      </c>
      <c r="I11" s="1267" t="s">
        <v>35</v>
      </c>
      <c r="J11" s="1307" t="s">
        <v>2306</v>
      </c>
      <c r="K11" s="1386">
        <v>45936</v>
      </c>
      <c r="L11" s="1386">
        <v>45937</v>
      </c>
      <c r="M11" s="1386">
        <v>45941</v>
      </c>
      <c r="N11" s="1386">
        <v>45943</v>
      </c>
      <c r="O11" s="1421"/>
      <c r="P11" s="1421" t="s">
        <v>3033</v>
      </c>
    </row>
    <row r="12" spans="1:16" ht="30.95" customHeight="1" thickBot="1">
      <c r="A12" s="1812">
        <v>10</v>
      </c>
      <c r="B12" s="1784" t="s">
        <v>2960</v>
      </c>
      <c r="C12" s="1514" t="s">
        <v>29</v>
      </c>
      <c r="D12" s="1341">
        <v>59880</v>
      </c>
      <c r="E12" s="1804" t="s">
        <v>3004</v>
      </c>
      <c r="F12" s="1326" t="s">
        <v>3007</v>
      </c>
      <c r="G12" s="1307" t="s">
        <v>2222</v>
      </c>
      <c r="H12" s="1814">
        <v>11000</v>
      </c>
      <c r="I12" s="1267" t="s">
        <v>35</v>
      </c>
      <c r="J12" s="1307" t="s">
        <v>2306</v>
      </c>
      <c r="K12" s="1386">
        <v>45936</v>
      </c>
      <c r="L12" s="1386">
        <v>45937</v>
      </c>
      <c r="M12" s="1386">
        <v>45941</v>
      </c>
      <c r="N12" s="1386">
        <v>45943</v>
      </c>
      <c r="O12" s="1421"/>
      <c r="P12" s="1421" t="s">
        <v>3033</v>
      </c>
    </row>
    <row r="13" spans="1:16" ht="30.95" customHeight="1" thickBot="1">
      <c r="A13" s="1812">
        <v>11</v>
      </c>
      <c r="B13" s="1784" t="s">
        <v>2960</v>
      </c>
      <c r="C13" s="1514" t="s">
        <v>29</v>
      </c>
      <c r="D13" s="1341">
        <v>59880</v>
      </c>
      <c r="E13" s="1804" t="s">
        <v>3005</v>
      </c>
      <c r="F13" s="1326" t="s">
        <v>3007</v>
      </c>
      <c r="G13" s="1307" t="s">
        <v>2222</v>
      </c>
      <c r="H13" s="1814">
        <v>11000</v>
      </c>
      <c r="I13" s="1267" t="s">
        <v>35</v>
      </c>
      <c r="J13" s="1307" t="s">
        <v>2306</v>
      </c>
      <c r="K13" s="1386">
        <v>45936</v>
      </c>
      <c r="L13" s="1386">
        <v>45937</v>
      </c>
      <c r="M13" s="1386">
        <v>45941</v>
      </c>
      <c r="N13" s="1386">
        <v>45943</v>
      </c>
      <c r="O13" s="1421"/>
      <c r="P13" s="1421" t="s">
        <v>3033</v>
      </c>
    </row>
    <row r="14" spans="1:16" ht="30.95" customHeight="1" thickBot="1">
      <c r="A14" s="1812">
        <v>12</v>
      </c>
      <c r="B14" s="1784" t="s">
        <v>2960</v>
      </c>
      <c r="C14" s="1514" t="s">
        <v>29</v>
      </c>
      <c r="D14" s="1341">
        <v>59880</v>
      </c>
      <c r="E14" s="1804" t="s">
        <v>3002</v>
      </c>
      <c r="F14" s="1326" t="s">
        <v>3007</v>
      </c>
      <c r="G14" s="1307" t="s">
        <v>2222</v>
      </c>
      <c r="H14" s="1814">
        <v>17600</v>
      </c>
      <c r="I14" s="1267" t="s">
        <v>35</v>
      </c>
      <c r="J14" s="1307" t="s">
        <v>2306</v>
      </c>
      <c r="K14" s="1386">
        <v>45936</v>
      </c>
      <c r="L14" s="1386">
        <v>45937</v>
      </c>
      <c r="M14" s="1386">
        <v>45941</v>
      </c>
      <c r="N14" s="1386">
        <v>45943</v>
      </c>
      <c r="O14" s="1421"/>
      <c r="P14" s="1421" t="s">
        <v>3033</v>
      </c>
    </row>
    <row r="15" spans="1:16" ht="30.95" customHeight="1" thickBot="1">
      <c r="A15" s="1812">
        <v>13</v>
      </c>
      <c r="B15" s="1784" t="s">
        <v>2960</v>
      </c>
      <c r="C15" s="1514" t="s">
        <v>29</v>
      </c>
      <c r="D15" s="1341">
        <v>59265</v>
      </c>
      <c r="E15" s="1804" t="s">
        <v>2974</v>
      </c>
      <c r="F15" s="1326" t="s">
        <v>1872</v>
      </c>
      <c r="G15" s="1307" t="s">
        <v>2222</v>
      </c>
      <c r="H15" s="1524">
        <v>220000</v>
      </c>
      <c r="I15" s="1267" t="s">
        <v>35</v>
      </c>
      <c r="J15" s="1307" t="s">
        <v>2306</v>
      </c>
      <c r="K15" s="1386">
        <v>45938</v>
      </c>
      <c r="L15" s="1386">
        <v>45939</v>
      </c>
      <c r="M15" s="1386">
        <v>45943</v>
      </c>
      <c r="N15" s="1386">
        <v>45945</v>
      </c>
      <c r="O15" s="1421"/>
      <c r="P15" s="1421" t="s">
        <v>3034</v>
      </c>
    </row>
    <row r="16" spans="1:16" ht="30.95" customHeight="1" thickBot="1">
      <c r="A16" s="1812">
        <v>14</v>
      </c>
      <c r="B16" s="1784" t="s">
        <v>2960</v>
      </c>
      <c r="C16" s="1514" t="s">
        <v>29</v>
      </c>
      <c r="D16" s="1341">
        <v>59265</v>
      </c>
      <c r="E16" s="1804" t="s">
        <v>2975</v>
      </c>
      <c r="F16" s="1326" t="s">
        <v>1872</v>
      </c>
      <c r="G16" s="1307" t="s">
        <v>2222</v>
      </c>
      <c r="H16" s="1524">
        <v>22000</v>
      </c>
      <c r="I16" s="1267" t="s">
        <v>35</v>
      </c>
      <c r="J16" s="1307" t="s">
        <v>2306</v>
      </c>
      <c r="K16" s="1386">
        <v>45938</v>
      </c>
      <c r="L16" s="1386">
        <v>45939</v>
      </c>
      <c r="M16" s="1386">
        <v>45943</v>
      </c>
      <c r="N16" s="1386">
        <v>45945</v>
      </c>
      <c r="O16" s="1421"/>
      <c r="P16" s="1421" t="s">
        <v>3034</v>
      </c>
    </row>
    <row r="17" spans="1:16" ht="30.95" customHeight="1" thickBot="1">
      <c r="A17" s="1812">
        <v>15</v>
      </c>
      <c r="B17" s="1784" t="s">
        <v>2960</v>
      </c>
      <c r="C17" s="1514" t="s">
        <v>29</v>
      </c>
      <c r="D17" s="1341">
        <v>59265</v>
      </c>
      <c r="E17" s="1804" t="s">
        <v>2976</v>
      </c>
      <c r="F17" s="1326" t="s">
        <v>1874</v>
      </c>
      <c r="G17" s="1307" t="s">
        <v>2222</v>
      </c>
      <c r="H17" s="1524">
        <v>220000</v>
      </c>
      <c r="I17" s="1267" t="s">
        <v>35</v>
      </c>
      <c r="J17" s="1307" t="s">
        <v>2306</v>
      </c>
      <c r="K17" s="1386">
        <v>45938</v>
      </c>
      <c r="L17" s="1386">
        <v>45939</v>
      </c>
      <c r="M17" s="1386">
        <v>45943</v>
      </c>
      <c r="N17" s="1386">
        <v>45945</v>
      </c>
      <c r="O17" s="1421"/>
      <c r="P17" s="1421" t="s">
        <v>3034</v>
      </c>
    </row>
    <row r="18" spans="1:16" ht="30.95" customHeight="1" thickBot="1">
      <c r="A18" s="1812">
        <v>16</v>
      </c>
      <c r="B18" s="1784" t="s">
        <v>2960</v>
      </c>
      <c r="C18" s="1514" t="s">
        <v>29</v>
      </c>
      <c r="D18" s="1341">
        <v>59265</v>
      </c>
      <c r="E18" s="1804" t="s">
        <v>2977</v>
      </c>
      <c r="F18" s="1326" t="s">
        <v>1874</v>
      </c>
      <c r="G18" s="1307" t="s">
        <v>2222</v>
      </c>
      <c r="H18" s="1524">
        <v>11000</v>
      </c>
      <c r="I18" s="1267" t="s">
        <v>35</v>
      </c>
      <c r="J18" s="1307" t="s">
        <v>2306</v>
      </c>
      <c r="K18" s="1386">
        <v>45938</v>
      </c>
      <c r="L18" s="1386">
        <v>45939</v>
      </c>
      <c r="M18" s="1386">
        <v>45943</v>
      </c>
      <c r="N18" s="1386">
        <v>45945</v>
      </c>
      <c r="O18" s="1421"/>
      <c r="P18" s="1421" t="s">
        <v>3034</v>
      </c>
    </row>
    <row r="19" spans="1:16" ht="30.95" customHeight="1" thickBot="1">
      <c r="A19" s="1812">
        <v>17</v>
      </c>
      <c r="B19" s="1784" t="s">
        <v>2960</v>
      </c>
      <c r="C19" s="1514" t="s">
        <v>29</v>
      </c>
      <c r="D19" s="1341">
        <v>59265</v>
      </c>
      <c r="E19" s="1804" t="s">
        <v>2978</v>
      </c>
      <c r="F19" s="1326" t="s">
        <v>1874</v>
      </c>
      <c r="G19" s="1307" t="s">
        <v>2222</v>
      </c>
      <c r="H19" s="1524">
        <v>11000</v>
      </c>
      <c r="I19" s="1267" t="s">
        <v>35</v>
      </c>
      <c r="J19" s="1307" t="s">
        <v>2306</v>
      </c>
      <c r="K19" s="1386">
        <v>45938</v>
      </c>
      <c r="L19" s="1386">
        <v>45939</v>
      </c>
      <c r="M19" s="1386">
        <v>45943</v>
      </c>
      <c r="N19" s="1386">
        <v>45945</v>
      </c>
      <c r="O19" s="1421"/>
      <c r="P19" s="1421" t="s">
        <v>3034</v>
      </c>
    </row>
    <row r="20" spans="1:16" ht="30.95" customHeight="1" thickBot="1">
      <c r="A20" s="1812">
        <v>18</v>
      </c>
      <c r="B20" s="1784" t="s">
        <v>2960</v>
      </c>
      <c r="C20" s="1514" t="s">
        <v>29</v>
      </c>
      <c r="D20" s="1341">
        <v>59385</v>
      </c>
      <c r="E20" s="1804" t="s">
        <v>3008</v>
      </c>
      <c r="F20" s="1326" t="s">
        <v>3010</v>
      </c>
      <c r="G20" s="1307" t="s">
        <v>2222</v>
      </c>
      <c r="H20" s="1814">
        <v>93668</v>
      </c>
      <c r="I20" s="1267" t="s">
        <v>35</v>
      </c>
      <c r="J20" s="1307" t="s">
        <v>2306</v>
      </c>
      <c r="K20" s="1386">
        <v>45938</v>
      </c>
      <c r="L20" s="1386">
        <v>45939</v>
      </c>
      <c r="M20" s="1386">
        <v>45943</v>
      </c>
      <c r="N20" s="1386">
        <v>45945</v>
      </c>
      <c r="O20" s="1421"/>
      <c r="P20" s="1421"/>
    </row>
    <row r="21" spans="1:16" ht="30.95" customHeight="1" thickBot="1">
      <c r="A21" s="1812">
        <v>19</v>
      </c>
      <c r="B21" s="1784" t="s">
        <v>2960</v>
      </c>
      <c r="C21" s="1514" t="s">
        <v>29</v>
      </c>
      <c r="D21" s="1341">
        <v>59385</v>
      </c>
      <c r="E21" s="1804" t="s">
        <v>3009</v>
      </c>
      <c r="F21" s="1326" t="s">
        <v>3010</v>
      </c>
      <c r="G21" s="1307" t="s">
        <v>2222</v>
      </c>
      <c r="H21" s="1814">
        <v>148332</v>
      </c>
      <c r="I21" s="1267" t="s">
        <v>35</v>
      </c>
      <c r="J21" s="1307" t="s">
        <v>2306</v>
      </c>
      <c r="K21" s="1386">
        <v>45938</v>
      </c>
      <c r="L21" s="1386">
        <v>45939</v>
      </c>
      <c r="M21" s="1386">
        <v>45943</v>
      </c>
      <c r="N21" s="1386">
        <v>45945</v>
      </c>
      <c r="O21" s="1421"/>
      <c r="P21" s="1421"/>
    </row>
    <row r="22" spans="1:16" ht="30.95" customHeight="1" thickBot="1">
      <c r="A22" s="1812">
        <v>20</v>
      </c>
      <c r="B22" s="1784" t="s">
        <v>2960</v>
      </c>
      <c r="C22" s="1514" t="s">
        <v>29</v>
      </c>
      <c r="D22" s="1341">
        <v>59936</v>
      </c>
      <c r="E22" s="1804" t="s">
        <v>3011</v>
      </c>
      <c r="F22" s="1326" t="s">
        <v>3013</v>
      </c>
      <c r="G22" s="1307" t="s">
        <v>2222</v>
      </c>
      <c r="H22" s="1814">
        <v>93668</v>
      </c>
      <c r="I22" s="1267" t="s">
        <v>35</v>
      </c>
      <c r="J22" s="1307" t="s">
        <v>2306</v>
      </c>
      <c r="K22" s="1386">
        <v>45938</v>
      </c>
      <c r="L22" s="1386">
        <v>45939</v>
      </c>
      <c r="M22" s="1386">
        <v>45943</v>
      </c>
      <c r="N22" s="1386">
        <v>45945</v>
      </c>
      <c r="O22" s="1421"/>
      <c r="P22" s="1421"/>
    </row>
    <row r="23" spans="1:16" ht="30.95" customHeight="1" thickBot="1">
      <c r="A23" s="1812">
        <v>21</v>
      </c>
      <c r="B23" s="1784" t="s">
        <v>2960</v>
      </c>
      <c r="C23" s="1514" t="s">
        <v>29</v>
      </c>
      <c r="D23" s="1341">
        <v>59936</v>
      </c>
      <c r="E23" s="1804" t="s">
        <v>3012</v>
      </c>
      <c r="F23" s="1326" t="s">
        <v>3013</v>
      </c>
      <c r="G23" s="1307" t="s">
        <v>2222</v>
      </c>
      <c r="H23" s="1814">
        <v>148332</v>
      </c>
      <c r="I23" s="1267" t="s">
        <v>35</v>
      </c>
      <c r="J23" s="1307" t="s">
        <v>2306</v>
      </c>
      <c r="K23" s="1386">
        <v>45938</v>
      </c>
      <c r="L23" s="1386">
        <v>45939</v>
      </c>
      <c r="M23" s="1386">
        <v>45943</v>
      </c>
      <c r="N23" s="1386">
        <v>45945</v>
      </c>
      <c r="O23" s="1421"/>
      <c r="P23" s="1421"/>
    </row>
    <row r="24" spans="1:16" ht="30.95" customHeight="1" thickBot="1">
      <c r="A24" s="1812">
        <v>22</v>
      </c>
      <c r="B24" s="1784" t="s">
        <v>2960</v>
      </c>
      <c r="C24" s="1514" t="s">
        <v>29</v>
      </c>
      <c r="D24" s="1341">
        <v>59940</v>
      </c>
      <c r="E24" s="1804" t="s">
        <v>3014</v>
      </c>
      <c r="F24" s="1326" t="s">
        <v>3016</v>
      </c>
      <c r="G24" s="1307" t="s">
        <v>2222</v>
      </c>
      <c r="H24" s="1814">
        <v>242000</v>
      </c>
      <c r="I24" s="1267" t="s">
        <v>35</v>
      </c>
      <c r="J24" s="1307" t="s">
        <v>2306</v>
      </c>
      <c r="K24" s="1386">
        <v>45938</v>
      </c>
      <c r="L24" s="1386">
        <v>45939</v>
      </c>
      <c r="M24" s="1386">
        <v>45943</v>
      </c>
      <c r="N24" s="1386">
        <v>45945</v>
      </c>
      <c r="O24" s="1421"/>
      <c r="P24" s="1421"/>
    </row>
    <row r="25" spans="1:16" ht="30.95" customHeight="1" thickBot="1">
      <c r="A25" s="1812">
        <v>23</v>
      </c>
      <c r="B25" s="1784" t="s">
        <v>2960</v>
      </c>
      <c r="C25" s="1514" t="s">
        <v>29</v>
      </c>
      <c r="D25" s="1341">
        <v>59940</v>
      </c>
      <c r="E25" s="1804" t="s">
        <v>3015</v>
      </c>
      <c r="F25" s="1326" t="s">
        <v>3017</v>
      </c>
      <c r="G25" s="1307" t="s">
        <v>2222</v>
      </c>
      <c r="H25" s="1814">
        <v>242000</v>
      </c>
      <c r="I25" s="1267" t="s">
        <v>35</v>
      </c>
      <c r="J25" s="1307" t="s">
        <v>2306</v>
      </c>
      <c r="K25" s="1386">
        <v>45938</v>
      </c>
      <c r="L25" s="1386">
        <v>45939</v>
      </c>
      <c r="M25" s="1386">
        <v>45943</v>
      </c>
      <c r="N25" s="1386">
        <v>45945</v>
      </c>
      <c r="O25" s="1421"/>
      <c r="P25" s="1421"/>
    </row>
    <row r="26" spans="1:16" ht="30.95" customHeight="1" thickBot="1">
      <c r="A26" s="1812">
        <v>24</v>
      </c>
      <c r="B26" s="1784" t="s">
        <v>2960</v>
      </c>
      <c r="C26" s="1514" t="s">
        <v>29</v>
      </c>
      <c r="D26" s="1341">
        <v>59960</v>
      </c>
      <c r="E26" s="1804" t="s">
        <v>3018</v>
      </c>
      <c r="F26" s="1326" t="s">
        <v>3019</v>
      </c>
      <c r="G26" s="1307" t="s">
        <v>2222</v>
      </c>
      <c r="H26" s="1814">
        <v>242000</v>
      </c>
      <c r="I26" s="1267" t="s">
        <v>35</v>
      </c>
      <c r="J26" s="1307" t="s">
        <v>2306</v>
      </c>
      <c r="K26" s="1386">
        <v>45938</v>
      </c>
      <c r="L26" s="1386">
        <v>45939</v>
      </c>
      <c r="M26" s="1386">
        <v>45943</v>
      </c>
      <c r="N26" s="1386">
        <v>45945</v>
      </c>
      <c r="O26" s="1421"/>
      <c r="P26" s="1421"/>
    </row>
    <row r="27" spans="1:16" ht="30.95" customHeight="1" thickBot="1">
      <c r="A27" s="1812">
        <v>25</v>
      </c>
      <c r="B27" s="1784" t="s">
        <v>2960</v>
      </c>
      <c r="C27" s="1514" t="s">
        <v>29</v>
      </c>
      <c r="D27" s="1341">
        <v>59913</v>
      </c>
      <c r="E27" s="1804" t="s">
        <v>3020</v>
      </c>
      <c r="F27" s="1326" t="s">
        <v>3022</v>
      </c>
      <c r="G27" s="1307" t="s">
        <v>2222</v>
      </c>
      <c r="H27" s="1814">
        <v>93668</v>
      </c>
      <c r="I27" s="1267" t="s">
        <v>35</v>
      </c>
      <c r="J27" s="1307" t="s">
        <v>2306</v>
      </c>
      <c r="K27" s="1386">
        <v>45939</v>
      </c>
      <c r="L27" s="1386">
        <v>45939</v>
      </c>
      <c r="M27" s="1386">
        <v>45943</v>
      </c>
      <c r="N27" s="1386">
        <v>45946</v>
      </c>
      <c r="O27" s="1421"/>
      <c r="P27" s="1421"/>
    </row>
    <row r="28" spans="1:16" ht="30.95" customHeight="1" thickBot="1">
      <c r="A28" s="1812">
        <v>26</v>
      </c>
      <c r="B28" s="1784" t="s">
        <v>2960</v>
      </c>
      <c r="C28" s="1514" t="s">
        <v>29</v>
      </c>
      <c r="D28" s="1341">
        <v>59913</v>
      </c>
      <c r="E28" s="1804" t="s">
        <v>3021</v>
      </c>
      <c r="F28" s="1326" t="s">
        <v>3022</v>
      </c>
      <c r="G28" s="1307" t="s">
        <v>2222</v>
      </c>
      <c r="H28" s="1814">
        <v>148332</v>
      </c>
      <c r="I28" s="1267" t="s">
        <v>35</v>
      </c>
      <c r="J28" s="1307" t="s">
        <v>2306</v>
      </c>
      <c r="K28" s="1386">
        <v>45939</v>
      </c>
      <c r="L28" s="1386">
        <v>45939</v>
      </c>
      <c r="M28" s="1386">
        <v>45943</v>
      </c>
      <c r="N28" s="1386">
        <v>45946</v>
      </c>
      <c r="O28" s="1421"/>
      <c r="P28" s="1421"/>
    </row>
    <row r="29" spans="1:16" ht="30.95" customHeight="1" thickBot="1">
      <c r="A29" s="1812">
        <v>27</v>
      </c>
      <c r="B29" s="1784" t="s">
        <v>2960</v>
      </c>
      <c r="C29" s="1514" t="s">
        <v>29</v>
      </c>
      <c r="D29" s="1341">
        <v>59948</v>
      </c>
      <c r="E29" s="1804" t="s">
        <v>3023</v>
      </c>
      <c r="F29" s="1326" t="s">
        <v>3025</v>
      </c>
      <c r="G29" s="1307" t="s">
        <v>2222</v>
      </c>
      <c r="H29" s="1814">
        <v>242000</v>
      </c>
      <c r="I29" s="1267" t="s">
        <v>35</v>
      </c>
      <c r="J29" s="1307" t="s">
        <v>2306</v>
      </c>
      <c r="K29" s="1386">
        <v>45939</v>
      </c>
      <c r="L29" s="1386">
        <v>45939</v>
      </c>
      <c r="M29" s="1386">
        <v>45943</v>
      </c>
      <c r="N29" s="1386">
        <v>45946</v>
      </c>
      <c r="O29" s="1421"/>
      <c r="P29" s="1421"/>
    </row>
    <row r="30" spans="1:16" ht="30.95" customHeight="1" thickBot="1">
      <c r="A30" s="1812">
        <v>28</v>
      </c>
      <c r="B30" s="1784" t="s">
        <v>2960</v>
      </c>
      <c r="C30" s="1514" t="s">
        <v>29</v>
      </c>
      <c r="D30" s="1341">
        <v>59948</v>
      </c>
      <c r="E30" s="1804" t="s">
        <v>3024</v>
      </c>
      <c r="F30" s="1326" t="s">
        <v>3026</v>
      </c>
      <c r="G30" s="1307" t="s">
        <v>2222</v>
      </c>
      <c r="H30" s="1814">
        <v>242000</v>
      </c>
      <c r="I30" s="1267" t="s">
        <v>35</v>
      </c>
      <c r="J30" s="1307" t="s">
        <v>2306</v>
      </c>
      <c r="K30" s="1386">
        <v>45939</v>
      </c>
      <c r="L30" s="1386">
        <v>45939</v>
      </c>
      <c r="M30" s="1386">
        <v>45943</v>
      </c>
      <c r="N30" s="1386">
        <v>45946</v>
      </c>
      <c r="O30" s="1421"/>
      <c r="P30" s="1421"/>
    </row>
    <row r="31" spans="1:16" ht="30.95" customHeight="1" thickBot="1">
      <c r="A31" s="1812">
        <v>29</v>
      </c>
      <c r="B31" s="1784" t="s">
        <v>2960</v>
      </c>
      <c r="C31" s="1514" t="s">
        <v>29</v>
      </c>
      <c r="D31" s="1341">
        <v>59950</v>
      </c>
      <c r="E31" s="1804" t="s">
        <v>3027</v>
      </c>
      <c r="F31" s="1326" t="s">
        <v>3031</v>
      </c>
      <c r="G31" s="1307" t="s">
        <v>2222</v>
      </c>
      <c r="H31" s="1814">
        <v>29040</v>
      </c>
      <c r="I31" s="1267" t="s">
        <v>35</v>
      </c>
      <c r="J31" s="1307" t="s">
        <v>2306</v>
      </c>
      <c r="K31" s="1386">
        <v>45939</v>
      </c>
      <c r="L31" s="1386">
        <v>45939</v>
      </c>
      <c r="M31" s="1386">
        <v>45943</v>
      </c>
      <c r="N31" s="1386">
        <v>45946</v>
      </c>
      <c r="O31" s="1421"/>
      <c r="P31" s="1421"/>
    </row>
    <row r="32" spans="1:16" ht="30.95" customHeight="1" thickBot="1">
      <c r="A32" s="1812">
        <v>30</v>
      </c>
      <c r="B32" s="1784" t="s">
        <v>2960</v>
      </c>
      <c r="C32" s="1514" t="s">
        <v>29</v>
      </c>
      <c r="D32" s="1341">
        <v>59950</v>
      </c>
      <c r="E32" s="1804" t="s">
        <v>3028</v>
      </c>
      <c r="F32" s="1326" t="s">
        <v>3031</v>
      </c>
      <c r="G32" s="1307" t="s">
        <v>2222</v>
      </c>
      <c r="H32" s="1814">
        <v>121000</v>
      </c>
      <c r="I32" s="1267" t="s">
        <v>35</v>
      </c>
      <c r="J32" s="1307" t="s">
        <v>2306</v>
      </c>
      <c r="K32" s="1386">
        <v>45939</v>
      </c>
      <c r="L32" s="1386">
        <v>45939</v>
      </c>
      <c r="M32" s="1386">
        <v>45943</v>
      </c>
      <c r="N32" s="1386">
        <v>45946</v>
      </c>
      <c r="O32" s="1421"/>
      <c r="P32" s="1421"/>
    </row>
    <row r="33" spans="1:16" ht="30.95" customHeight="1" thickBot="1">
      <c r="A33" s="1812">
        <v>31</v>
      </c>
      <c r="B33" s="1784" t="s">
        <v>2960</v>
      </c>
      <c r="C33" s="1514" t="s">
        <v>29</v>
      </c>
      <c r="D33" s="1341">
        <v>59950</v>
      </c>
      <c r="E33" s="1804" t="s">
        <v>3029</v>
      </c>
      <c r="F33" s="1326" t="s">
        <v>3031</v>
      </c>
      <c r="G33" s="1307" t="s">
        <v>2222</v>
      </c>
      <c r="H33" s="1814">
        <v>72600</v>
      </c>
      <c r="I33" s="1267" t="s">
        <v>35</v>
      </c>
      <c r="J33" s="1307" t="s">
        <v>2306</v>
      </c>
      <c r="K33" s="1386">
        <v>45939</v>
      </c>
      <c r="L33" s="1386">
        <v>45939</v>
      </c>
      <c r="M33" s="1386">
        <v>45943</v>
      </c>
      <c r="N33" s="1386">
        <v>45946</v>
      </c>
      <c r="O33" s="1421"/>
      <c r="P33" s="1421"/>
    </row>
    <row r="34" spans="1:16" ht="30.95" customHeight="1" thickBot="1">
      <c r="A34" s="1812">
        <v>32</v>
      </c>
      <c r="B34" s="1784" t="s">
        <v>2960</v>
      </c>
      <c r="C34" s="1514" t="s">
        <v>29</v>
      </c>
      <c r="D34" s="1341">
        <v>59950</v>
      </c>
      <c r="E34" s="1804" t="s">
        <v>3030</v>
      </c>
      <c r="F34" s="1326" t="s">
        <v>3031</v>
      </c>
      <c r="G34" s="1307" t="s">
        <v>2222</v>
      </c>
      <c r="H34" s="1814">
        <v>19360</v>
      </c>
      <c r="I34" s="1267" t="s">
        <v>35</v>
      </c>
      <c r="J34" s="1307" t="s">
        <v>2306</v>
      </c>
      <c r="K34" s="1386">
        <v>45939</v>
      </c>
      <c r="L34" s="1386">
        <v>45939</v>
      </c>
      <c r="M34" s="1386">
        <v>45943</v>
      </c>
      <c r="N34" s="1386">
        <v>45946</v>
      </c>
      <c r="O34" s="1421"/>
      <c r="P34" s="1421"/>
    </row>
    <row r="35" spans="1:16" ht="30.95" customHeight="1" thickBot="1"/>
    <row r="36" spans="1:16" ht="30.95" customHeight="1" thickBot="1">
      <c r="B36" s="1815"/>
      <c r="C36" s="1848" t="s">
        <v>3035</v>
      </c>
      <c r="D36" s="1849"/>
      <c r="E36" s="1849"/>
      <c r="F36" s="1850"/>
      <c r="G36" s="1816" t="s">
        <v>3036</v>
      </c>
    </row>
  </sheetData>
  <mergeCells count="17">
    <mergeCell ref="M1:M2"/>
    <mergeCell ref="N1:N2"/>
    <mergeCell ref="O1:O2"/>
    <mergeCell ref="P1:P2"/>
    <mergeCell ref="C36:F36"/>
    <mergeCell ref="G1:G2"/>
    <mergeCell ref="H1:H2"/>
    <mergeCell ref="I1:I2"/>
    <mergeCell ref="J1:J2"/>
    <mergeCell ref="K1:K2"/>
    <mergeCell ref="L1:L2"/>
    <mergeCell ref="F1:F2"/>
    <mergeCell ref="A1:A2"/>
    <mergeCell ref="B1:B2"/>
    <mergeCell ref="C1:C2"/>
    <mergeCell ref="D1:D2"/>
    <mergeCell ref="E1:E2"/>
  </mergeCells>
  <hyperlinks>
    <hyperlink ref="G36" r:id="rId1"/>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340"/>
  <sheetViews>
    <sheetView showGridLines="0" zoomScale="45" zoomScaleNormal="55" workbookViewId="0">
      <pane xSplit="8" ySplit="2" topLeftCell="AI35" activePane="bottomRight" state="frozen"/>
      <selection activeCell="S37" sqref="S37:S43"/>
      <selection pane="topRight" activeCell="S37" sqref="S37:S43"/>
      <selection pane="bottomLeft" activeCell="S37" sqref="S37:S43"/>
      <selection pane="bottomRight" activeCell="AO243" sqref="AO243"/>
    </sheetView>
  </sheetViews>
  <sheetFormatPr defaultColWidth="9.140625" defaultRowHeight="21"/>
  <cols>
    <col min="1" max="1" width="9.42578125" style="1256" customWidth="1"/>
    <col min="2" max="2" width="17.85546875" style="1256" bestFit="1" customWidth="1"/>
    <col min="3" max="3" width="21.5703125" style="1256" customWidth="1"/>
    <col min="4" max="4" width="33.140625" style="1256" bestFit="1" customWidth="1"/>
    <col min="5" max="5" width="37.85546875" style="1256" bestFit="1" customWidth="1"/>
    <col min="6" max="6" width="53.28515625" style="1256" bestFit="1" customWidth="1"/>
    <col min="7" max="7" width="28.140625" style="1256" customWidth="1"/>
    <col min="8" max="8" width="14.140625" style="1342" bestFit="1" customWidth="1"/>
    <col min="9" max="9" width="9.42578125" style="1256" hidden="1" customWidth="1"/>
    <col min="10" max="10" width="11.5703125" style="1256" hidden="1" customWidth="1"/>
    <col min="11" max="11" width="16.28515625" style="1256" bestFit="1" customWidth="1"/>
    <col min="12" max="12" width="17.85546875" style="1256" hidden="1" customWidth="1"/>
    <col min="13" max="13" width="15.140625" style="1256" hidden="1" customWidth="1"/>
    <col min="14" max="14" width="19.140625" style="1256" hidden="1" customWidth="1"/>
    <col min="15" max="15" width="17.5703125" style="1542" bestFit="1" customWidth="1"/>
    <col min="16" max="16" width="44.5703125" style="1256" bestFit="1" customWidth="1"/>
    <col min="17" max="18" width="16.7109375" style="1343" bestFit="1" customWidth="1"/>
    <col min="19" max="19" width="16.7109375" style="1256" bestFit="1" customWidth="1"/>
    <col min="20" max="20" width="21" style="1256" bestFit="1" customWidth="1"/>
    <col min="21" max="21" width="19.85546875" style="1256" bestFit="1" customWidth="1"/>
    <col min="22" max="23" width="16.140625" style="1256" bestFit="1" customWidth="1"/>
    <col min="24" max="24" width="17" style="1256" bestFit="1" customWidth="1"/>
    <col min="25" max="25" width="15.42578125" style="1256" bestFit="1" customWidth="1"/>
    <col min="26" max="26" width="19.140625" style="1256" bestFit="1" customWidth="1"/>
    <col min="27" max="27" width="32.7109375" style="1256" bestFit="1" customWidth="1"/>
    <col min="28" max="28" width="22" style="1256" bestFit="1" customWidth="1"/>
    <col min="29" max="29" width="20.42578125" style="1256" bestFit="1" customWidth="1"/>
    <col min="30" max="30" width="14.7109375" style="1256" bestFit="1" customWidth="1"/>
    <col min="31" max="33" width="16.140625" style="1256" bestFit="1" customWidth="1"/>
    <col min="34" max="34" width="61" style="1256" bestFit="1" customWidth="1"/>
    <col min="35" max="35" width="16.42578125" style="1256" bestFit="1" customWidth="1"/>
    <col min="36" max="36" width="19.85546875" style="1256" bestFit="1" customWidth="1"/>
    <col min="37" max="37" width="18.5703125" style="1256" customWidth="1"/>
    <col min="38" max="38" width="13.85546875" style="1256" hidden="1" customWidth="1"/>
    <col min="39" max="39" width="16.42578125" style="1256" bestFit="1" customWidth="1"/>
    <col min="40" max="40" width="19" style="1256" customWidth="1"/>
    <col min="41" max="42" width="15.85546875" style="1256" bestFit="1" customWidth="1"/>
    <col min="43" max="43" width="17.5703125" style="1256" bestFit="1" customWidth="1"/>
    <col min="44" max="44" width="12.42578125" style="1256" bestFit="1" customWidth="1"/>
    <col min="45" max="16384" width="9.140625" style="1256"/>
  </cols>
  <sheetData>
    <row r="1" spans="1:44" ht="15.75" customHeight="1">
      <c r="A1" s="1836" t="s">
        <v>0</v>
      </c>
      <c r="B1" s="1826" t="s">
        <v>1</v>
      </c>
      <c r="C1" s="1826" t="s">
        <v>1665</v>
      </c>
      <c r="D1" s="1826" t="s">
        <v>5</v>
      </c>
      <c r="E1" s="1826" t="s">
        <v>3</v>
      </c>
      <c r="F1" s="1826" t="s">
        <v>4</v>
      </c>
      <c r="G1" s="1826" t="s">
        <v>6</v>
      </c>
      <c r="H1" s="1838" t="s">
        <v>2362</v>
      </c>
      <c r="I1" s="1826" t="s">
        <v>11</v>
      </c>
      <c r="J1" s="1826" t="s">
        <v>12</v>
      </c>
      <c r="K1" s="1826" t="s">
        <v>55</v>
      </c>
      <c r="L1" s="1826" t="s">
        <v>15</v>
      </c>
      <c r="M1" s="1826" t="s">
        <v>1884</v>
      </c>
      <c r="N1" s="1826" t="s">
        <v>116</v>
      </c>
      <c r="O1" s="1831" t="s">
        <v>1239</v>
      </c>
      <c r="P1" s="1826" t="s">
        <v>1215</v>
      </c>
      <c r="Q1" s="1254"/>
      <c r="R1" s="1254"/>
      <c r="S1" s="1255"/>
      <c r="T1" s="1833" t="s">
        <v>349</v>
      </c>
      <c r="U1" s="1834"/>
      <c r="V1" s="1834"/>
      <c r="W1" s="1834"/>
      <c r="X1" s="1834"/>
      <c r="Y1" s="1834"/>
      <c r="Z1" s="1834"/>
      <c r="AA1" s="1834"/>
      <c r="AB1" s="1835"/>
      <c r="AC1" s="1255"/>
      <c r="AD1" s="1255"/>
      <c r="AE1" s="1826" t="s">
        <v>24</v>
      </c>
      <c r="AF1" s="1826" t="s">
        <v>25</v>
      </c>
      <c r="AG1" s="1826" t="s">
        <v>26</v>
      </c>
      <c r="AH1" s="1826" t="s">
        <v>1554</v>
      </c>
      <c r="AI1" s="1826" t="s">
        <v>27</v>
      </c>
      <c r="AJ1" s="1828" t="s">
        <v>1583</v>
      </c>
      <c r="AK1" s="1829"/>
      <c r="AL1" s="1829"/>
      <c r="AM1" s="1829"/>
      <c r="AN1" s="1829"/>
      <c r="AO1" s="1829"/>
      <c r="AP1" s="1830"/>
      <c r="AQ1" s="1824" t="s">
        <v>2890</v>
      </c>
      <c r="AR1" s="1824" t="s">
        <v>23</v>
      </c>
    </row>
    <row r="2" spans="1:44" ht="105.75" thickBot="1">
      <c r="A2" s="1837"/>
      <c r="B2" s="1827"/>
      <c r="C2" s="1827"/>
      <c r="D2" s="1827"/>
      <c r="E2" s="1827"/>
      <c r="F2" s="1827"/>
      <c r="G2" s="1827"/>
      <c r="H2" s="1839"/>
      <c r="I2" s="1827"/>
      <c r="J2" s="1827"/>
      <c r="K2" s="1827"/>
      <c r="L2" s="1827"/>
      <c r="M2" s="1827"/>
      <c r="N2" s="1827"/>
      <c r="O2" s="1832"/>
      <c r="P2" s="1827"/>
      <c r="Q2" s="1257" t="s">
        <v>2396</v>
      </c>
      <c r="R2" s="1257" t="s">
        <v>2397</v>
      </c>
      <c r="S2" s="1258" t="s">
        <v>2398</v>
      </c>
      <c r="T2" s="1259" t="s">
        <v>2238</v>
      </c>
      <c r="U2" s="1259" t="s">
        <v>1240</v>
      </c>
      <c r="V2" s="1258" t="s">
        <v>249</v>
      </c>
      <c r="W2" s="1258" t="s">
        <v>2394</v>
      </c>
      <c r="X2" s="1258" t="s">
        <v>2395</v>
      </c>
      <c r="Y2" s="1258" t="s">
        <v>2385</v>
      </c>
      <c r="Z2" s="1259" t="s">
        <v>2383</v>
      </c>
      <c r="AA2" s="1259" t="s">
        <v>2387</v>
      </c>
      <c r="AB2" s="1259" t="s">
        <v>2386</v>
      </c>
      <c r="AC2" s="1258" t="s">
        <v>19</v>
      </c>
      <c r="AD2" s="1258" t="s">
        <v>2384</v>
      </c>
      <c r="AE2" s="1827"/>
      <c r="AF2" s="1827"/>
      <c r="AG2" s="1827"/>
      <c r="AH2" s="1827"/>
      <c r="AI2" s="1827"/>
      <c r="AJ2" s="1258" t="s">
        <v>1582</v>
      </c>
      <c r="AK2" s="1259" t="s">
        <v>168</v>
      </c>
      <c r="AL2" s="1259" t="s">
        <v>169</v>
      </c>
      <c r="AM2" s="1259" t="s">
        <v>350</v>
      </c>
      <c r="AN2" s="1258" t="s">
        <v>24</v>
      </c>
      <c r="AO2" s="1258" t="s">
        <v>25</v>
      </c>
      <c r="AP2" s="1258" t="s">
        <v>26</v>
      </c>
      <c r="AQ2" s="1825"/>
      <c r="AR2" s="1825"/>
    </row>
    <row r="3" spans="1:44">
      <c r="A3" s="1582">
        <v>1</v>
      </c>
      <c r="B3" s="1700" t="s">
        <v>2300</v>
      </c>
      <c r="C3" s="1347" t="s">
        <v>29</v>
      </c>
      <c r="D3" s="1490" t="s">
        <v>2301</v>
      </c>
      <c r="E3" s="1490" t="s">
        <v>2302</v>
      </c>
      <c r="F3" s="1491" t="s">
        <v>2303</v>
      </c>
      <c r="G3" s="1347" t="s">
        <v>2222</v>
      </c>
      <c r="H3" s="1492">
        <v>42000</v>
      </c>
      <c r="I3" s="1348" t="s">
        <v>35</v>
      </c>
      <c r="J3" s="1348" t="s">
        <v>2306</v>
      </c>
      <c r="K3" s="1347" t="s">
        <v>2307</v>
      </c>
      <c r="L3" s="1347" t="s">
        <v>2307</v>
      </c>
      <c r="M3" s="1347" t="s">
        <v>2309</v>
      </c>
      <c r="N3" s="1347" t="s">
        <v>2308</v>
      </c>
      <c r="O3" s="1525">
        <v>45433</v>
      </c>
      <c r="P3" s="1347" t="s">
        <v>2379</v>
      </c>
      <c r="Q3" s="1623">
        <v>1.7230000000000001</v>
      </c>
      <c r="R3" s="1623">
        <v>1.028</v>
      </c>
      <c r="S3" s="1498">
        <f>R3/Q3</f>
        <v>0.59663377829367381</v>
      </c>
      <c r="T3" s="1496">
        <v>110.23824350640001</v>
      </c>
      <c r="U3" s="1496">
        <v>152.46365539631498</v>
      </c>
      <c r="V3" s="1496">
        <v>9.5516654381279995</v>
      </c>
      <c r="W3" s="1496"/>
      <c r="X3" s="1496"/>
      <c r="Y3" s="1701">
        <f t="shared" ref="Y3:Y11" si="0">V3/(U3-W3-X3)</f>
        <v>6.2648802518208951E-2</v>
      </c>
      <c r="Z3" s="1496">
        <v>155.09425845375</v>
      </c>
      <c r="AA3" s="1496">
        <v>7</v>
      </c>
      <c r="AB3" s="1496">
        <v>6.4640168999999998</v>
      </c>
      <c r="AC3" s="1496">
        <f t="shared" ref="AC3:AC21" si="1">U3*H3/10^7</f>
        <v>0.64034735266452292</v>
      </c>
      <c r="AD3" s="1498">
        <f>T3/(U3-W3-X3)</f>
        <v>0.72304604805549255</v>
      </c>
      <c r="AE3" s="1496">
        <v>0.76</v>
      </c>
      <c r="AF3" s="1496">
        <v>0.76</v>
      </c>
      <c r="AG3" s="1496">
        <v>0.75</v>
      </c>
      <c r="AH3" s="1347"/>
      <c r="AI3" s="1347"/>
      <c r="AJ3" s="1347"/>
      <c r="AK3" s="1347"/>
      <c r="AL3" s="1347"/>
      <c r="AM3" s="1347"/>
      <c r="AN3" s="1347"/>
      <c r="AO3" s="1347"/>
      <c r="AP3" s="1347"/>
      <c r="AQ3" s="1623">
        <f>AJ3*H3/10^7</f>
        <v>0</v>
      </c>
      <c r="AR3" s="1350"/>
    </row>
    <row r="4" spans="1:44" ht="21.75" thickBot="1">
      <c r="A4" s="1521">
        <v>2</v>
      </c>
      <c r="B4" s="1513" t="s">
        <v>2300</v>
      </c>
      <c r="C4" s="1263" t="s">
        <v>29</v>
      </c>
      <c r="D4" s="1458" t="s">
        <v>2301</v>
      </c>
      <c r="E4" s="1458" t="s">
        <v>2304</v>
      </c>
      <c r="F4" s="1316" t="s">
        <v>2305</v>
      </c>
      <c r="G4" s="1263" t="s">
        <v>2222</v>
      </c>
      <c r="H4" s="1264">
        <v>42000</v>
      </c>
      <c r="I4" s="1265" t="s">
        <v>35</v>
      </c>
      <c r="J4" s="1265" t="s">
        <v>2306</v>
      </c>
      <c r="K4" s="1263" t="s">
        <v>2307</v>
      </c>
      <c r="L4" s="1263" t="s">
        <v>2307</v>
      </c>
      <c r="M4" s="1263" t="s">
        <v>2309</v>
      </c>
      <c r="N4" s="1263" t="s">
        <v>2308</v>
      </c>
      <c r="O4" s="1404">
        <v>45433</v>
      </c>
      <c r="P4" s="1263" t="s">
        <v>2379</v>
      </c>
      <c r="Q4" s="1383">
        <v>1.7230000000000001</v>
      </c>
      <c r="R4" s="1383">
        <v>1.028</v>
      </c>
      <c r="S4" s="1284">
        <f>R4/Q4</f>
        <v>0.59663377829367381</v>
      </c>
      <c r="T4" s="1384">
        <v>110.23824350640001</v>
      </c>
      <c r="U4" s="1384">
        <v>152.46365539631498</v>
      </c>
      <c r="V4" s="1384">
        <v>9.5516654381279995</v>
      </c>
      <c r="W4" s="1384"/>
      <c r="X4" s="1384"/>
      <c r="Y4" s="1385">
        <f t="shared" si="0"/>
        <v>6.2648802518208951E-2</v>
      </c>
      <c r="Z4" s="1384">
        <v>155.09425845375</v>
      </c>
      <c r="AA4" s="1384">
        <v>7</v>
      </c>
      <c r="AB4" s="1384">
        <v>6.4640168999999998</v>
      </c>
      <c r="AC4" s="1384">
        <f t="shared" si="1"/>
        <v>0.64034735266452292</v>
      </c>
      <c r="AD4" s="1284">
        <f t="shared" ref="AD4:AD35" si="2">T4/(U4-W4-X4)</f>
        <v>0.72304604805549255</v>
      </c>
      <c r="AE4" s="1384">
        <v>0.76</v>
      </c>
      <c r="AF4" s="1384">
        <v>0.76</v>
      </c>
      <c r="AG4" s="1384">
        <v>0.75</v>
      </c>
      <c r="AH4" s="1263"/>
      <c r="AI4" s="1263"/>
      <c r="AJ4" s="1263"/>
      <c r="AK4" s="1263"/>
      <c r="AL4" s="1263"/>
      <c r="AM4" s="1263"/>
      <c r="AN4" s="1263"/>
      <c r="AO4" s="1263"/>
      <c r="AP4" s="1263"/>
      <c r="AQ4" s="1383">
        <f t="shared" ref="AQ4:AQ67" si="3">AJ4*H4/10^7</f>
        <v>0</v>
      </c>
      <c r="AR4" s="1266"/>
    </row>
    <row r="5" spans="1:44" ht="21.75" thickBot="1">
      <c r="A5" s="1521">
        <v>3</v>
      </c>
      <c r="B5" s="1516" t="s">
        <v>2300</v>
      </c>
      <c r="C5" s="1471" t="s">
        <v>29</v>
      </c>
      <c r="D5" s="1472" t="s">
        <v>2310</v>
      </c>
      <c r="E5" s="1472" t="s">
        <v>2311</v>
      </c>
      <c r="F5" s="1483" t="s">
        <v>2325</v>
      </c>
      <c r="G5" s="1471" t="s">
        <v>2222</v>
      </c>
      <c r="H5" s="1473">
        <v>137769</v>
      </c>
      <c r="I5" s="1474" t="s">
        <v>35</v>
      </c>
      <c r="J5" s="1474" t="s">
        <v>2306</v>
      </c>
      <c r="K5" s="1471" t="s">
        <v>2307</v>
      </c>
      <c r="L5" s="1471" t="s">
        <v>2307</v>
      </c>
      <c r="M5" s="1471" t="s">
        <v>2309</v>
      </c>
      <c r="N5" s="1471" t="s">
        <v>2308</v>
      </c>
      <c r="O5" s="1534">
        <v>45433</v>
      </c>
      <c r="P5" s="1471" t="s">
        <v>2379</v>
      </c>
      <c r="Q5" s="1476">
        <v>1.27</v>
      </c>
      <c r="R5" s="1476">
        <v>0.79100000000000004</v>
      </c>
      <c r="S5" s="1477">
        <f>R5/Q5</f>
        <v>0.62283464566929136</v>
      </c>
      <c r="T5" s="1478">
        <v>82.698068754560012</v>
      </c>
      <c r="U5" s="1478">
        <v>135.69116529403377</v>
      </c>
      <c r="V5" s="1478">
        <v>11.400964837408557</v>
      </c>
      <c r="W5" s="1478"/>
      <c r="X5" s="1478"/>
      <c r="Y5" s="1702">
        <f t="shared" si="0"/>
        <v>8.4021423301240142E-2</v>
      </c>
      <c r="Z5" s="1478">
        <v>230.49114164999997</v>
      </c>
      <c r="AA5" s="1478">
        <v>8</v>
      </c>
      <c r="AB5" s="1478">
        <v>8.4126590000000014</v>
      </c>
      <c r="AC5" s="1478">
        <f t="shared" si="1"/>
        <v>1.8694036151393738</v>
      </c>
      <c r="AD5" s="1477">
        <f t="shared" si="2"/>
        <v>0.6094580186953128</v>
      </c>
      <c r="AE5" s="1478">
        <v>0.67845582647016889</v>
      </c>
      <c r="AF5" s="1478">
        <v>0.67506354733781804</v>
      </c>
      <c r="AG5" s="1478">
        <v>0.67168822960112895</v>
      </c>
      <c r="AH5" s="1471"/>
      <c r="AI5" s="1471"/>
      <c r="AJ5" s="1471"/>
      <c r="AK5" s="1471"/>
      <c r="AL5" s="1471"/>
      <c r="AM5" s="1471"/>
      <c r="AN5" s="1471"/>
      <c r="AO5" s="1471"/>
      <c r="AP5" s="1574"/>
      <c r="AQ5" s="1476">
        <f t="shared" si="3"/>
        <v>0</v>
      </c>
      <c r="AR5" s="1613"/>
    </row>
    <row r="6" spans="1:44">
      <c r="A6" s="1521">
        <v>4</v>
      </c>
      <c r="B6" s="1700" t="s">
        <v>2300</v>
      </c>
      <c r="C6" s="1347" t="s">
        <v>29</v>
      </c>
      <c r="D6" s="1490" t="s">
        <v>2312</v>
      </c>
      <c r="E6" s="1490" t="s">
        <v>2313</v>
      </c>
      <c r="F6" s="1491" t="s">
        <v>2317</v>
      </c>
      <c r="G6" s="1347" t="s">
        <v>2222</v>
      </c>
      <c r="H6" s="1492">
        <v>149150</v>
      </c>
      <c r="I6" s="1348" t="s">
        <v>35</v>
      </c>
      <c r="J6" s="1348" t="s">
        <v>2306</v>
      </c>
      <c r="K6" s="1347" t="s">
        <v>2307</v>
      </c>
      <c r="L6" s="1347" t="s">
        <v>2307</v>
      </c>
      <c r="M6" s="1347" t="s">
        <v>2309</v>
      </c>
      <c r="N6" s="1347" t="s">
        <v>2308</v>
      </c>
      <c r="O6" s="1525">
        <v>45435</v>
      </c>
      <c r="P6" s="1347" t="s">
        <v>2379</v>
      </c>
      <c r="Q6" s="1623">
        <v>3.8559999999999999</v>
      </c>
      <c r="R6" s="1623">
        <v>2.1859999999999999</v>
      </c>
      <c r="S6" s="1498">
        <f>R6/Q6</f>
        <v>0.56690871369294604</v>
      </c>
      <c r="T6" s="1496">
        <v>242.78766416200003</v>
      </c>
      <c r="U6" s="1496">
        <v>383.4868256828355</v>
      </c>
      <c r="V6" s="1496">
        <f>28.2152895474257</f>
        <v>28.215289547425701</v>
      </c>
      <c r="W6" s="1496">
        <v>7.385814382383824</v>
      </c>
      <c r="X6" s="1496">
        <v>7.5104928371007666</v>
      </c>
      <c r="Y6" s="1701">
        <f t="shared" si="0"/>
        <v>7.6549146367233964E-2</v>
      </c>
      <c r="Z6" s="1496">
        <v>430.95780769965</v>
      </c>
      <c r="AA6" s="1496">
        <v>70.75</v>
      </c>
      <c r="AB6" s="1496">
        <v>16.319333159999999</v>
      </c>
      <c r="AC6" s="1496">
        <f t="shared" si="1"/>
        <v>5.7197060050594919</v>
      </c>
      <c r="AD6" s="1498">
        <f t="shared" si="2"/>
        <v>0.65869210411102985</v>
      </c>
      <c r="AE6" s="1496">
        <v>3.8348682568283552</v>
      </c>
      <c r="AF6" s="1496">
        <v>3.7965195742600715</v>
      </c>
      <c r="AG6" s="1496">
        <v>3.7585543785174709</v>
      </c>
      <c r="AH6" s="1347"/>
      <c r="AI6" s="1347"/>
      <c r="AJ6" s="1347"/>
      <c r="AK6" s="1347"/>
      <c r="AL6" s="1347"/>
      <c r="AM6" s="1347"/>
      <c r="AN6" s="1347"/>
      <c r="AO6" s="1347"/>
      <c r="AP6" s="1347"/>
      <c r="AQ6" s="1623">
        <f t="shared" si="3"/>
        <v>0</v>
      </c>
      <c r="AR6" s="1350"/>
    </row>
    <row r="7" spans="1:44">
      <c r="A7" s="1521">
        <v>5</v>
      </c>
      <c r="B7" s="1515" t="s">
        <v>2300</v>
      </c>
      <c r="C7" s="1270" t="s">
        <v>29</v>
      </c>
      <c r="D7" s="1448" t="s">
        <v>2312</v>
      </c>
      <c r="E7" s="1448" t="s">
        <v>2314</v>
      </c>
      <c r="F7" s="1315" t="s">
        <v>2318</v>
      </c>
      <c r="G7" s="1270" t="s">
        <v>2222</v>
      </c>
      <c r="H7" s="1271">
        <v>23061</v>
      </c>
      <c r="I7" s="1272" t="s">
        <v>35</v>
      </c>
      <c r="J7" s="1272" t="s">
        <v>2306</v>
      </c>
      <c r="K7" s="1270" t="s">
        <v>2307</v>
      </c>
      <c r="L7" s="1270" t="s">
        <v>2307</v>
      </c>
      <c r="M7" s="1270" t="s">
        <v>2309</v>
      </c>
      <c r="N7" s="1270" t="s">
        <v>2308</v>
      </c>
      <c r="O7" s="1533" t="s">
        <v>2378</v>
      </c>
      <c r="P7" s="1270" t="s">
        <v>2379</v>
      </c>
      <c r="Q7" s="1390"/>
      <c r="R7" s="1390"/>
      <c r="S7" s="1281"/>
      <c r="T7" s="1391">
        <v>229.21480662200003</v>
      </c>
      <c r="U7" s="1391">
        <v>348.02713997350429</v>
      </c>
      <c r="V7" s="1391">
        <f>23.8491349589513</f>
        <v>23.8491349589513</v>
      </c>
      <c r="W7" s="1391">
        <v>7.385814382383824</v>
      </c>
      <c r="X7" s="1391">
        <v>6.2716157709122022</v>
      </c>
      <c r="Y7" s="1392">
        <f t="shared" si="0"/>
        <v>7.1325644215126618E-2</v>
      </c>
      <c r="Z7" s="1391"/>
      <c r="AA7" s="1391">
        <v>0</v>
      </c>
      <c r="AB7" s="1391"/>
      <c r="AC7" s="1391">
        <f t="shared" si="1"/>
        <v>0.80258538749289821</v>
      </c>
      <c r="AD7" s="1281">
        <f t="shared" si="2"/>
        <v>0.6855130709813686</v>
      </c>
      <c r="AE7" s="1391">
        <v>3.480271399735043</v>
      </c>
      <c r="AF7" s="1391">
        <v>3.4454686857376924</v>
      </c>
      <c r="AG7" s="1391">
        <v>3.4110139988803154</v>
      </c>
      <c r="AH7" s="1270"/>
      <c r="AI7" s="1270"/>
      <c r="AJ7" s="1270"/>
      <c r="AK7" s="1270"/>
      <c r="AL7" s="1270"/>
      <c r="AM7" s="1270"/>
      <c r="AN7" s="1270"/>
      <c r="AO7" s="1270"/>
      <c r="AP7" s="1270"/>
      <c r="AQ7" s="1390">
        <f t="shared" si="3"/>
        <v>0</v>
      </c>
      <c r="AR7" s="1624"/>
    </row>
    <row r="8" spans="1:44">
      <c r="A8" s="1521">
        <v>6</v>
      </c>
      <c r="B8" s="1515" t="s">
        <v>2300</v>
      </c>
      <c r="C8" s="1270" t="s">
        <v>29</v>
      </c>
      <c r="D8" s="1448" t="s">
        <v>2312</v>
      </c>
      <c r="E8" s="1448" t="s">
        <v>2315</v>
      </c>
      <c r="F8" s="1315" t="s">
        <v>2319</v>
      </c>
      <c r="G8" s="1270" t="s">
        <v>2222</v>
      </c>
      <c r="H8" s="1273">
        <v>149150</v>
      </c>
      <c r="I8" s="1272" t="s">
        <v>35</v>
      </c>
      <c r="J8" s="1272" t="s">
        <v>2306</v>
      </c>
      <c r="K8" s="1270" t="s">
        <v>2307</v>
      </c>
      <c r="L8" s="1270" t="s">
        <v>2307</v>
      </c>
      <c r="M8" s="1270" t="s">
        <v>2309</v>
      </c>
      <c r="N8" s="1270" t="s">
        <v>2308</v>
      </c>
      <c r="O8" s="1533" t="s">
        <v>2378</v>
      </c>
      <c r="P8" s="1270" t="s">
        <v>2379</v>
      </c>
      <c r="Q8" s="1390">
        <v>3.6059999999999999</v>
      </c>
      <c r="R8" s="1390">
        <v>2.028</v>
      </c>
      <c r="S8" s="1281">
        <f>R8/Q8</f>
        <v>0.5623960066555741</v>
      </c>
      <c r="T8" s="1391">
        <v>229.81798662200001</v>
      </c>
      <c r="U8" s="1391">
        <v>349.13420295150422</v>
      </c>
      <c r="V8" s="1391">
        <f>23.9486985589513</f>
        <v>23.9486985589513</v>
      </c>
      <c r="W8" s="1391">
        <v>7.385814382383824</v>
      </c>
      <c r="X8" s="1391">
        <v>6.3001374489122037</v>
      </c>
      <c r="Y8" s="1392">
        <f t="shared" si="0"/>
        <v>7.1393123913975218E-2</v>
      </c>
      <c r="Z8" s="1391">
        <v>390.35358313874997</v>
      </c>
      <c r="AA8" s="1391">
        <v>58.75</v>
      </c>
      <c r="AB8" s="1391">
        <v>16.319333159999999</v>
      </c>
      <c r="AC8" s="1391">
        <f t="shared" si="1"/>
        <v>5.2073366370216858</v>
      </c>
      <c r="AD8" s="1281">
        <f t="shared" si="2"/>
        <v>0.68510712413773933</v>
      </c>
      <c r="AE8" s="1391">
        <v>3.4913420295150428</v>
      </c>
      <c r="AF8" s="1391">
        <v>3.4564286092198921</v>
      </c>
      <c r="AG8" s="1391">
        <v>3.4218643231276933</v>
      </c>
      <c r="AH8" s="1270"/>
      <c r="AI8" s="1270"/>
      <c r="AJ8" s="1270"/>
      <c r="AK8" s="1270"/>
      <c r="AL8" s="1270"/>
      <c r="AM8" s="1270"/>
      <c r="AN8" s="1270"/>
      <c r="AO8" s="1270"/>
      <c r="AP8" s="1270"/>
      <c r="AQ8" s="1390">
        <f t="shared" si="3"/>
        <v>0</v>
      </c>
      <c r="AR8" s="1624"/>
    </row>
    <row r="9" spans="1:44" ht="21.75" thickBot="1">
      <c r="A9" s="1521">
        <v>7</v>
      </c>
      <c r="B9" s="1513" t="s">
        <v>2300</v>
      </c>
      <c r="C9" s="1263" t="s">
        <v>29</v>
      </c>
      <c r="D9" s="1458" t="s">
        <v>2312</v>
      </c>
      <c r="E9" s="1458" t="s">
        <v>2316</v>
      </c>
      <c r="F9" s="1316" t="s">
        <v>2320</v>
      </c>
      <c r="G9" s="1263" t="s">
        <v>2222</v>
      </c>
      <c r="H9" s="1274">
        <v>23061</v>
      </c>
      <c r="I9" s="1265" t="s">
        <v>35</v>
      </c>
      <c r="J9" s="1265" t="s">
        <v>2306</v>
      </c>
      <c r="K9" s="1263" t="s">
        <v>2307</v>
      </c>
      <c r="L9" s="1263" t="s">
        <v>2307</v>
      </c>
      <c r="M9" s="1263" t="s">
        <v>2309</v>
      </c>
      <c r="N9" s="1263" t="s">
        <v>2308</v>
      </c>
      <c r="O9" s="1394" t="s">
        <v>2378</v>
      </c>
      <c r="P9" s="1263" t="s">
        <v>2379</v>
      </c>
      <c r="Q9" s="1383"/>
      <c r="R9" s="1383"/>
      <c r="S9" s="1263"/>
      <c r="T9" s="1384">
        <v>243.36061816200001</v>
      </c>
      <c r="U9" s="1384">
        <v>383.44479470350245</v>
      </c>
      <c r="V9" s="1384">
        <f>28.1089489121286</f>
        <v>28.1089489121286</v>
      </c>
      <c r="W9" s="1384">
        <v>7.385814382383824</v>
      </c>
      <c r="X9" s="1384">
        <v>7.4756823665724834</v>
      </c>
      <c r="Y9" s="1385">
        <f t="shared" si="0"/>
        <v>7.62621341447626E-2</v>
      </c>
      <c r="Z9" s="1384">
        <v>10.563830276999999</v>
      </c>
      <c r="AA9" s="1384">
        <v>3</v>
      </c>
      <c r="AB9" s="1384"/>
      <c r="AC9" s="1384">
        <f t="shared" si="1"/>
        <v>0.88426204106574691</v>
      </c>
      <c r="AD9" s="1284">
        <f t="shared" si="2"/>
        <v>0.66025948411805502</v>
      </c>
      <c r="AE9" s="1384">
        <v>3.834447947035025</v>
      </c>
      <c r="AF9" s="1384">
        <v>3.796103467564675</v>
      </c>
      <c r="AG9" s="1384">
        <v>3.7581424328890285</v>
      </c>
      <c r="AH9" s="1263"/>
      <c r="AI9" s="1263"/>
      <c r="AJ9" s="1263"/>
      <c r="AK9" s="1263"/>
      <c r="AL9" s="1263"/>
      <c r="AM9" s="1263"/>
      <c r="AN9" s="1263"/>
      <c r="AO9" s="1263"/>
      <c r="AP9" s="1263"/>
      <c r="AQ9" s="1383">
        <f t="shared" si="3"/>
        <v>0</v>
      </c>
      <c r="AR9" s="1266"/>
    </row>
    <row r="10" spans="1:44" ht="21.75" thickBot="1">
      <c r="A10" s="1521">
        <v>8</v>
      </c>
      <c r="B10" s="1514" t="s">
        <v>2300</v>
      </c>
      <c r="C10" s="1267" t="s">
        <v>29</v>
      </c>
      <c r="D10" s="1459" t="s">
        <v>2322</v>
      </c>
      <c r="E10" s="1459" t="s">
        <v>2323</v>
      </c>
      <c r="F10" s="1450" t="s">
        <v>2324</v>
      </c>
      <c r="G10" s="1267" t="s">
        <v>2222</v>
      </c>
      <c r="H10" s="1268">
        <v>172211</v>
      </c>
      <c r="I10" s="1269" t="s">
        <v>35</v>
      </c>
      <c r="J10" s="1269" t="s">
        <v>2306</v>
      </c>
      <c r="K10" s="1267" t="s">
        <v>2307</v>
      </c>
      <c r="L10" s="1267" t="s">
        <v>2307</v>
      </c>
      <c r="M10" s="1267" t="s">
        <v>2309</v>
      </c>
      <c r="N10" s="1267" t="s">
        <v>2308</v>
      </c>
      <c r="O10" s="1401">
        <v>45435</v>
      </c>
      <c r="P10" s="1267" t="s">
        <v>2379</v>
      </c>
      <c r="Q10" s="1387">
        <v>0.65500000000000003</v>
      </c>
      <c r="R10" s="1387">
        <v>0.38</v>
      </c>
      <c r="S10" s="1275">
        <f>R10/Q10</f>
        <v>0.58015267175572516</v>
      </c>
      <c r="T10" s="1388">
        <v>41.463294737500007</v>
      </c>
      <c r="U10" s="1388">
        <v>65.835576905849351</v>
      </c>
      <c r="V10" s="1388">
        <v>5.2108699037854267</v>
      </c>
      <c r="W10" s="1388"/>
      <c r="X10" s="1388"/>
      <c r="Y10" s="1389">
        <f t="shared" si="0"/>
        <v>7.9149756844045391E-2</v>
      </c>
      <c r="Z10" s="1388">
        <v>74.338168905000003</v>
      </c>
      <c r="AA10" s="1388">
        <v>5</v>
      </c>
      <c r="AB10" s="1388">
        <v>5.6747434000000005</v>
      </c>
      <c r="AC10" s="1388">
        <f t="shared" si="1"/>
        <v>1.1337610534533222</v>
      </c>
      <c r="AD10" s="1275">
        <f t="shared" si="2"/>
        <v>0.62980073519817648</v>
      </c>
      <c r="AE10" s="1388">
        <v>0.32917788452924673</v>
      </c>
      <c r="AF10" s="1388">
        <v>0.32753199510660053</v>
      </c>
      <c r="AG10" s="1388">
        <v>0.32589433513106758</v>
      </c>
      <c r="AH10" s="1267"/>
      <c r="AI10" s="1267"/>
      <c r="AJ10" s="1267"/>
      <c r="AK10" s="1267"/>
      <c r="AL10" s="1267"/>
      <c r="AM10" s="1267"/>
      <c r="AN10" s="1267"/>
      <c r="AO10" s="1267"/>
      <c r="AP10" s="1572"/>
      <c r="AQ10" s="1387">
        <f t="shared" si="3"/>
        <v>0</v>
      </c>
      <c r="AR10" s="1611"/>
    </row>
    <row r="11" spans="1:44" ht="21.75" thickBot="1">
      <c r="A11" s="1521">
        <v>9</v>
      </c>
      <c r="B11" s="1516" t="s">
        <v>2300</v>
      </c>
      <c r="C11" s="1471" t="s">
        <v>29</v>
      </c>
      <c r="D11" s="1472" t="s">
        <v>2367</v>
      </c>
      <c r="E11" s="1472" t="s">
        <v>2368</v>
      </c>
      <c r="F11" s="1483" t="s">
        <v>138</v>
      </c>
      <c r="G11" s="1471" t="s">
        <v>2222</v>
      </c>
      <c r="H11" s="1473">
        <v>172211</v>
      </c>
      <c r="I11" s="1474" t="s">
        <v>35</v>
      </c>
      <c r="J11" s="1474" t="s">
        <v>2306</v>
      </c>
      <c r="K11" s="1475">
        <v>45428</v>
      </c>
      <c r="L11" s="1475">
        <v>45428</v>
      </c>
      <c r="M11" s="1475">
        <v>45434</v>
      </c>
      <c r="N11" s="1475">
        <v>45450</v>
      </c>
      <c r="O11" s="1534">
        <v>45439</v>
      </c>
      <c r="P11" s="1471" t="s">
        <v>2379</v>
      </c>
      <c r="Q11" s="1476">
        <v>2.7989999999999999</v>
      </c>
      <c r="R11" s="1476">
        <v>1.8029999999999999</v>
      </c>
      <c r="S11" s="1477">
        <f>R11/Q11</f>
        <v>0.64415862808145763</v>
      </c>
      <c r="T11" s="1478">
        <v>256.35298487679995</v>
      </c>
      <c r="U11" s="1478">
        <v>364.70226051791201</v>
      </c>
      <c r="V11" s="1478">
        <f>23.2163853573976</f>
        <v>23.216385357397598</v>
      </c>
      <c r="W11" s="1478">
        <v>7.385814382383824</v>
      </c>
      <c r="X11" s="1478">
        <v>6.053191271423735</v>
      </c>
      <c r="Y11" s="1479">
        <f t="shared" si="0"/>
        <v>6.6093976628382248E-2</v>
      </c>
      <c r="Z11" s="1478">
        <v>548.74064866582501</v>
      </c>
      <c r="AA11" s="1478">
        <v>60.25</v>
      </c>
      <c r="AB11" s="1478">
        <v>82.460739333333322</v>
      </c>
      <c r="AC11" s="1478">
        <f>U11*H11/10^7</f>
        <v>6.2805740986050145</v>
      </c>
      <c r="AD11" s="1477">
        <f>T11/(U11-W11-X11)</f>
        <v>0.72980302188447499</v>
      </c>
      <c r="AE11" s="1478">
        <v>3.6470226051791208</v>
      </c>
      <c r="AF11" s="1478">
        <v>3.6105523791273293</v>
      </c>
      <c r="AG11" s="1478">
        <v>3.5744468553360562</v>
      </c>
      <c r="AH11" s="1471"/>
      <c r="AI11" s="1471"/>
      <c r="AJ11" s="1471"/>
      <c r="AK11" s="1471"/>
      <c r="AL11" s="1471"/>
      <c r="AM11" s="1471"/>
      <c r="AN11" s="1471"/>
      <c r="AO11" s="1471"/>
      <c r="AP11" s="1574"/>
      <c r="AQ11" s="1476">
        <f t="shared" si="3"/>
        <v>0</v>
      </c>
      <c r="AR11" s="1613"/>
    </row>
    <row r="12" spans="1:44">
      <c r="A12" s="1521">
        <v>10</v>
      </c>
      <c r="B12" s="1700" t="s">
        <v>2300</v>
      </c>
      <c r="C12" s="1347" t="s">
        <v>29</v>
      </c>
      <c r="D12" s="1490" t="s">
        <v>2326</v>
      </c>
      <c r="E12" s="1490" t="s">
        <v>2327</v>
      </c>
      <c r="F12" s="1491" t="s">
        <v>2328</v>
      </c>
      <c r="G12" s="1347" t="s">
        <v>2222</v>
      </c>
      <c r="H12" s="1492">
        <v>130211</v>
      </c>
      <c r="I12" s="1348" t="s">
        <v>35</v>
      </c>
      <c r="J12" s="1348" t="s">
        <v>2306</v>
      </c>
      <c r="K12" s="1493">
        <v>45428</v>
      </c>
      <c r="L12" s="1493">
        <v>45428</v>
      </c>
      <c r="M12" s="1493">
        <v>45434</v>
      </c>
      <c r="N12" s="1493">
        <v>45450</v>
      </c>
      <c r="O12" s="1853">
        <v>45450</v>
      </c>
      <c r="P12" s="1347" t="s">
        <v>2379</v>
      </c>
      <c r="Q12" s="1623">
        <v>3.754</v>
      </c>
      <c r="R12" s="1623">
        <v>2.8849999999999998</v>
      </c>
      <c r="S12" s="1498">
        <f>R12/Q12</f>
        <v>0.76851358550879056</v>
      </c>
      <c r="T12" s="1496">
        <v>487.25896986289371</v>
      </c>
      <c r="U12" s="1496">
        <v>649.81582900037017</v>
      </c>
      <c r="V12" s="1496">
        <v>35.736823263624402</v>
      </c>
      <c r="W12" s="1496">
        <v>16.045045037592448</v>
      </c>
      <c r="X12" s="1496">
        <v>8.9298481510750829</v>
      </c>
      <c r="Y12" s="1497">
        <f>V12/(U12-W12-X12)</f>
        <v>5.719347311520221E-2</v>
      </c>
      <c r="Z12" s="1496">
        <v>604.77707407713751</v>
      </c>
      <c r="AA12" s="1496">
        <v>88.75</v>
      </c>
      <c r="AB12" s="1496">
        <v>51.936175359999993</v>
      </c>
      <c r="AC12" s="1496">
        <f t="shared" si="1"/>
        <v>8.46131689099672</v>
      </c>
      <c r="AD12" s="1498">
        <f t="shared" si="2"/>
        <v>0.77981281624885479</v>
      </c>
      <c r="AE12" s="1496">
        <v>3.2490791450018506</v>
      </c>
      <c r="AF12" s="1496">
        <v>3.2328337492768413</v>
      </c>
      <c r="AG12" s="1496">
        <v>3.216669580530457</v>
      </c>
      <c r="AH12" s="1347"/>
      <c r="AI12" s="1347"/>
      <c r="AJ12" s="1347"/>
      <c r="AK12" s="1347"/>
      <c r="AL12" s="1347"/>
      <c r="AM12" s="1347"/>
      <c r="AN12" s="1347"/>
      <c r="AO12" s="1347"/>
      <c r="AP12" s="1347"/>
      <c r="AQ12" s="1623">
        <f t="shared" si="3"/>
        <v>0</v>
      </c>
      <c r="AR12" s="1350"/>
    </row>
    <row r="13" spans="1:44">
      <c r="A13" s="1521">
        <v>11</v>
      </c>
      <c r="B13" s="1515" t="s">
        <v>2300</v>
      </c>
      <c r="C13" s="1270" t="s">
        <v>29</v>
      </c>
      <c r="D13" s="1448" t="s">
        <v>2326</v>
      </c>
      <c r="E13" s="1448" t="s">
        <v>2329</v>
      </c>
      <c r="F13" s="1315" t="s">
        <v>2330</v>
      </c>
      <c r="G13" s="1270" t="s">
        <v>2222</v>
      </c>
      <c r="H13" s="1273">
        <v>130211</v>
      </c>
      <c r="I13" s="1272" t="s">
        <v>35</v>
      </c>
      <c r="J13" s="1272" t="s">
        <v>2306</v>
      </c>
      <c r="K13" s="1280">
        <v>45428</v>
      </c>
      <c r="L13" s="1280">
        <v>45428</v>
      </c>
      <c r="M13" s="1280">
        <v>45434</v>
      </c>
      <c r="N13" s="1280">
        <v>45450</v>
      </c>
      <c r="O13" s="1854"/>
      <c r="P13" s="1270" t="s">
        <v>2379</v>
      </c>
      <c r="Q13" s="1390">
        <v>3.754</v>
      </c>
      <c r="R13" s="1390">
        <v>2.8849999999999998</v>
      </c>
      <c r="S13" s="1281">
        <f>R13/Q13</f>
        <v>0.76851358550879056</v>
      </c>
      <c r="T13" s="1391">
        <v>487.25896986289371</v>
      </c>
      <c r="U13" s="1391">
        <v>649.81582900037017</v>
      </c>
      <c r="V13" s="1391">
        <v>35.736823263624402</v>
      </c>
      <c r="W13" s="1391">
        <v>16.045045037592448</v>
      </c>
      <c r="X13" s="1391">
        <v>8.9298481510750829</v>
      </c>
      <c r="Y13" s="1282">
        <f>V13/(U13-W13-X13)</f>
        <v>5.719347311520221E-2</v>
      </c>
      <c r="Z13" s="1391">
        <v>604.77707407713751</v>
      </c>
      <c r="AA13" s="1391">
        <v>88.75</v>
      </c>
      <c r="AB13" s="1391">
        <v>51.936175359999993</v>
      </c>
      <c r="AC13" s="1391">
        <f t="shared" si="1"/>
        <v>8.46131689099672</v>
      </c>
      <c r="AD13" s="1281">
        <f t="shared" si="2"/>
        <v>0.77981281624885479</v>
      </c>
      <c r="AE13" s="1391">
        <v>3.2490791450018506</v>
      </c>
      <c r="AF13" s="1391">
        <v>3.2328337492768413</v>
      </c>
      <c r="AG13" s="1391">
        <v>3.216669580530457</v>
      </c>
      <c r="AH13" s="1270"/>
      <c r="AI13" s="1270"/>
      <c r="AJ13" s="1270"/>
      <c r="AK13" s="1270"/>
      <c r="AL13" s="1270"/>
      <c r="AM13" s="1270"/>
      <c r="AN13" s="1270"/>
      <c r="AO13" s="1270"/>
      <c r="AP13" s="1270"/>
      <c r="AQ13" s="1390">
        <f t="shared" si="3"/>
        <v>0</v>
      </c>
      <c r="AR13" s="1624"/>
    </row>
    <row r="14" spans="1:44">
      <c r="A14" s="1521">
        <v>12</v>
      </c>
      <c r="B14" s="1515" t="s">
        <v>2300</v>
      </c>
      <c r="C14" s="1270" t="s">
        <v>29</v>
      </c>
      <c r="D14" s="1448" t="s">
        <v>2326</v>
      </c>
      <c r="E14" s="1448" t="s">
        <v>2331</v>
      </c>
      <c r="F14" s="1315" t="s">
        <v>2328</v>
      </c>
      <c r="G14" s="1270" t="s">
        <v>2222</v>
      </c>
      <c r="H14" s="1271">
        <v>42000</v>
      </c>
      <c r="I14" s="1272" t="s">
        <v>35</v>
      </c>
      <c r="J14" s="1272" t="s">
        <v>2306</v>
      </c>
      <c r="K14" s="1280">
        <v>45428</v>
      </c>
      <c r="L14" s="1280">
        <v>45428</v>
      </c>
      <c r="M14" s="1280">
        <v>45434</v>
      </c>
      <c r="N14" s="1280">
        <v>45450</v>
      </c>
      <c r="O14" s="1854"/>
      <c r="P14" s="1270" t="s">
        <v>2379</v>
      </c>
      <c r="Q14" s="1390"/>
      <c r="R14" s="1390"/>
      <c r="S14" s="1270"/>
      <c r="T14" s="1391">
        <v>497.19189213809369</v>
      </c>
      <c r="U14" s="1391">
        <v>669.32404330633506</v>
      </c>
      <c r="V14" s="1391">
        <v>37.686749453880473</v>
      </c>
      <c r="W14" s="1391">
        <v>16.045045037592448</v>
      </c>
      <c r="X14" s="1391">
        <v>9.4718458131938554</v>
      </c>
      <c r="Y14" s="1282">
        <f>V14/(U14-W14-X14)</f>
        <v>5.8537326449604077E-2</v>
      </c>
      <c r="Z14" s="1391">
        <v>26.091813848099999</v>
      </c>
      <c r="AA14" s="1391">
        <v>5</v>
      </c>
      <c r="AB14" s="1391">
        <v>0</v>
      </c>
      <c r="AC14" s="1391">
        <f t="shared" si="1"/>
        <v>2.8111609818866072</v>
      </c>
      <c r="AD14" s="1281">
        <f t="shared" si="2"/>
        <v>0.77226835744485145</v>
      </c>
      <c r="AE14" s="1391">
        <v>3.346620216531675</v>
      </c>
      <c r="AF14" s="1391">
        <v>3.3298871154490168</v>
      </c>
      <c r="AG14" s="1391">
        <v>3.3132376798717718</v>
      </c>
      <c r="AH14" s="1270"/>
      <c r="AI14" s="1270"/>
      <c r="AJ14" s="1270"/>
      <c r="AK14" s="1270"/>
      <c r="AL14" s="1270"/>
      <c r="AM14" s="1270"/>
      <c r="AN14" s="1270"/>
      <c r="AO14" s="1270"/>
      <c r="AP14" s="1270"/>
      <c r="AQ14" s="1390">
        <f t="shared" si="3"/>
        <v>0</v>
      </c>
      <c r="AR14" s="1624"/>
    </row>
    <row r="15" spans="1:44" ht="21.75" thickBot="1">
      <c r="A15" s="1521">
        <v>13</v>
      </c>
      <c r="B15" s="1513" t="s">
        <v>2300</v>
      </c>
      <c r="C15" s="1263" t="s">
        <v>29</v>
      </c>
      <c r="D15" s="1458" t="s">
        <v>2326</v>
      </c>
      <c r="E15" s="1458" t="s">
        <v>2332</v>
      </c>
      <c r="F15" s="1316" t="s">
        <v>2330</v>
      </c>
      <c r="G15" s="1263" t="s">
        <v>2222</v>
      </c>
      <c r="H15" s="1274">
        <v>42000</v>
      </c>
      <c r="I15" s="1265" t="s">
        <v>35</v>
      </c>
      <c r="J15" s="1265" t="s">
        <v>2306</v>
      </c>
      <c r="K15" s="1283">
        <v>45428</v>
      </c>
      <c r="L15" s="1283">
        <v>45428</v>
      </c>
      <c r="M15" s="1283">
        <v>45434</v>
      </c>
      <c r="N15" s="1283">
        <v>45450</v>
      </c>
      <c r="O15" s="1855"/>
      <c r="P15" s="1263" t="s">
        <v>2379</v>
      </c>
      <c r="Q15" s="1383"/>
      <c r="R15" s="1383"/>
      <c r="S15" s="1263"/>
      <c r="T15" s="1384">
        <v>487.25896986289371</v>
      </c>
      <c r="U15" s="1384">
        <v>663.08677437069593</v>
      </c>
      <c r="V15" s="1384">
        <v>38.279091008376469</v>
      </c>
      <c r="W15" s="1384">
        <v>16.045045037592448</v>
      </c>
      <c r="X15" s="1384">
        <v>9.6810337380746549</v>
      </c>
      <c r="Y15" s="1285">
        <f>V15/(U15-W15-X15)</f>
        <v>6.0058756796478922E-2</v>
      </c>
      <c r="Z15" s="1384">
        <v>26.091813848099999</v>
      </c>
      <c r="AA15" s="1384">
        <v>5</v>
      </c>
      <c r="AB15" s="1384">
        <v>0</v>
      </c>
      <c r="AC15" s="1384">
        <f t="shared" si="1"/>
        <v>2.784964452356923</v>
      </c>
      <c r="AD15" s="1284">
        <f t="shared" si="2"/>
        <v>0.7644948507657775</v>
      </c>
      <c r="AE15" s="1384">
        <v>3.3154338718534793</v>
      </c>
      <c r="AF15" s="1384">
        <v>3.2988567024942119</v>
      </c>
      <c r="AG15" s="1384">
        <v>3.2823624189817413</v>
      </c>
      <c r="AH15" s="1263"/>
      <c r="AI15" s="1263"/>
      <c r="AJ15" s="1263"/>
      <c r="AK15" s="1263"/>
      <c r="AL15" s="1263"/>
      <c r="AM15" s="1263"/>
      <c r="AN15" s="1263"/>
      <c r="AO15" s="1263"/>
      <c r="AP15" s="1263"/>
      <c r="AQ15" s="1383">
        <f t="shared" si="3"/>
        <v>0</v>
      </c>
      <c r="AR15" s="1266"/>
    </row>
    <row r="16" spans="1:44">
      <c r="A16" s="1521">
        <v>14</v>
      </c>
      <c r="B16" s="1700" t="s">
        <v>2300</v>
      </c>
      <c r="C16" s="1347" t="s">
        <v>29</v>
      </c>
      <c r="D16" s="1490" t="s">
        <v>2333</v>
      </c>
      <c r="E16" s="1490" t="s">
        <v>2334</v>
      </c>
      <c r="F16" s="1491" t="s">
        <v>2335</v>
      </c>
      <c r="G16" s="1347" t="s">
        <v>2222</v>
      </c>
      <c r="H16" s="1492">
        <v>98000</v>
      </c>
      <c r="I16" s="1348" t="s">
        <v>35</v>
      </c>
      <c r="J16" s="1348" t="s">
        <v>2306</v>
      </c>
      <c r="K16" s="1493">
        <v>45428</v>
      </c>
      <c r="L16" s="1493">
        <v>45428</v>
      </c>
      <c r="M16" s="1493">
        <v>45434</v>
      </c>
      <c r="N16" s="1493">
        <v>45450</v>
      </c>
      <c r="O16" s="1853">
        <v>45463</v>
      </c>
      <c r="P16" s="1347" t="s">
        <v>2379</v>
      </c>
      <c r="Q16" s="1623">
        <v>8.8450343887425866</v>
      </c>
      <c r="R16" s="1623">
        <v>5.4249999999999998</v>
      </c>
      <c r="S16" s="1498">
        <f>R16/Q16</f>
        <v>0.61333848593111229</v>
      </c>
      <c r="T16" s="1496">
        <v>665.66014548110059</v>
      </c>
      <c r="U16" s="1496">
        <v>1062.9072450992483</v>
      </c>
      <c r="V16" s="1496">
        <v>80.24189133017731</v>
      </c>
      <c r="W16" s="1496">
        <v>64.434863404934745</v>
      </c>
      <c r="X16" s="1496">
        <v>21.376060806718336</v>
      </c>
      <c r="Y16" s="1497">
        <f t="shared" ref="Y16:Y21" si="4">V16/(U16-W16-X16)</f>
        <v>8.212280572020321E-2</v>
      </c>
      <c r="Z16" s="1496">
        <v>938.63725061885634</v>
      </c>
      <c r="AA16" s="1496">
        <v>269.5</v>
      </c>
      <c r="AB16" s="1496">
        <v>62.888394660000003</v>
      </c>
      <c r="AC16" s="1496">
        <f t="shared" si="1"/>
        <v>10.416491001972634</v>
      </c>
      <c r="AD16" s="1498">
        <f t="shared" si="2"/>
        <v>0.68126358809376575</v>
      </c>
      <c r="AE16" s="1496">
        <v>10.62907245099248</v>
      </c>
      <c r="AF16" s="1496">
        <v>10.522781726482556</v>
      </c>
      <c r="AG16" s="1496">
        <v>10.417553909217729</v>
      </c>
      <c r="AH16" s="1347"/>
      <c r="AI16" s="1347"/>
      <c r="AJ16" s="1347"/>
      <c r="AK16" s="1347"/>
      <c r="AL16" s="1347"/>
      <c r="AM16" s="1347"/>
      <c r="AN16" s="1347"/>
      <c r="AO16" s="1347"/>
      <c r="AP16" s="1347"/>
      <c r="AQ16" s="1623">
        <f t="shared" si="3"/>
        <v>0</v>
      </c>
      <c r="AR16" s="1350"/>
    </row>
    <row r="17" spans="1:44">
      <c r="A17" s="1521">
        <v>15</v>
      </c>
      <c r="B17" s="1515" t="s">
        <v>2300</v>
      </c>
      <c r="C17" s="1270" t="s">
        <v>29</v>
      </c>
      <c r="D17" s="1448" t="s">
        <v>2333</v>
      </c>
      <c r="E17" s="1448" t="s">
        <v>2336</v>
      </c>
      <c r="F17" s="1315" t="s">
        <v>2335</v>
      </c>
      <c r="G17" s="1270" t="s">
        <v>2222</v>
      </c>
      <c r="H17" s="1271">
        <v>42000</v>
      </c>
      <c r="I17" s="1272" t="s">
        <v>35</v>
      </c>
      <c r="J17" s="1272" t="s">
        <v>2306</v>
      </c>
      <c r="K17" s="1280">
        <v>45428</v>
      </c>
      <c r="L17" s="1280">
        <v>45428</v>
      </c>
      <c r="M17" s="1280">
        <v>45434</v>
      </c>
      <c r="N17" s="1280">
        <v>45450</v>
      </c>
      <c r="O17" s="1854"/>
      <c r="P17" s="1270" t="s">
        <v>2379</v>
      </c>
      <c r="Q17" s="1390"/>
      <c r="R17" s="1390"/>
      <c r="S17" s="1270"/>
      <c r="T17" s="1391">
        <v>935.78466015343929</v>
      </c>
      <c r="U17" s="1391">
        <v>1476.9686005175265</v>
      </c>
      <c r="V17" s="1391">
        <v>111.29945642474097</v>
      </c>
      <c r="W17" s="1391">
        <v>64.434863404934745</v>
      </c>
      <c r="X17" s="1391">
        <v>29.523429150828118</v>
      </c>
      <c r="Y17" s="1282">
        <f t="shared" si="4"/>
        <v>8.0476230570378435E-2</v>
      </c>
      <c r="Z17" s="1391">
        <v>544.45220375700001</v>
      </c>
      <c r="AA17" s="1391">
        <v>14</v>
      </c>
      <c r="AB17" s="1391">
        <v>0</v>
      </c>
      <c r="AC17" s="1391">
        <f t="shared" si="1"/>
        <v>6.2032681221736112</v>
      </c>
      <c r="AD17" s="1281">
        <f t="shared" si="2"/>
        <v>0.67662883983313826</v>
      </c>
      <c r="AE17" s="1391">
        <v>14.769686005175265</v>
      </c>
      <c r="AF17" s="1391">
        <v>14.621989145123512</v>
      </c>
      <c r="AG17" s="1391">
        <v>14.475769253672278</v>
      </c>
      <c r="AH17" s="1270"/>
      <c r="AI17" s="1270"/>
      <c r="AJ17" s="1270"/>
      <c r="AK17" s="1270"/>
      <c r="AL17" s="1270"/>
      <c r="AM17" s="1270"/>
      <c r="AN17" s="1270"/>
      <c r="AO17" s="1270"/>
      <c r="AP17" s="1270"/>
      <c r="AQ17" s="1390">
        <f t="shared" si="3"/>
        <v>0</v>
      </c>
      <c r="AR17" s="1624"/>
    </row>
    <row r="18" spans="1:44">
      <c r="A18" s="1521">
        <v>16</v>
      </c>
      <c r="B18" s="1515" t="s">
        <v>2300</v>
      </c>
      <c r="C18" s="1270" t="s">
        <v>29</v>
      </c>
      <c r="D18" s="1448" t="s">
        <v>2333</v>
      </c>
      <c r="E18" s="1448" t="s">
        <v>2337</v>
      </c>
      <c r="F18" s="1315" t="s">
        <v>2335</v>
      </c>
      <c r="G18" s="1270" t="s">
        <v>2222</v>
      </c>
      <c r="H18" s="1271">
        <v>32211</v>
      </c>
      <c r="I18" s="1272" t="s">
        <v>35</v>
      </c>
      <c r="J18" s="1272" t="s">
        <v>2306</v>
      </c>
      <c r="K18" s="1280">
        <v>45428</v>
      </c>
      <c r="L18" s="1280">
        <v>45428</v>
      </c>
      <c r="M18" s="1280">
        <v>45434</v>
      </c>
      <c r="N18" s="1280">
        <v>45450</v>
      </c>
      <c r="O18" s="1854"/>
      <c r="P18" s="1270" t="s">
        <v>2379</v>
      </c>
      <c r="Q18" s="1390"/>
      <c r="R18" s="1390"/>
      <c r="S18" s="1270"/>
      <c r="T18" s="1391">
        <v>684.96544456798074</v>
      </c>
      <c r="U18" s="1391">
        <v>1085.3749327822513</v>
      </c>
      <c r="V18" s="1391">
        <v>81.07949731191492</v>
      </c>
      <c r="W18" s="1391">
        <v>64.434863404934745</v>
      </c>
      <c r="X18" s="1391">
        <v>21.555063934800778</v>
      </c>
      <c r="Y18" s="1282">
        <f t="shared" si="4"/>
        <v>8.1129391446106272E-2</v>
      </c>
      <c r="Z18" s="1391">
        <v>17.7402020796</v>
      </c>
      <c r="AA18" s="1391">
        <v>3</v>
      </c>
      <c r="AB18" s="1391">
        <v>0</v>
      </c>
      <c r="AC18" s="1391">
        <f t="shared" si="1"/>
        <v>3.4961011959849095</v>
      </c>
      <c r="AD18" s="1281">
        <f t="shared" si="2"/>
        <v>0.68538695381434722</v>
      </c>
      <c r="AE18" s="1391">
        <v>10.853749327822516</v>
      </c>
      <c r="AF18" s="1391">
        <v>10.745211834544291</v>
      </c>
      <c r="AG18" s="1391">
        <v>10.637759716198849</v>
      </c>
      <c r="AH18" s="1270"/>
      <c r="AI18" s="1270"/>
      <c r="AJ18" s="1270"/>
      <c r="AK18" s="1270"/>
      <c r="AL18" s="1270"/>
      <c r="AM18" s="1270"/>
      <c r="AN18" s="1270"/>
      <c r="AO18" s="1270"/>
      <c r="AP18" s="1270"/>
      <c r="AQ18" s="1390">
        <f t="shared" si="3"/>
        <v>0</v>
      </c>
      <c r="AR18" s="1624"/>
    </row>
    <row r="19" spans="1:44">
      <c r="A19" s="1521">
        <v>17</v>
      </c>
      <c r="B19" s="1515" t="s">
        <v>2300</v>
      </c>
      <c r="C19" s="1270" t="s">
        <v>29</v>
      </c>
      <c r="D19" s="1448" t="s">
        <v>2333</v>
      </c>
      <c r="E19" s="1448" t="s">
        <v>2338</v>
      </c>
      <c r="F19" s="1315" t="s">
        <v>2339</v>
      </c>
      <c r="G19" s="1270" t="s">
        <v>2222</v>
      </c>
      <c r="H19" s="1273">
        <v>98000</v>
      </c>
      <c r="I19" s="1272" t="s">
        <v>35</v>
      </c>
      <c r="J19" s="1272" t="s">
        <v>2306</v>
      </c>
      <c r="K19" s="1280">
        <v>45428</v>
      </c>
      <c r="L19" s="1280">
        <v>45428</v>
      </c>
      <c r="M19" s="1280">
        <v>45434</v>
      </c>
      <c r="N19" s="1280">
        <v>45450</v>
      </c>
      <c r="O19" s="1854"/>
      <c r="P19" s="1270" t="s">
        <v>2379</v>
      </c>
      <c r="Q19" s="1390">
        <v>9.3249962557425867</v>
      </c>
      <c r="R19" s="1390">
        <v>5.630300000000001</v>
      </c>
      <c r="S19" s="1281">
        <f>R19/Q19</f>
        <v>0.60378576522566529</v>
      </c>
      <c r="T19" s="1391">
        <v>671.40581362247065</v>
      </c>
      <c r="U19" s="1391">
        <v>1059.2221097943484</v>
      </c>
      <c r="V19" s="1391">
        <v>78.43648345026142</v>
      </c>
      <c r="W19" s="1391">
        <v>64.434863404934745</v>
      </c>
      <c r="X19" s="1391">
        <v>20.842241743721956</v>
      </c>
      <c r="Y19" s="1282">
        <f t="shared" si="4"/>
        <v>8.0534817752667229E-2</v>
      </c>
      <c r="Z19" s="1391">
        <v>889.4936611551376</v>
      </c>
      <c r="AA19" s="1391">
        <v>260.5</v>
      </c>
      <c r="AB19" s="1391">
        <v>62.888394660000003</v>
      </c>
      <c r="AC19" s="1391">
        <f t="shared" si="1"/>
        <v>10.380376675984614</v>
      </c>
      <c r="AD19" s="1281">
        <f t="shared" si="2"/>
        <v>0.68936727476385506</v>
      </c>
      <c r="AE19" s="1391">
        <v>10.592221097943488</v>
      </c>
      <c r="AF19" s="1391">
        <v>10.486298886964052</v>
      </c>
      <c r="AG19" s="1391">
        <v>10.381435898094413</v>
      </c>
      <c r="AH19" s="1270"/>
      <c r="AI19" s="1270"/>
      <c r="AJ19" s="1270"/>
      <c r="AK19" s="1270"/>
      <c r="AL19" s="1270"/>
      <c r="AM19" s="1270"/>
      <c r="AN19" s="1270"/>
      <c r="AO19" s="1270"/>
      <c r="AP19" s="1270"/>
      <c r="AQ19" s="1390">
        <f t="shared" si="3"/>
        <v>0</v>
      </c>
      <c r="AR19" s="1624"/>
    </row>
    <row r="20" spans="1:44">
      <c r="A20" s="1521">
        <v>18</v>
      </c>
      <c r="B20" s="1515" t="s">
        <v>2300</v>
      </c>
      <c r="C20" s="1270" t="s">
        <v>29</v>
      </c>
      <c r="D20" s="1448" t="s">
        <v>2333</v>
      </c>
      <c r="E20" s="1448" t="s">
        <v>2338</v>
      </c>
      <c r="F20" s="1315" t="s">
        <v>2339</v>
      </c>
      <c r="G20" s="1270" t="s">
        <v>2222</v>
      </c>
      <c r="H20" s="1271">
        <v>42000</v>
      </c>
      <c r="I20" s="1272" t="s">
        <v>35</v>
      </c>
      <c r="J20" s="1272" t="s">
        <v>2306</v>
      </c>
      <c r="K20" s="1280">
        <v>45428</v>
      </c>
      <c r="L20" s="1280">
        <v>45428</v>
      </c>
      <c r="M20" s="1280">
        <v>45434</v>
      </c>
      <c r="N20" s="1280">
        <v>45450</v>
      </c>
      <c r="O20" s="1854"/>
      <c r="P20" s="1270" t="s">
        <v>2379</v>
      </c>
      <c r="Q20" s="1390"/>
      <c r="R20" s="1390"/>
      <c r="S20" s="1270"/>
      <c r="T20" s="1391">
        <v>936.59635638370924</v>
      </c>
      <c r="U20" s="1391">
        <v>1471.2939920793488</v>
      </c>
      <c r="V20" s="1391">
        <v>110.00312574496037</v>
      </c>
      <c r="W20" s="1391">
        <v>64.434863404934745</v>
      </c>
      <c r="X20" s="1391">
        <v>29.156279829972579</v>
      </c>
      <c r="Y20" s="1282">
        <f t="shared" si="4"/>
        <v>7.984532066346986E-2</v>
      </c>
      <c r="Z20" s="1391">
        <v>490.76618675700001</v>
      </c>
      <c r="AA20" s="1391">
        <v>14</v>
      </c>
      <c r="AB20" s="1391">
        <v>0</v>
      </c>
      <c r="AC20" s="1391">
        <f t="shared" si="1"/>
        <v>6.179434766733265</v>
      </c>
      <c r="AD20" s="1281">
        <f t="shared" si="2"/>
        <v>0.67982464953838662</v>
      </c>
      <c r="AE20" s="1391">
        <v>14.712939920793486</v>
      </c>
      <c r="AF20" s="1391">
        <v>14.565810521585549</v>
      </c>
      <c r="AG20" s="1391">
        <v>14.420152416369694</v>
      </c>
      <c r="AH20" s="1270"/>
      <c r="AI20" s="1270"/>
      <c r="AJ20" s="1270"/>
      <c r="AK20" s="1270"/>
      <c r="AL20" s="1270"/>
      <c r="AM20" s="1270"/>
      <c r="AN20" s="1270"/>
      <c r="AO20" s="1270"/>
      <c r="AP20" s="1270"/>
      <c r="AQ20" s="1390">
        <f t="shared" si="3"/>
        <v>0</v>
      </c>
      <c r="AR20" s="1624"/>
    </row>
    <row r="21" spans="1:44" ht="21.75" thickBot="1">
      <c r="A21" s="1521">
        <v>19</v>
      </c>
      <c r="B21" s="1513" t="s">
        <v>2300</v>
      </c>
      <c r="C21" s="1263" t="s">
        <v>29</v>
      </c>
      <c r="D21" s="1458" t="s">
        <v>2333</v>
      </c>
      <c r="E21" s="1458" t="s">
        <v>2338</v>
      </c>
      <c r="F21" s="1316" t="s">
        <v>2339</v>
      </c>
      <c r="G21" s="1263" t="s">
        <v>2222</v>
      </c>
      <c r="H21" s="1274">
        <v>32211</v>
      </c>
      <c r="I21" s="1265" t="s">
        <v>35</v>
      </c>
      <c r="J21" s="1265" t="s">
        <v>2306</v>
      </c>
      <c r="K21" s="1283">
        <v>45428</v>
      </c>
      <c r="L21" s="1283">
        <v>45428</v>
      </c>
      <c r="M21" s="1283">
        <v>45434</v>
      </c>
      <c r="N21" s="1283">
        <v>45450</v>
      </c>
      <c r="O21" s="1855"/>
      <c r="P21" s="1263" t="s">
        <v>2379</v>
      </c>
      <c r="Q21" s="1383"/>
      <c r="R21" s="1383"/>
      <c r="S21" s="1263"/>
      <c r="T21" s="1384">
        <v>690.68952270935074</v>
      </c>
      <c r="U21" s="1384">
        <v>1085.4029563154966</v>
      </c>
      <c r="V21" s="1384">
        <v>79.997208959670488</v>
      </c>
      <c r="W21" s="1384">
        <v>64.434863404934745</v>
      </c>
      <c r="X21" s="1384">
        <v>21.232645749435235</v>
      </c>
      <c r="Y21" s="1285">
        <f t="shared" si="4"/>
        <v>8.0018378048745328E-2</v>
      </c>
      <c r="Z21" s="1384">
        <v>17.7402020796</v>
      </c>
      <c r="AA21" s="1384">
        <v>3</v>
      </c>
      <c r="AB21" s="1384">
        <v>0</v>
      </c>
      <c r="AC21" s="1384">
        <f t="shared" si="1"/>
        <v>3.4961914625878459</v>
      </c>
      <c r="AD21" s="1284">
        <f t="shared" si="2"/>
        <v>0.69087229493627511</v>
      </c>
      <c r="AE21" s="1384">
        <v>10.854029563154969</v>
      </c>
      <c r="AF21" s="1384">
        <v>10.745489267523419</v>
      </c>
      <c r="AG21" s="1384">
        <v>10.638034374848186</v>
      </c>
      <c r="AH21" s="1263"/>
      <c r="AI21" s="1263"/>
      <c r="AJ21" s="1263"/>
      <c r="AK21" s="1263"/>
      <c r="AL21" s="1263"/>
      <c r="AM21" s="1263"/>
      <c r="AN21" s="1263"/>
      <c r="AO21" s="1263"/>
      <c r="AP21" s="1263"/>
      <c r="AQ21" s="1383">
        <f t="shared" si="3"/>
        <v>0</v>
      </c>
      <c r="AR21" s="1266"/>
    </row>
    <row r="22" spans="1:44">
      <c r="A22" s="1521">
        <v>20</v>
      </c>
      <c r="B22" s="1700" t="s">
        <v>2300</v>
      </c>
      <c r="C22" s="1347" t="s">
        <v>29</v>
      </c>
      <c r="D22" s="1490" t="s">
        <v>2343</v>
      </c>
      <c r="E22" s="1490" t="s">
        <v>2340</v>
      </c>
      <c r="F22" s="1491" t="s">
        <v>471</v>
      </c>
      <c r="G22" s="1347" t="s">
        <v>2222</v>
      </c>
      <c r="H22" s="1492">
        <v>172211</v>
      </c>
      <c r="I22" s="1348" t="s">
        <v>35</v>
      </c>
      <c r="J22" s="1348" t="s">
        <v>2306</v>
      </c>
      <c r="K22" s="1493">
        <v>45428</v>
      </c>
      <c r="L22" s="1493">
        <v>45428</v>
      </c>
      <c r="M22" s="1493">
        <v>45434</v>
      </c>
      <c r="N22" s="1493">
        <v>45450</v>
      </c>
      <c r="O22" s="1853">
        <v>45447</v>
      </c>
      <c r="P22" s="1347" t="s">
        <v>2379</v>
      </c>
      <c r="Q22" s="1623">
        <v>6.9589999999999996</v>
      </c>
      <c r="R22" s="1623">
        <v>3.7</v>
      </c>
      <c r="S22" s="1498">
        <f>R22/Q22</f>
        <v>0.53168558700962787</v>
      </c>
      <c r="T22" s="1496">
        <v>447.56534631616006</v>
      </c>
      <c r="U22" s="1496">
        <v>773.15085653264714</v>
      </c>
      <c r="V22" s="1496">
        <v>65.899663496170433</v>
      </c>
      <c r="W22" s="1496">
        <v>6.1760689232002663</v>
      </c>
      <c r="X22" s="1496">
        <v>17.963127045156639</v>
      </c>
      <c r="Y22" s="1497">
        <v>5.2400000000000002E-2</v>
      </c>
      <c r="Z22" s="1496">
        <v>1055.6057196762001</v>
      </c>
      <c r="AA22" s="1496">
        <v>48.25</v>
      </c>
      <c r="AB22" s="1496">
        <v>22.423079199999993</v>
      </c>
      <c r="AC22" s="1496">
        <f t="shared" ref="AC22:AC29" si="5">U22*H22/10^7</f>
        <v>13.314508215434369</v>
      </c>
      <c r="AD22" s="1498">
        <f t="shared" si="2"/>
        <v>0.5975412264996961</v>
      </c>
      <c r="AE22" s="1496">
        <v>11.597262847989708</v>
      </c>
      <c r="AF22" s="1496">
        <v>11.423303905269862</v>
      </c>
      <c r="AG22" s="1496">
        <v>11.251954346690813</v>
      </c>
      <c r="AH22" s="1641" t="s">
        <v>2775</v>
      </c>
      <c r="AI22" s="1641"/>
      <c r="AJ22" s="1641">
        <v>715</v>
      </c>
      <c r="AK22" s="1641">
        <v>723.75</v>
      </c>
      <c r="AL22" s="1641"/>
      <c r="AM22" s="1641">
        <v>21.84</v>
      </c>
      <c r="AN22" s="1641">
        <v>-14.3</v>
      </c>
      <c r="AO22" s="1641">
        <v>-14.3</v>
      </c>
      <c r="AP22" s="1641">
        <v>-14.3</v>
      </c>
      <c r="AQ22" s="1646">
        <f t="shared" si="3"/>
        <v>12.313086500000001</v>
      </c>
      <c r="AR22" s="1647"/>
    </row>
    <row r="23" spans="1:44" ht="21.75" thickBot="1">
      <c r="A23" s="1521">
        <v>21</v>
      </c>
      <c r="B23" s="1513" t="s">
        <v>2300</v>
      </c>
      <c r="C23" s="1263" t="s">
        <v>29</v>
      </c>
      <c r="D23" s="1458" t="s">
        <v>2343</v>
      </c>
      <c r="E23" s="1458" t="s">
        <v>2342</v>
      </c>
      <c r="F23" s="1316" t="s">
        <v>473</v>
      </c>
      <c r="G23" s="1263" t="s">
        <v>2222</v>
      </c>
      <c r="H23" s="1264">
        <v>172211</v>
      </c>
      <c r="I23" s="1265" t="s">
        <v>35</v>
      </c>
      <c r="J23" s="1265" t="s">
        <v>2306</v>
      </c>
      <c r="K23" s="1283">
        <v>45428</v>
      </c>
      <c r="L23" s="1283">
        <v>45428</v>
      </c>
      <c r="M23" s="1283">
        <v>45434</v>
      </c>
      <c r="N23" s="1283">
        <v>45450</v>
      </c>
      <c r="O23" s="1855"/>
      <c r="P23" s="1263" t="s">
        <v>2379</v>
      </c>
      <c r="Q23" s="1383">
        <v>6.9589999999999996</v>
      </c>
      <c r="R23" s="1383">
        <v>3.7</v>
      </c>
      <c r="S23" s="1284">
        <f>R23/Q23</f>
        <v>0.53168558700962787</v>
      </c>
      <c r="T23" s="1384">
        <v>447.55239231616008</v>
      </c>
      <c r="U23" s="1384">
        <v>773.1460398611473</v>
      </c>
      <c r="V23" s="1384">
        <v>65.901154416170428</v>
      </c>
      <c r="W23" s="1384">
        <v>6.1760689232002663</v>
      </c>
      <c r="X23" s="1384">
        <v>17.963587648656642</v>
      </c>
      <c r="Y23" s="1285">
        <v>5.2400000000000002E-2</v>
      </c>
      <c r="Z23" s="1384">
        <v>1055.6057196762001</v>
      </c>
      <c r="AA23" s="1384">
        <v>48.25</v>
      </c>
      <c r="AB23" s="1384">
        <v>22.423079199999993</v>
      </c>
      <c r="AC23" s="1384">
        <f t="shared" si="5"/>
        <v>13.314425267052805</v>
      </c>
      <c r="AD23" s="1284">
        <f t="shared" si="2"/>
        <v>0.59752814168380852</v>
      </c>
      <c r="AE23" s="1384">
        <v>11.597190597917207</v>
      </c>
      <c r="AF23" s="1384">
        <v>11.42323273894845</v>
      </c>
      <c r="AG23" s="1384">
        <v>11.251884247864222</v>
      </c>
      <c r="AH23" s="1561" t="s">
        <v>2775</v>
      </c>
      <c r="AI23" s="1561"/>
      <c r="AJ23" s="1561">
        <v>715</v>
      </c>
      <c r="AK23" s="1561">
        <v>704.71</v>
      </c>
      <c r="AL23" s="1561"/>
      <c r="AM23" s="1561">
        <v>21.84</v>
      </c>
      <c r="AN23" s="1561">
        <v>-14.3</v>
      </c>
      <c r="AO23" s="1561">
        <v>-14.3</v>
      </c>
      <c r="AP23" s="1561">
        <v>-14.3</v>
      </c>
      <c r="AQ23" s="1648">
        <f t="shared" si="3"/>
        <v>12.313086500000001</v>
      </c>
      <c r="AR23" s="1564"/>
    </row>
    <row r="24" spans="1:44">
      <c r="A24" s="1521">
        <v>22</v>
      </c>
      <c r="B24" s="1700" t="s">
        <v>2300</v>
      </c>
      <c r="C24" s="1347" t="s">
        <v>29</v>
      </c>
      <c r="D24" s="1490" t="s">
        <v>2345</v>
      </c>
      <c r="E24" s="1490" t="s">
        <v>2346</v>
      </c>
      <c r="F24" s="1491" t="s">
        <v>1111</v>
      </c>
      <c r="G24" s="1347" t="s">
        <v>2222</v>
      </c>
      <c r="H24" s="1492">
        <v>172211</v>
      </c>
      <c r="I24" s="1348" t="s">
        <v>35</v>
      </c>
      <c r="J24" s="1348" t="s">
        <v>2306</v>
      </c>
      <c r="K24" s="1493">
        <v>45428</v>
      </c>
      <c r="L24" s="1493">
        <v>45428</v>
      </c>
      <c r="M24" s="1493">
        <v>45434</v>
      </c>
      <c r="N24" s="1493">
        <v>45450</v>
      </c>
      <c r="O24" s="1853">
        <v>45446</v>
      </c>
      <c r="P24" s="1347" t="s">
        <v>2379</v>
      </c>
      <c r="Q24" s="1623">
        <v>6.3520000000000003</v>
      </c>
      <c r="R24" s="1623">
        <v>4.226</v>
      </c>
      <c r="S24" s="1498">
        <f>R24/Q24</f>
        <v>0.66530226700251882</v>
      </c>
      <c r="T24" s="1496">
        <v>489.57101538644395</v>
      </c>
      <c r="U24" s="1496">
        <v>784.38971546764185</v>
      </c>
      <c r="V24" s="1496">
        <v>60.099370069975159</v>
      </c>
      <c r="W24" s="1496">
        <v>28.397182883992972</v>
      </c>
      <c r="X24" s="1496">
        <v>16.239299067231663</v>
      </c>
      <c r="Y24" s="1497">
        <f t="shared" ref="Y24:Y35" si="6">V24/(U24-W24-X24)</f>
        <v>8.1242456736948326E-2</v>
      </c>
      <c r="Z24" s="1496">
        <v>1089.5955246373312</v>
      </c>
      <c r="AA24" s="1496">
        <v>161.5</v>
      </c>
      <c r="AB24" s="1496">
        <v>87.663398639999997</v>
      </c>
      <c r="AC24" s="1496">
        <f t="shared" si="5"/>
        <v>13.508053729039807</v>
      </c>
      <c r="AD24" s="1498">
        <f t="shared" si="2"/>
        <v>0.66180314354189163</v>
      </c>
      <c r="AE24" s="1496">
        <v>13.726820020683734</v>
      </c>
      <c r="AF24" s="1496">
        <v>13.486600670321769</v>
      </c>
      <c r="AG24" s="1496">
        <v>13.250585158591138</v>
      </c>
      <c r="AH24" s="1347"/>
      <c r="AI24" s="1347"/>
      <c r="AJ24" s="1347"/>
      <c r="AK24" s="1347"/>
      <c r="AL24" s="1347"/>
      <c r="AM24" s="1347"/>
      <c r="AN24" s="1347"/>
      <c r="AO24" s="1347"/>
      <c r="AP24" s="1347"/>
      <c r="AQ24" s="1623">
        <f t="shared" si="3"/>
        <v>0</v>
      </c>
      <c r="AR24" s="1350"/>
    </row>
    <row r="25" spans="1:44" ht="21.75" thickBot="1">
      <c r="A25" s="1521">
        <v>23</v>
      </c>
      <c r="B25" s="1513" t="s">
        <v>2300</v>
      </c>
      <c r="C25" s="1263" t="s">
        <v>29</v>
      </c>
      <c r="D25" s="1458" t="s">
        <v>2345</v>
      </c>
      <c r="E25" s="1458" t="s">
        <v>2348</v>
      </c>
      <c r="F25" s="1316" t="s">
        <v>1112</v>
      </c>
      <c r="G25" s="1263" t="s">
        <v>2222</v>
      </c>
      <c r="H25" s="1264">
        <v>172211</v>
      </c>
      <c r="I25" s="1265" t="s">
        <v>35</v>
      </c>
      <c r="J25" s="1265" t="s">
        <v>2306</v>
      </c>
      <c r="K25" s="1283">
        <v>45428</v>
      </c>
      <c r="L25" s="1283">
        <v>45428</v>
      </c>
      <c r="M25" s="1283">
        <v>45434</v>
      </c>
      <c r="N25" s="1283">
        <v>45450</v>
      </c>
      <c r="O25" s="1855"/>
      <c r="P25" s="1263" t="s">
        <v>2379</v>
      </c>
      <c r="Q25" s="1383">
        <v>6.3520000000000003</v>
      </c>
      <c r="R25" s="1383">
        <v>4.226</v>
      </c>
      <c r="S25" s="1284">
        <f>R25/Q25</f>
        <v>0.66530226700251882</v>
      </c>
      <c r="T25" s="1384">
        <v>489.57533338644396</v>
      </c>
      <c r="U25" s="1384">
        <v>784.39434905084181</v>
      </c>
      <c r="V25" s="1384">
        <v>60.099456429975163</v>
      </c>
      <c r="W25" s="1384">
        <v>28.397182883992972</v>
      </c>
      <c r="X25" s="1384">
        <v>16.239316930431663</v>
      </c>
      <c r="Y25" s="1285">
        <f t="shared" si="6"/>
        <v>8.1242066565444637E-2</v>
      </c>
      <c r="Z25" s="1384">
        <v>1063.2090941919562</v>
      </c>
      <c r="AA25" s="1384">
        <v>156.5</v>
      </c>
      <c r="AB25" s="1384">
        <v>87.663398639999997</v>
      </c>
      <c r="AC25" s="1384">
        <f t="shared" si="5"/>
        <v>13.508133524439451</v>
      </c>
      <c r="AD25" s="1284">
        <f t="shared" si="2"/>
        <v>0.66180485126556854</v>
      </c>
      <c r="AE25" s="1384">
        <v>13.726901108389734</v>
      </c>
      <c r="AF25" s="1384">
        <v>13.486680338992915</v>
      </c>
      <c r="AG25" s="1384">
        <v>13.25066343306054</v>
      </c>
      <c r="AH25" s="1263"/>
      <c r="AI25" s="1263"/>
      <c r="AJ25" s="1263"/>
      <c r="AK25" s="1263"/>
      <c r="AL25" s="1263"/>
      <c r="AM25" s="1263"/>
      <c r="AN25" s="1263"/>
      <c r="AO25" s="1263"/>
      <c r="AP25" s="1263"/>
      <c r="AQ25" s="1383">
        <f t="shared" si="3"/>
        <v>0</v>
      </c>
      <c r="AR25" s="1266"/>
    </row>
    <row r="26" spans="1:44">
      <c r="A26" s="1521">
        <v>24</v>
      </c>
      <c r="B26" s="1700" t="s">
        <v>2300</v>
      </c>
      <c r="C26" s="1347" t="s">
        <v>29</v>
      </c>
      <c r="D26" s="1490" t="s">
        <v>2350</v>
      </c>
      <c r="E26" s="1490" t="s">
        <v>2351</v>
      </c>
      <c r="F26" s="1491" t="s">
        <v>2352</v>
      </c>
      <c r="G26" s="1347" t="s">
        <v>2222</v>
      </c>
      <c r="H26" s="1492">
        <v>149150</v>
      </c>
      <c r="I26" s="1348" t="s">
        <v>35</v>
      </c>
      <c r="J26" s="1348" t="s">
        <v>2306</v>
      </c>
      <c r="K26" s="1493">
        <v>45428</v>
      </c>
      <c r="L26" s="1493">
        <v>45428</v>
      </c>
      <c r="M26" s="1493">
        <v>45434</v>
      </c>
      <c r="N26" s="1493">
        <v>45450</v>
      </c>
      <c r="O26" s="1853">
        <v>45449</v>
      </c>
      <c r="P26" s="1347" t="s">
        <v>2379</v>
      </c>
      <c r="Q26" s="1623">
        <v>6.1970000000000001</v>
      </c>
      <c r="R26" s="1623">
        <v>3.476</v>
      </c>
      <c r="S26" s="1498">
        <f>R26/Q26</f>
        <v>0.56091657253509764</v>
      </c>
      <c r="T26" s="1704">
        <v>551.15601164836801</v>
      </c>
      <c r="U26" s="1496">
        <v>798.52656623817268</v>
      </c>
      <c r="V26" s="1496">
        <v>52.590844298454719</v>
      </c>
      <c r="W26" s="1496">
        <v>9.8689761143921775</v>
      </c>
      <c r="X26" s="1496">
        <v>13.777755825438952</v>
      </c>
      <c r="Y26" s="1497">
        <f t="shared" si="6"/>
        <v>6.7869677297869094E-2</v>
      </c>
      <c r="Z26" s="1496">
        <v>1568.791723143356</v>
      </c>
      <c r="AA26" s="1705">
        <v>90.75</v>
      </c>
      <c r="AB26" s="1496">
        <v>78.814427299999991</v>
      </c>
      <c r="AC26" s="1496">
        <f t="shared" si="5"/>
        <v>11.910023735442344</v>
      </c>
      <c r="AD26" s="1498">
        <f t="shared" si="2"/>
        <v>0.71127933293998169</v>
      </c>
      <c r="AE26" s="1496">
        <v>11.977898493572591</v>
      </c>
      <c r="AF26" s="1496">
        <v>11.798230016169001</v>
      </c>
      <c r="AG26" s="1496">
        <v>11.621256565926465</v>
      </c>
      <c r="AH26" s="1347"/>
      <c r="AI26" s="1347"/>
      <c r="AJ26" s="1347"/>
      <c r="AK26" s="1347"/>
      <c r="AL26" s="1347"/>
      <c r="AM26" s="1347"/>
      <c r="AN26" s="1347"/>
      <c r="AO26" s="1347"/>
      <c r="AP26" s="1347"/>
      <c r="AQ26" s="1623">
        <f t="shared" si="3"/>
        <v>0</v>
      </c>
      <c r="AR26" s="1350"/>
    </row>
    <row r="27" spans="1:44">
      <c r="A27" s="1521">
        <v>25</v>
      </c>
      <c r="B27" s="1515" t="s">
        <v>2300</v>
      </c>
      <c r="C27" s="1270" t="s">
        <v>29</v>
      </c>
      <c r="D27" s="1448" t="s">
        <v>2350</v>
      </c>
      <c r="E27" s="1448" t="s">
        <v>2354</v>
      </c>
      <c r="F27" s="1315" t="s">
        <v>2352</v>
      </c>
      <c r="G27" s="1270" t="s">
        <v>2222</v>
      </c>
      <c r="H27" s="1271">
        <v>23061</v>
      </c>
      <c r="I27" s="1272" t="s">
        <v>35</v>
      </c>
      <c r="J27" s="1272" t="s">
        <v>2306</v>
      </c>
      <c r="K27" s="1280">
        <v>45428</v>
      </c>
      <c r="L27" s="1280">
        <v>45428</v>
      </c>
      <c r="M27" s="1280">
        <v>45434</v>
      </c>
      <c r="N27" s="1280">
        <v>45450</v>
      </c>
      <c r="O27" s="1854"/>
      <c r="P27" s="1270" t="s">
        <v>2379</v>
      </c>
      <c r="Q27" s="1390"/>
      <c r="R27" s="1390"/>
      <c r="S27" s="1281"/>
      <c r="T27" s="1395">
        <v>561.464150228368</v>
      </c>
      <c r="U27" s="1391">
        <v>822.45432650089731</v>
      </c>
      <c r="V27" s="1391">
        <v>55.314576342054281</v>
      </c>
      <c r="W27" s="1391">
        <v>9.8689761143921775</v>
      </c>
      <c r="X27" s="1391">
        <v>14.548677807479963</v>
      </c>
      <c r="Y27" s="1282">
        <f t="shared" si="6"/>
        <v>6.9313326370445433E-2</v>
      </c>
      <c r="Z27" s="1391">
        <v>0</v>
      </c>
      <c r="AA27" s="1396">
        <v>0</v>
      </c>
      <c r="AB27" s="1391">
        <v>0</v>
      </c>
      <c r="AC27" s="1391">
        <f t="shared" si="5"/>
        <v>1.8966619223437193</v>
      </c>
      <c r="AD27" s="1281">
        <f t="shared" si="2"/>
        <v>0.70355682830198418</v>
      </c>
      <c r="AE27" s="1391">
        <v>12.336814897513459</v>
      </c>
      <c r="AF27" s="1391">
        <v>12.151762674050756</v>
      </c>
      <c r="AG27" s="1391">
        <v>11.969486233939996</v>
      </c>
      <c r="AH27" s="1270"/>
      <c r="AI27" s="1270"/>
      <c r="AJ27" s="1270"/>
      <c r="AK27" s="1270"/>
      <c r="AL27" s="1270"/>
      <c r="AM27" s="1270"/>
      <c r="AN27" s="1270"/>
      <c r="AO27" s="1270"/>
      <c r="AP27" s="1270"/>
      <c r="AQ27" s="1390">
        <f t="shared" si="3"/>
        <v>0</v>
      </c>
      <c r="AR27" s="1624"/>
    </row>
    <row r="28" spans="1:44">
      <c r="A28" s="1521">
        <v>26</v>
      </c>
      <c r="B28" s="1515" t="s">
        <v>2300</v>
      </c>
      <c r="C28" s="1270" t="s">
        <v>29</v>
      </c>
      <c r="D28" s="1448" t="s">
        <v>2350</v>
      </c>
      <c r="E28" s="1448" t="s">
        <v>2355</v>
      </c>
      <c r="F28" s="1315" t="s">
        <v>2353</v>
      </c>
      <c r="G28" s="1270" t="s">
        <v>2222</v>
      </c>
      <c r="H28" s="1273">
        <v>149150</v>
      </c>
      <c r="I28" s="1272" t="s">
        <v>35</v>
      </c>
      <c r="J28" s="1272" t="s">
        <v>2306</v>
      </c>
      <c r="K28" s="1280">
        <v>45428</v>
      </c>
      <c r="L28" s="1280">
        <v>45428</v>
      </c>
      <c r="M28" s="1280">
        <v>45434</v>
      </c>
      <c r="N28" s="1280">
        <v>45450</v>
      </c>
      <c r="O28" s="1854"/>
      <c r="P28" s="1270" t="s">
        <v>2379</v>
      </c>
      <c r="Q28" s="1390">
        <v>6.3819999999999997</v>
      </c>
      <c r="R28" s="1390">
        <v>3.585</v>
      </c>
      <c r="S28" s="1281">
        <f>R28/Q28</f>
        <v>0.56173613287370727</v>
      </c>
      <c r="T28" s="1395">
        <v>561.464150228368</v>
      </c>
      <c r="U28" s="1391">
        <v>822.45432650089731</v>
      </c>
      <c r="V28" s="1391">
        <v>55.314576342054281</v>
      </c>
      <c r="W28" s="1391">
        <v>9.8689761143921775</v>
      </c>
      <c r="X28" s="1391">
        <v>14.548677807479963</v>
      </c>
      <c r="Y28" s="1282">
        <f t="shared" si="6"/>
        <v>6.9313326370445433E-2</v>
      </c>
      <c r="Z28" s="1391">
        <v>1386.0104129241563</v>
      </c>
      <c r="AA28" s="1396">
        <v>87.75</v>
      </c>
      <c r="AB28" s="1391">
        <v>78.814427299999991</v>
      </c>
      <c r="AC28" s="1391">
        <f t="shared" si="5"/>
        <v>12.266906279760883</v>
      </c>
      <c r="AD28" s="1281">
        <f t="shared" si="2"/>
        <v>0.70355682830198418</v>
      </c>
      <c r="AE28" s="1391">
        <v>12.336814897513459</v>
      </c>
      <c r="AF28" s="1391">
        <v>12.151762674050756</v>
      </c>
      <c r="AG28" s="1391">
        <v>11.969486233939996</v>
      </c>
      <c r="AH28" s="1270"/>
      <c r="AI28" s="1270"/>
      <c r="AJ28" s="1270"/>
      <c r="AK28" s="1270"/>
      <c r="AL28" s="1270"/>
      <c r="AM28" s="1270"/>
      <c r="AN28" s="1270"/>
      <c r="AO28" s="1270"/>
      <c r="AP28" s="1270"/>
      <c r="AQ28" s="1390">
        <f t="shared" si="3"/>
        <v>0</v>
      </c>
      <c r="AR28" s="1624"/>
    </row>
    <row r="29" spans="1:44" ht="21.75" thickBot="1">
      <c r="A29" s="1521">
        <v>27</v>
      </c>
      <c r="B29" s="1513" t="s">
        <v>2300</v>
      </c>
      <c r="C29" s="1263" t="s">
        <v>29</v>
      </c>
      <c r="D29" s="1458" t="s">
        <v>2350</v>
      </c>
      <c r="E29" s="1458" t="s">
        <v>2356</v>
      </c>
      <c r="F29" s="1316" t="s">
        <v>2353</v>
      </c>
      <c r="G29" s="1263" t="s">
        <v>2222</v>
      </c>
      <c r="H29" s="1274">
        <v>23061</v>
      </c>
      <c r="I29" s="1265" t="s">
        <v>35</v>
      </c>
      <c r="J29" s="1265" t="s">
        <v>2306</v>
      </c>
      <c r="K29" s="1283">
        <v>45428</v>
      </c>
      <c r="L29" s="1283">
        <v>45428</v>
      </c>
      <c r="M29" s="1283">
        <v>45434</v>
      </c>
      <c r="N29" s="1283">
        <v>45450</v>
      </c>
      <c r="O29" s="1855"/>
      <c r="P29" s="1263" t="s">
        <v>2379</v>
      </c>
      <c r="Q29" s="1383"/>
      <c r="R29" s="1383"/>
      <c r="S29" s="1263"/>
      <c r="T29" s="1397">
        <v>552.23551164836806</v>
      </c>
      <c r="U29" s="1384">
        <v>799.68496203817278</v>
      </c>
      <c r="V29" s="1384">
        <v>52.612434298454723</v>
      </c>
      <c r="W29" s="1384">
        <v>9.8689761143921775</v>
      </c>
      <c r="X29" s="1384">
        <v>13.782221625438952</v>
      </c>
      <c r="Y29" s="1285">
        <f t="shared" si="6"/>
        <v>6.779657885894276E-2</v>
      </c>
      <c r="Z29" s="1384">
        <v>0</v>
      </c>
      <c r="AA29" s="1398">
        <v>0</v>
      </c>
      <c r="AB29" s="1384">
        <v>0</v>
      </c>
      <c r="AC29" s="1384">
        <f t="shared" si="5"/>
        <v>1.84415349095623</v>
      </c>
      <c r="AD29" s="1284">
        <f t="shared" si="2"/>
        <v>0.71161273781389789</v>
      </c>
      <c r="AE29" s="1384">
        <v>11.995274430572589</v>
      </c>
      <c r="AF29" s="1384">
        <v>11.815345314113999</v>
      </c>
      <c r="AG29" s="1384">
        <v>11.638115134402291</v>
      </c>
      <c r="AH29" s="1263"/>
      <c r="AI29" s="1263"/>
      <c r="AJ29" s="1263"/>
      <c r="AK29" s="1263"/>
      <c r="AL29" s="1263"/>
      <c r="AM29" s="1263"/>
      <c r="AN29" s="1263"/>
      <c r="AO29" s="1263"/>
      <c r="AP29" s="1263"/>
      <c r="AQ29" s="1383">
        <f t="shared" si="3"/>
        <v>0</v>
      </c>
      <c r="AR29" s="1266"/>
    </row>
    <row r="30" spans="1:44">
      <c r="A30" s="1521">
        <v>28</v>
      </c>
      <c r="B30" s="1700" t="s">
        <v>2300</v>
      </c>
      <c r="C30" s="1347" t="s">
        <v>29</v>
      </c>
      <c r="D30" s="1490" t="s">
        <v>2361</v>
      </c>
      <c r="E30" s="1490" t="s">
        <v>2363</v>
      </c>
      <c r="F30" s="1491" t="s">
        <v>2364</v>
      </c>
      <c r="G30" s="1347" t="s">
        <v>2222</v>
      </c>
      <c r="H30" s="1492">
        <v>172211</v>
      </c>
      <c r="I30" s="1348" t="s">
        <v>35</v>
      </c>
      <c r="J30" s="1348" t="s">
        <v>2306</v>
      </c>
      <c r="K30" s="1493">
        <v>45428</v>
      </c>
      <c r="L30" s="1493">
        <v>45428</v>
      </c>
      <c r="M30" s="1493">
        <v>45434</v>
      </c>
      <c r="N30" s="1493">
        <v>45450</v>
      </c>
      <c r="O30" s="1853">
        <v>45450</v>
      </c>
      <c r="P30" s="1347" t="s">
        <v>2379</v>
      </c>
      <c r="Q30" s="1623">
        <v>4.8490000000000002</v>
      </c>
      <c r="R30" s="1623">
        <v>2.4830000000000001</v>
      </c>
      <c r="S30" s="1498">
        <f>R30/Q30</f>
        <v>0.51206434316353888</v>
      </c>
      <c r="T30" s="1496">
        <v>330.84190226191106</v>
      </c>
      <c r="U30" s="1496">
        <v>488.66495891799724</v>
      </c>
      <c r="V30" s="1496">
        <v>32.701483977804699</v>
      </c>
      <c r="W30" s="1496">
        <v>6.1760689232002663</v>
      </c>
      <c r="X30" s="1496">
        <v>8.5749452823505443</v>
      </c>
      <c r="Y30" s="1497">
        <f t="shared" si="6"/>
        <v>6.9003000107217272E-2</v>
      </c>
      <c r="Z30" s="1496">
        <v>751.05800202914247</v>
      </c>
      <c r="AA30" s="1496">
        <v>57.5</v>
      </c>
      <c r="AB30" s="1496">
        <v>59.00483972</v>
      </c>
      <c r="AC30" s="1496">
        <f t="shared" ref="AC30:AC35" si="7">U30*H30/10^7</f>
        <v>8.4153481240227226</v>
      </c>
      <c r="AD30" s="1498">
        <f t="shared" si="2"/>
        <v>0.6981054386628226</v>
      </c>
      <c r="AE30" s="1496">
        <v>7.3299743837699589</v>
      </c>
      <c r="AF30" s="1496">
        <v>7.2200247680134098</v>
      </c>
      <c r="AG30" s="1496">
        <v>7.1117243964932086</v>
      </c>
      <c r="AH30" s="1347"/>
      <c r="AI30" s="1347"/>
      <c r="AJ30" s="1347"/>
      <c r="AK30" s="1347"/>
      <c r="AL30" s="1347"/>
      <c r="AM30" s="1347"/>
      <c r="AN30" s="1347"/>
      <c r="AO30" s="1347"/>
      <c r="AP30" s="1347"/>
      <c r="AQ30" s="1623">
        <f t="shared" si="3"/>
        <v>0</v>
      </c>
      <c r="AR30" s="1350"/>
    </row>
    <row r="31" spans="1:44" ht="21.75" thickBot="1">
      <c r="A31" s="1521">
        <v>29</v>
      </c>
      <c r="B31" s="1513" t="s">
        <v>2300</v>
      </c>
      <c r="C31" s="1263" t="s">
        <v>29</v>
      </c>
      <c r="D31" s="1458" t="s">
        <v>2361</v>
      </c>
      <c r="E31" s="1458" t="s">
        <v>2366</v>
      </c>
      <c r="F31" s="1316" t="s">
        <v>2365</v>
      </c>
      <c r="G31" s="1263" t="s">
        <v>2222</v>
      </c>
      <c r="H31" s="1264">
        <v>172211</v>
      </c>
      <c r="I31" s="1265" t="s">
        <v>35</v>
      </c>
      <c r="J31" s="1265" t="s">
        <v>2306</v>
      </c>
      <c r="K31" s="1283">
        <v>45428</v>
      </c>
      <c r="L31" s="1283">
        <v>45428</v>
      </c>
      <c r="M31" s="1283">
        <v>45434</v>
      </c>
      <c r="N31" s="1283">
        <v>45450</v>
      </c>
      <c r="O31" s="1855"/>
      <c r="P31" s="1263" t="s">
        <v>2379</v>
      </c>
      <c r="Q31" s="1383">
        <v>4.8490000000000002</v>
      </c>
      <c r="R31" s="1383">
        <v>2.4830000000000001</v>
      </c>
      <c r="S31" s="1284">
        <f>R31/Q31</f>
        <v>0.51206434316353888</v>
      </c>
      <c r="T31" s="1384">
        <v>330.84190226191106</v>
      </c>
      <c r="U31" s="1384">
        <v>488.66495891799724</v>
      </c>
      <c r="V31" s="1384">
        <v>32.701483977804699</v>
      </c>
      <c r="W31" s="1384">
        <v>6.1760689232002663</v>
      </c>
      <c r="X31" s="1384">
        <v>8.5749452823505443</v>
      </c>
      <c r="Y31" s="1285">
        <f t="shared" si="6"/>
        <v>6.9003000107217272E-2</v>
      </c>
      <c r="Z31" s="1399">
        <v>736.25815478696256</v>
      </c>
      <c r="AA31" s="1384">
        <v>54.5</v>
      </c>
      <c r="AB31" s="1384">
        <v>59.00483972</v>
      </c>
      <c r="AC31" s="1384">
        <f t="shared" si="7"/>
        <v>8.4153481240227226</v>
      </c>
      <c r="AD31" s="1284">
        <f t="shared" si="2"/>
        <v>0.6981054386628226</v>
      </c>
      <c r="AE31" s="1384">
        <v>7.3299743837699589</v>
      </c>
      <c r="AF31" s="1384">
        <v>7.2200247680134098</v>
      </c>
      <c r="AG31" s="1384">
        <v>7.1117243964932086</v>
      </c>
      <c r="AH31" s="1263"/>
      <c r="AI31" s="1263"/>
      <c r="AJ31" s="1263"/>
      <c r="AK31" s="1263"/>
      <c r="AL31" s="1263"/>
      <c r="AM31" s="1263"/>
      <c r="AN31" s="1263"/>
      <c r="AO31" s="1263"/>
      <c r="AP31" s="1263"/>
      <c r="AQ31" s="1383">
        <f t="shared" si="3"/>
        <v>0</v>
      </c>
      <c r="AR31" s="1266"/>
    </row>
    <row r="32" spans="1:44">
      <c r="A32" s="1521">
        <v>30</v>
      </c>
      <c r="B32" s="1700" t="s">
        <v>2300</v>
      </c>
      <c r="C32" s="1347" t="s">
        <v>29</v>
      </c>
      <c r="D32" s="1490" t="s">
        <v>2369</v>
      </c>
      <c r="E32" s="1490" t="s">
        <v>2370</v>
      </c>
      <c r="F32" s="1491" t="s">
        <v>1684</v>
      </c>
      <c r="G32" s="1347" t="s">
        <v>2222</v>
      </c>
      <c r="H32" s="1492">
        <v>140000</v>
      </c>
      <c r="I32" s="1348" t="s">
        <v>35</v>
      </c>
      <c r="J32" s="1348" t="s">
        <v>2306</v>
      </c>
      <c r="K32" s="1493">
        <v>45433</v>
      </c>
      <c r="L32" s="1493">
        <v>45433</v>
      </c>
      <c r="M32" s="1347" t="s">
        <v>2374</v>
      </c>
      <c r="N32" s="1493">
        <v>45423</v>
      </c>
      <c r="O32" s="1853">
        <v>45474</v>
      </c>
      <c r="P32" s="1347" t="s">
        <v>2379</v>
      </c>
      <c r="Q32" s="1623">
        <v>19.563062746345093</v>
      </c>
      <c r="R32" s="1623">
        <v>11.2601</v>
      </c>
      <c r="S32" s="1498">
        <f>R32/Q32</f>
        <v>0.57557960867368219</v>
      </c>
      <c r="T32" s="1496">
        <v>1597.5953768983586</v>
      </c>
      <c r="U32" s="1496">
        <v>2383.4346597759995</v>
      </c>
      <c r="V32" s="1496">
        <v>165.25357058817409</v>
      </c>
      <c r="W32" s="1496">
        <v>83.854461565512892</v>
      </c>
      <c r="X32" s="1496">
        <v>43.170629591589886</v>
      </c>
      <c r="Y32" s="1497">
        <f t="shared" si="6"/>
        <v>7.3237400198281608E-2</v>
      </c>
      <c r="Z32" s="1706">
        <v>1503.4585972329</v>
      </c>
      <c r="AA32" s="1706">
        <v>394.25</v>
      </c>
      <c r="AB32" s="1706">
        <v>76.818306555000007</v>
      </c>
      <c r="AC32" s="1496">
        <f t="shared" si="7"/>
        <v>33.368085236863998</v>
      </c>
      <c r="AD32" s="1498">
        <f t="shared" si="2"/>
        <v>0.70802543967060683</v>
      </c>
      <c r="AE32" s="1496">
        <v>47.668693195519992</v>
      </c>
      <c r="AF32" s="1496">
        <v>46.715319331609592</v>
      </c>
      <c r="AG32" s="1496">
        <v>45.781012944977405</v>
      </c>
      <c r="AH32" s="1347"/>
      <c r="AI32" s="1347"/>
      <c r="AJ32" s="1347"/>
      <c r="AK32" s="1347"/>
      <c r="AL32" s="1347"/>
      <c r="AM32" s="1347"/>
      <c r="AN32" s="1347"/>
      <c r="AO32" s="1347"/>
      <c r="AP32" s="1347"/>
      <c r="AQ32" s="1623">
        <f t="shared" si="3"/>
        <v>0</v>
      </c>
      <c r="AR32" s="1350"/>
    </row>
    <row r="33" spans="1:44">
      <c r="A33" s="1521">
        <v>31</v>
      </c>
      <c r="B33" s="1515" t="s">
        <v>2300</v>
      </c>
      <c r="C33" s="1270" t="s">
        <v>29</v>
      </c>
      <c r="D33" s="1448" t="s">
        <v>2369</v>
      </c>
      <c r="E33" s="1448" t="s">
        <v>2371</v>
      </c>
      <c r="F33" s="1315" t="s">
        <v>1684</v>
      </c>
      <c r="G33" s="1270" t="s">
        <v>2222</v>
      </c>
      <c r="H33" s="1271">
        <v>32211</v>
      </c>
      <c r="I33" s="1272" t="s">
        <v>35</v>
      </c>
      <c r="J33" s="1272" t="s">
        <v>2306</v>
      </c>
      <c r="K33" s="1280">
        <v>45433</v>
      </c>
      <c r="L33" s="1280">
        <v>45433</v>
      </c>
      <c r="M33" s="1270" t="s">
        <v>2374</v>
      </c>
      <c r="N33" s="1280">
        <v>45423</v>
      </c>
      <c r="O33" s="1854"/>
      <c r="P33" s="1270" t="s">
        <v>2379</v>
      </c>
      <c r="Q33" s="1390"/>
      <c r="R33" s="1390"/>
      <c r="S33" s="1270"/>
      <c r="T33" s="1391">
        <v>1622.3089881783587</v>
      </c>
      <c r="U33" s="1391">
        <v>2420.7672524023965</v>
      </c>
      <c r="V33" s="1391">
        <v>167.98529694632992</v>
      </c>
      <c r="W33" s="1391">
        <v>83.854461565512892</v>
      </c>
      <c r="X33" s="1391">
        <v>43.884911554593486</v>
      </c>
      <c r="Y33" s="1282">
        <f t="shared" si="6"/>
        <v>7.325916028500655E-2</v>
      </c>
      <c r="Z33" s="1400">
        <v>16.610980761375</v>
      </c>
      <c r="AA33" s="1400">
        <v>3</v>
      </c>
      <c r="AB33" s="1400">
        <v>0</v>
      </c>
      <c r="AC33" s="1391">
        <f t="shared" si="7"/>
        <v>7.7975333967133595</v>
      </c>
      <c r="AD33" s="1281">
        <f t="shared" si="2"/>
        <v>0.70749640806204939</v>
      </c>
      <c r="AE33" s="1391">
        <v>48.415345048047939</v>
      </c>
      <c r="AF33" s="1391">
        <v>47.447038147086978</v>
      </c>
      <c r="AG33" s="1391">
        <v>46.49809738414524</v>
      </c>
      <c r="AH33" s="1270"/>
      <c r="AI33" s="1270"/>
      <c r="AJ33" s="1270"/>
      <c r="AK33" s="1270"/>
      <c r="AL33" s="1270"/>
      <c r="AM33" s="1270"/>
      <c r="AN33" s="1270"/>
      <c r="AO33" s="1270"/>
      <c r="AP33" s="1270"/>
      <c r="AQ33" s="1390">
        <f t="shared" si="3"/>
        <v>0</v>
      </c>
      <c r="AR33" s="1624"/>
    </row>
    <row r="34" spans="1:44">
      <c r="A34" s="1521">
        <v>32</v>
      </c>
      <c r="B34" s="1515" t="s">
        <v>2300</v>
      </c>
      <c r="C34" s="1270" t="s">
        <v>29</v>
      </c>
      <c r="D34" s="1448" t="s">
        <v>2369</v>
      </c>
      <c r="E34" s="1448" t="s">
        <v>2373</v>
      </c>
      <c r="F34" s="1315" t="s">
        <v>1685</v>
      </c>
      <c r="G34" s="1270" t="s">
        <v>2222</v>
      </c>
      <c r="H34" s="1273">
        <v>140000</v>
      </c>
      <c r="I34" s="1272" t="s">
        <v>35</v>
      </c>
      <c r="J34" s="1272" t="s">
        <v>2306</v>
      </c>
      <c r="K34" s="1280">
        <v>45433</v>
      </c>
      <c r="L34" s="1280">
        <v>45433</v>
      </c>
      <c r="M34" s="1270" t="s">
        <v>2374</v>
      </c>
      <c r="N34" s="1280">
        <v>45423</v>
      </c>
      <c r="O34" s="1854"/>
      <c r="P34" s="1270" t="s">
        <v>2379</v>
      </c>
      <c r="Q34" s="1390">
        <v>18.502090591524141</v>
      </c>
      <c r="R34" s="1390">
        <v>10.571400000000001</v>
      </c>
      <c r="S34" s="1281">
        <f>R34/Q34</f>
        <v>0.57136246024234627</v>
      </c>
      <c r="T34" s="1391">
        <v>1599.5710808546373</v>
      </c>
      <c r="U34" s="1391">
        <v>2312.380781363991</v>
      </c>
      <c r="V34" s="1391">
        <v>151.31276943475788</v>
      </c>
      <c r="W34" s="1391">
        <v>83.854461565512892</v>
      </c>
      <c r="X34" s="1391">
        <v>39.036879646215148</v>
      </c>
      <c r="Y34" s="1282">
        <f t="shared" si="6"/>
        <v>6.9108700256729799E-2</v>
      </c>
      <c r="Z34" s="1400">
        <v>1417.4290244036999</v>
      </c>
      <c r="AA34" s="1400">
        <v>377.75</v>
      </c>
      <c r="AB34" s="1400">
        <v>76.818306555000007</v>
      </c>
      <c r="AC34" s="1391">
        <f t="shared" si="7"/>
        <v>32.373330939095872</v>
      </c>
      <c r="AD34" s="1281">
        <f t="shared" si="2"/>
        <v>0.730568072866978</v>
      </c>
      <c r="AE34" s="1391">
        <v>46.247615627279828</v>
      </c>
      <c r="AF34" s="1391">
        <v>45.322663314734235</v>
      </c>
      <c r="AG34" s="1391">
        <v>44.416210048439552</v>
      </c>
      <c r="AH34" s="1270"/>
      <c r="AI34" s="1270"/>
      <c r="AJ34" s="1270"/>
      <c r="AK34" s="1270"/>
      <c r="AL34" s="1270"/>
      <c r="AM34" s="1270"/>
      <c r="AN34" s="1270"/>
      <c r="AO34" s="1270"/>
      <c r="AP34" s="1270"/>
      <c r="AQ34" s="1390">
        <f t="shared" si="3"/>
        <v>0</v>
      </c>
      <c r="AR34" s="1624"/>
    </row>
    <row r="35" spans="1:44" ht="21.75" thickBot="1">
      <c r="A35" s="1521">
        <v>33</v>
      </c>
      <c r="B35" s="1513" t="s">
        <v>2300</v>
      </c>
      <c r="C35" s="1263" t="s">
        <v>29</v>
      </c>
      <c r="D35" s="1458" t="s">
        <v>2369</v>
      </c>
      <c r="E35" s="1458" t="s">
        <v>2372</v>
      </c>
      <c r="F35" s="1316" t="s">
        <v>1685</v>
      </c>
      <c r="G35" s="1263" t="s">
        <v>2222</v>
      </c>
      <c r="H35" s="1274">
        <v>32211</v>
      </c>
      <c r="I35" s="1265" t="s">
        <v>35</v>
      </c>
      <c r="J35" s="1265" t="s">
        <v>2306</v>
      </c>
      <c r="K35" s="1283">
        <v>45433</v>
      </c>
      <c r="L35" s="1283">
        <v>45433</v>
      </c>
      <c r="M35" s="1263" t="s">
        <v>2374</v>
      </c>
      <c r="N35" s="1283">
        <v>45423</v>
      </c>
      <c r="O35" s="1855"/>
      <c r="P35" s="1263" t="s">
        <v>2379</v>
      </c>
      <c r="Q35" s="1383"/>
      <c r="R35" s="1383"/>
      <c r="S35" s="1263"/>
      <c r="T35" s="1384">
        <v>1624.1637881346373</v>
      </c>
      <c r="U35" s="1384">
        <v>2349.5300554519877</v>
      </c>
      <c r="V35" s="1384">
        <v>154.03157771291373</v>
      </c>
      <c r="W35" s="1384">
        <v>83.854461565512892</v>
      </c>
      <c r="X35" s="1384">
        <v>39.747628710818759</v>
      </c>
      <c r="Y35" s="1285">
        <f t="shared" si="6"/>
        <v>6.9198815111143341E-2</v>
      </c>
      <c r="Z35" s="1399">
        <v>12.320552619375</v>
      </c>
      <c r="AA35" s="1399">
        <v>3</v>
      </c>
      <c r="AB35" s="1399">
        <v>0</v>
      </c>
      <c r="AC35" s="1384">
        <f t="shared" si="7"/>
        <v>7.5680712616163968</v>
      </c>
      <c r="AD35" s="1284">
        <f t="shared" si="2"/>
        <v>0.72965694018156091</v>
      </c>
      <c r="AE35" s="1384">
        <v>46.990601109039773</v>
      </c>
      <c r="AF35" s="1384">
        <v>46.050789086858977</v>
      </c>
      <c r="AG35" s="1384">
        <v>45.129773305121802</v>
      </c>
      <c r="AH35" s="1263"/>
      <c r="AI35" s="1263"/>
      <c r="AJ35" s="1263"/>
      <c r="AK35" s="1263"/>
      <c r="AL35" s="1263"/>
      <c r="AM35" s="1263"/>
      <c r="AN35" s="1263"/>
      <c r="AO35" s="1263"/>
      <c r="AP35" s="1263"/>
      <c r="AQ35" s="1383">
        <f t="shared" si="3"/>
        <v>0</v>
      </c>
      <c r="AR35" s="1266"/>
    </row>
    <row r="36" spans="1:44" ht="21.75" thickBot="1">
      <c r="A36" s="1521">
        <v>34</v>
      </c>
      <c r="B36" s="1514" t="s">
        <v>2300</v>
      </c>
      <c r="C36" s="1267" t="s">
        <v>29</v>
      </c>
      <c r="D36" s="1459" t="s">
        <v>2375</v>
      </c>
      <c r="E36" s="1459" t="s">
        <v>2376</v>
      </c>
      <c r="F36" s="1450" t="s">
        <v>200</v>
      </c>
      <c r="G36" s="1267" t="s">
        <v>2222</v>
      </c>
      <c r="H36" s="1268">
        <v>172211</v>
      </c>
      <c r="I36" s="1269" t="s">
        <v>35</v>
      </c>
      <c r="J36" s="1269" t="s">
        <v>2306</v>
      </c>
      <c r="K36" s="1386">
        <v>45433</v>
      </c>
      <c r="L36" s="1386">
        <v>45433</v>
      </c>
      <c r="M36" s="1267" t="s">
        <v>2374</v>
      </c>
      <c r="N36" s="1386">
        <v>45423</v>
      </c>
      <c r="O36" s="1401">
        <v>45463</v>
      </c>
      <c r="P36" s="1267" t="s">
        <v>2379</v>
      </c>
      <c r="Q36" s="1387">
        <v>11.443069177100002</v>
      </c>
      <c r="R36" s="1387">
        <v>8.6603999999999974</v>
      </c>
      <c r="S36" s="1275">
        <f>R36/Q36</f>
        <v>0.75682492747062013</v>
      </c>
      <c r="T36" s="1388">
        <v>763.35460092467497</v>
      </c>
      <c r="U36" s="1388">
        <v>1212.4722660214679</v>
      </c>
      <c r="V36" s="1388">
        <v>91.793756339507738</v>
      </c>
      <c r="W36" s="1388">
        <v>70.03789500536385</v>
      </c>
      <c r="X36" s="1388">
        <v>24.62922540491255</v>
      </c>
      <c r="Y36" s="1276">
        <f t="shared" ref="Y36:Y43" si="8">V36/(U36-W36-X36)</f>
        <v>8.2119640171558636E-2</v>
      </c>
      <c r="Z36" s="1388">
        <v>1067.5832070230254</v>
      </c>
      <c r="AA36" s="1388">
        <v>262.25</v>
      </c>
      <c r="AB36" s="1388">
        <v>48.053032946666661</v>
      </c>
      <c r="AC36" s="1388">
        <f t="shared" ref="AC36:AC43" si="9">U36*H36/10^7</f>
        <v>20.880106140382303</v>
      </c>
      <c r="AD36" s="1275">
        <f t="shared" ref="AD36:AD43" si="10">T36/(U36-W36-X36)</f>
        <v>0.68290489082271078</v>
      </c>
      <c r="AE36" s="1388">
        <v>12.124722660214678</v>
      </c>
      <c r="AF36" s="1388">
        <v>12.003475433612531</v>
      </c>
      <c r="AG36" s="1388">
        <v>11.883440679276404</v>
      </c>
      <c r="AH36" s="1267"/>
      <c r="AI36" s="1267"/>
      <c r="AJ36" s="1267"/>
      <c r="AK36" s="1267"/>
      <c r="AL36" s="1267"/>
      <c r="AM36" s="1267"/>
      <c r="AN36" s="1267"/>
      <c r="AO36" s="1267"/>
      <c r="AP36" s="1267"/>
      <c r="AQ36" s="1387">
        <f t="shared" si="3"/>
        <v>0</v>
      </c>
      <c r="AR36" s="1640"/>
    </row>
    <row r="37" spans="1:44" ht="21.75" thickBot="1">
      <c r="A37" s="1521">
        <v>35</v>
      </c>
      <c r="B37" s="1518" t="s">
        <v>2399</v>
      </c>
      <c r="C37" s="1311" t="s">
        <v>29</v>
      </c>
      <c r="D37" s="1487" t="s">
        <v>2400</v>
      </c>
      <c r="E37" s="1707" t="s">
        <v>2403</v>
      </c>
      <c r="F37" s="1708" t="s">
        <v>138</v>
      </c>
      <c r="G37" s="1311" t="s">
        <v>2401</v>
      </c>
      <c r="H37" s="1703">
        <v>200000</v>
      </c>
      <c r="I37" s="1309" t="s">
        <v>35</v>
      </c>
      <c r="J37" s="1309" t="s">
        <v>2306</v>
      </c>
      <c r="K37" s="1430">
        <v>45481</v>
      </c>
      <c r="L37" s="1430">
        <v>45482</v>
      </c>
      <c r="M37" s="1421">
        <v>45487</v>
      </c>
      <c r="N37" s="1421">
        <v>45491</v>
      </c>
      <c r="O37" s="1543">
        <v>45498</v>
      </c>
      <c r="P37" s="1311" t="s">
        <v>2379</v>
      </c>
      <c r="Q37" s="1431">
        <v>2.3597028839999998</v>
      </c>
      <c r="R37" s="1431">
        <v>1.6</v>
      </c>
      <c r="S37" s="1709">
        <f>R37/Q37</f>
        <v>0.67805146607601474</v>
      </c>
      <c r="T37" s="1432">
        <v>220.28580006304003</v>
      </c>
      <c r="U37" s="1432">
        <v>299.98181917025511</v>
      </c>
      <c r="V37" s="1432">
        <v>17.238412805831175</v>
      </c>
      <c r="W37" s="1432">
        <v>4.3299973730645522</v>
      </c>
      <c r="X37" s="1432">
        <v>4.311415223060405</v>
      </c>
      <c r="Y37" s="1433">
        <f t="shared" si="8"/>
        <v>5.9169316774619604E-2</v>
      </c>
      <c r="Z37" s="1432">
        <v>393.35925918366001</v>
      </c>
      <c r="AA37" s="1432">
        <v>35</v>
      </c>
      <c r="AB37" s="1432">
        <v>61.983922</v>
      </c>
      <c r="AC37" s="1432">
        <f t="shared" si="9"/>
        <v>5.9996363834051021</v>
      </c>
      <c r="AD37" s="1434">
        <f t="shared" si="10"/>
        <v>0.75611139097861246</v>
      </c>
      <c r="AE37" s="1432">
        <v>4.4997272875538279</v>
      </c>
      <c r="AF37" s="1432">
        <v>4.4322313782405214</v>
      </c>
      <c r="AG37" s="1432">
        <v>4.365747907566913</v>
      </c>
      <c r="AH37" s="1311"/>
      <c r="AI37" s="1311"/>
      <c r="AJ37" s="1311"/>
      <c r="AK37" s="1311"/>
      <c r="AL37" s="1307"/>
      <c r="AM37" s="1311"/>
      <c r="AN37" s="1311"/>
      <c r="AO37" s="1311"/>
      <c r="AP37" s="1580"/>
      <c r="AQ37" s="1436">
        <f t="shared" si="3"/>
        <v>0</v>
      </c>
      <c r="AR37" s="1620"/>
    </row>
    <row r="38" spans="1:44">
      <c r="A38" s="1521">
        <v>36</v>
      </c>
      <c r="B38" s="1700" t="s">
        <v>2399</v>
      </c>
      <c r="C38" s="1260" t="s">
        <v>29</v>
      </c>
      <c r="D38" s="1457" t="s">
        <v>2402</v>
      </c>
      <c r="E38" s="1457" t="s">
        <v>2404</v>
      </c>
      <c r="F38" s="1314" t="s">
        <v>2405</v>
      </c>
      <c r="G38" s="1260" t="s">
        <v>2401</v>
      </c>
      <c r="H38" s="1588">
        <v>200000</v>
      </c>
      <c r="I38" s="1552" t="s">
        <v>35</v>
      </c>
      <c r="J38" s="1549" t="s">
        <v>2306</v>
      </c>
      <c r="K38" s="1556">
        <v>45481</v>
      </c>
      <c r="L38" s="1557">
        <v>45482</v>
      </c>
      <c r="M38" s="1553">
        <v>45487</v>
      </c>
      <c r="N38" s="1550">
        <v>45491</v>
      </c>
      <c r="O38" s="1590">
        <v>45498</v>
      </c>
      <c r="P38" s="1260" t="s">
        <v>2379</v>
      </c>
      <c r="Q38" s="1381">
        <v>2.3912141842105261</v>
      </c>
      <c r="R38" s="1381">
        <v>2.0642</v>
      </c>
      <c r="S38" s="1403">
        <f>R38/Q38</f>
        <v>0.8632434574996084</v>
      </c>
      <c r="T38" s="1382">
        <v>281.80913909099996</v>
      </c>
      <c r="U38" s="1382">
        <v>358.20112784696221</v>
      </c>
      <c r="V38" s="1382">
        <v>17.165109404569485</v>
      </c>
      <c r="W38" s="1382">
        <v>5.0765486442825782</v>
      </c>
      <c r="X38" s="1382">
        <v>4.1055908707585926</v>
      </c>
      <c r="Y38" s="1279">
        <f t="shared" si="8"/>
        <v>4.9181018736565905E-2</v>
      </c>
      <c r="Z38" s="1382">
        <v>276.07270244400002</v>
      </c>
      <c r="AA38" s="1382">
        <v>41.5</v>
      </c>
      <c r="AB38" s="1382">
        <v>18.874980899999997</v>
      </c>
      <c r="AC38" s="1382">
        <f t="shared" si="9"/>
        <v>7.1640225569392442</v>
      </c>
      <c r="AD38" s="1278">
        <f t="shared" si="10"/>
        <v>0.80743211261330072</v>
      </c>
      <c r="AE38" s="1382">
        <v>3.5820112784696216</v>
      </c>
      <c r="AF38" s="1382">
        <v>3.5461911656849252</v>
      </c>
      <c r="AG38" s="1382">
        <v>3.5107292540280759</v>
      </c>
      <c r="AH38" s="1559" t="s">
        <v>2775</v>
      </c>
      <c r="AI38" s="1559"/>
      <c r="AJ38" s="1559">
        <v>358.18</v>
      </c>
      <c r="AK38" s="1761">
        <v>299.2</v>
      </c>
      <c r="AL38" s="1583"/>
      <c r="AM38" s="1565">
        <v>18.87</v>
      </c>
      <c r="AN38" s="1559">
        <v>-3.58</v>
      </c>
      <c r="AO38" s="1559">
        <v>-3.55</v>
      </c>
      <c r="AP38" s="1575">
        <v>-3.51</v>
      </c>
      <c r="AQ38" s="1642">
        <f t="shared" si="3"/>
        <v>7.1635999999999997</v>
      </c>
      <c r="AR38" s="1614"/>
    </row>
    <row r="39" spans="1:44" ht="21.75" thickBot="1">
      <c r="A39" s="1521">
        <v>37</v>
      </c>
      <c r="B39" s="1513" t="s">
        <v>2399</v>
      </c>
      <c r="C39" s="1263" t="s">
        <v>29</v>
      </c>
      <c r="D39" s="1458" t="s">
        <v>2402</v>
      </c>
      <c r="E39" s="1458" t="s">
        <v>2407</v>
      </c>
      <c r="F39" s="1316" t="s">
        <v>2406</v>
      </c>
      <c r="G39" s="1263" t="s">
        <v>2401</v>
      </c>
      <c r="H39" s="1589">
        <v>200000</v>
      </c>
      <c r="I39" s="1528" t="s">
        <v>35</v>
      </c>
      <c r="J39" s="1527" t="s">
        <v>2306</v>
      </c>
      <c r="K39" s="1558">
        <v>45481</v>
      </c>
      <c r="L39" s="1532">
        <v>45482</v>
      </c>
      <c r="M39" s="1529">
        <v>45487</v>
      </c>
      <c r="N39" s="1551">
        <v>45491</v>
      </c>
      <c r="O39" s="1591">
        <v>45498</v>
      </c>
      <c r="P39" s="1263" t="s">
        <v>2379</v>
      </c>
      <c r="Q39" s="1383">
        <v>2.2769384842105262</v>
      </c>
      <c r="R39" s="1383">
        <v>1.9864999999999999</v>
      </c>
      <c r="S39" s="1405">
        <f>R39/Q39</f>
        <v>0.87244342074914294</v>
      </c>
      <c r="T39" s="1384">
        <v>273.94293945599992</v>
      </c>
      <c r="U39" s="1384">
        <v>341.7154561788883</v>
      </c>
      <c r="V39" s="1384">
        <v>15.405604060327574</v>
      </c>
      <c r="W39" s="1384">
        <v>5.0765486442825782</v>
      </c>
      <c r="X39" s="1384">
        <v>3.617696227377059</v>
      </c>
      <c r="Y39" s="1285">
        <f t="shared" si="8"/>
        <v>4.6260128596178625E-2</v>
      </c>
      <c r="Z39" s="1384">
        <v>243.84299662800001</v>
      </c>
      <c r="AA39" s="1384">
        <v>33</v>
      </c>
      <c r="AB39" s="1384">
        <v>18.874980899999997</v>
      </c>
      <c r="AC39" s="1384">
        <f t="shared" si="9"/>
        <v>6.834309123577766</v>
      </c>
      <c r="AD39" s="1284">
        <f t="shared" si="10"/>
        <v>0.82259907223529349</v>
      </c>
      <c r="AE39" s="1384">
        <v>3.4171545617888839</v>
      </c>
      <c r="AF39" s="1384">
        <v>3.3829830161709946</v>
      </c>
      <c r="AG39" s="1384">
        <v>3.3491531860092847</v>
      </c>
      <c r="AH39" s="1561" t="s">
        <v>2775</v>
      </c>
      <c r="AI39" s="1561"/>
      <c r="AJ39" s="1561">
        <v>341.7</v>
      </c>
      <c r="AK39" s="1762">
        <v>258.63</v>
      </c>
      <c r="AL39" s="1584"/>
      <c r="AM39" s="1566">
        <v>18.87</v>
      </c>
      <c r="AN39" s="1561">
        <v>-3.42</v>
      </c>
      <c r="AO39" s="1561">
        <v>-3.38</v>
      </c>
      <c r="AP39" s="1567">
        <v>-3.35</v>
      </c>
      <c r="AQ39" s="1642">
        <f t="shared" si="3"/>
        <v>6.8339999999999996</v>
      </c>
      <c r="AR39" s="1615"/>
    </row>
    <row r="40" spans="1:44">
      <c r="A40" s="1521">
        <v>38</v>
      </c>
      <c r="B40" s="1519" t="s">
        <v>2399</v>
      </c>
      <c r="C40" s="1317" t="s">
        <v>29</v>
      </c>
      <c r="D40" s="1488" t="s">
        <v>2410</v>
      </c>
      <c r="E40" s="1586" t="s">
        <v>2411</v>
      </c>
      <c r="F40" s="1456" t="s">
        <v>2408</v>
      </c>
      <c r="G40" s="1317" t="s">
        <v>2401</v>
      </c>
      <c r="H40" s="1319">
        <v>200000</v>
      </c>
      <c r="I40" s="1261" t="s">
        <v>35</v>
      </c>
      <c r="J40" s="1261" t="s">
        <v>2306</v>
      </c>
      <c r="K40" s="1325">
        <v>45481</v>
      </c>
      <c r="L40" s="1325">
        <v>45482</v>
      </c>
      <c r="M40" s="1277">
        <v>45487</v>
      </c>
      <c r="N40" s="1277">
        <v>45491</v>
      </c>
      <c r="O40" s="1538" t="s">
        <v>2468</v>
      </c>
      <c r="P40" s="1317" t="s">
        <v>2379</v>
      </c>
      <c r="Q40" s="1436">
        <v>5.4486008355000006</v>
      </c>
      <c r="R40" s="1436">
        <v>3.9189000000000003</v>
      </c>
      <c r="S40" s="1587">
        <f t="shared" ref="S40:S43" si="11">R40/Q40</f>
        <v>0.71924887109855151</v>
      </c>
      <c r="T40" s="1454">
        <v>404.02</v>
      </c>
      <c r="U40" s="1454">
        <v>642.49102223110606</v>
      </c>
      <c r="V40" s="1437">
        <v>49.282990486894256</v>
      </c>
      <c r="W40" s="1437">
        <v>28.966189323259421</v>
      </c>
      <c r="X40" s="1437">
        <v>13.114001503311085</v>
      </c>
      <c r="Y40" s="1339">
        <f t="shared" si="8"/>
        <v>8.2082114294319122E-2</v>
      </c>
      <c r="Z40" s="1437">
        <v>531.88093089978008</v>
      </c>
      <c r="AA40" s="1437">
        <v>116</v>
      </c>
      <c r="AB40" s="1437">
        <v>26.984837159999998</v>
      </c>
      <c r="AC40" s="1437">
        <f t="shared" si="9"/>
        <v>12.849820444622122</v>
      </c>
      <c r="AD40" s="1338">
        <f t="shared" si="10"/>
        <v>0.67290591519623277</v>
      </c>
      <c r="AE40" s="1437">
        <v>9.6373653334665885</v>
      </c>
      <c r="AF40" s="1437">
        <v>9.4928048534645892</v>
      </c>
      <c r="AG40" s="1437">
        <v>9.3504127806626212</v>
      </c>
      <c r="AH40" s="1317"/>
      <c r="AI40" s="1317"/>
      <c r="AJ40" s="1317"/>
      <c r="AK40" s="1317"/>
      <c r="AL40" s="1260"/>
      <c r="AM40" s="1317"/>
      <c r="AN40" s="1317"/>
      <c r="AO40" s="1317"/>
      <c r="AP40" s="1579"/>
      <c r="AQ40" s="1390">
        <f t="shared" si="3"/>
        <v>0</v>
      </c>
      <c r="AR40" s="1616"/>
    </row>
    <row r="41" spans="1:44" ht="21.75" thickBot="1">
      <c r="A41" s="1521">
        <v>39</v>
      </c>
      <c r="B41" s="1622" t="s">
        <v>2399</v>
      </c>
      <c r="C41" s="1292" t="s">
        <v>29</v>
      </c>
      <c r="D41" s="1485" t="s">
        <v>2410</v>
      </c>
      <c r="E41" s="1460" t="s">
        <v>2412</v>
      </c>
      <c r="F41" s="1696" t="s">
        <v>2409</v>
      </c>
      <c r="G41" s="1292" t="s">
        <v>2401</v>
      </c>
      <c r="H41" s="1322">
        <v>200000</v>
      </c>
      <c r="I41" s="1293" t="s">
        <v>35</v>
      </c>
      <c r="J41" s="1293" t="s">
        <v>2306</v>
      </c>
      <c r="K41" s="1413">
        <v>45481</v>
      </c>
      <c r="L41" s="1413">
        <v>45482</v>
      </c>
      <c r="M41" s="1413">
        <v>45487</v>
      </c>
      <c r="N41" s="1413">
        <v>45491</v>
      </c>
      <c r="O41" s="1535" t="s">
        <v>2468</v>
      </c>
      <c r="P41" s="1292" t="s">
        <v>2379</v>
      </c>
      <c r="Q41" s="1414">
        <v>5.3323159395000008</v>
      </c>
      <c r="R41" s="1414">
        <v>3.8313000000000001</v>
      </c>
      <c r="S41" s="1596">
        <f t="shared" si="11"/>
        <v>0.71850581313440565</v>
      </c>
      <c r="T41" s="1710">
        <v>397.42</v>
      </c>
      <c r="U41" s="1710">
        <v>621.56408498991436</v>
      </c>
      <c r="V41" s="1415">
        <v>46.462251612612853</v>
      </c>
      <c r="W41" s="1415">
        <v>28.966189323259421</v>
      </c>
      <c r="X41" s="1415">
        <v>12.312950437764394</v>
      </c>
      <c r="Y41" s="1420">
        <f t="shared" si="8"/>
        <v>8.0067994171873685E-2</v>
      </c>
      <c r="Z41" s="1415">
        <v>510.32564046618</v>
      </c>
      <c r="AA41" s="1415">
        <v>107.5</v>
      </c>
      <c r="AB41" s="1415">
        <v>26.984837159999998</v>
      </c>
      <c r="AC41" s="1415">
        <f t="shared" si="9"/>
        <v>12.431281699798287</v>
      </c>
      <c r="AD41" s="1416">
        <f t="shared" si="10"/>
        <v>0.68487043006645576</v>
      </c>
      <c r="AE41" s="1415">
        <v>9.3234612748487162</v>
      </c>
      <c r="AF41" s="1415">
        <v>9.1836093557259861</v>
      </c>
      <c r="AG41" s="1415">
        <v>9.0458552153900982</v>
      </c>
      <c r="AH41" s="1292"/>
      <c r="AI41" s="1292"/>
      <c r="AJ41" s="1292"/>
      <c r="AK41" s="1292"/>
      <c r="AL41" s="1292"/>
      <c r="AM41" s="1292"/>
      <c r="AN41" s="1292"/>
      <c r="AO41" s="1292"/>
      <c r="AP41" s="1576"/>
      <c r="AQ41" s="1414">
        <f t="shared" si="3"/>
        <v>0</v>
      </c>
      <c r="AR41" s="1617"/>
    </row>
    <row r="42" spans="1:44" ht="21.75" thickBot="1">
      <c r="A42" s="1521">
        <v>40</v>
      </c>
      <c r="B42" s="1514" t="s">
        <v>2399</v>
      </c>
      <c r="C42" s="1267" t="s">
        <v>29</v>
      </c>
      <c r="D42" s="1459" t="s">
        <v>2413</v>
      </c>
      <c r="E42" s="1459" t="s">
        <v>2415</v>
      </c>
      <c r="F42" s="1450" t="s">
        <v>2417</v>
      </c>
      <c r="G42" s="1267" t="s">
        <v>2401</v>
      </c>
      <c r="H42" s="1268">
        <v>200000</v>
      </c>
      <c r="I42" s="1269" t="s">
        <v>35</v>
      </c>
      <c r="J42" s="1269" t="s">
        <v>2306</v>
      </c>
      <c r="K42" s="1386">
        <v>45481</v>
      </c>
      <c r="L42" s="1386">
        <v>45482</v>
      </c>
      <c r="M42" s="1386">
        <v>45487</v>
      </c>
      <c r="N42" s="1386">
        <v>45491</v>
      </c>
      <c r="O42" s="1408" t="s">
        <v>2469</v>
      </c>
      <c r="P42" s="1267" t="s">
        <v>2379</v>
      </c>
      <c r="Q42" s="1387">
        <v>5.6085200196666669</v>
      </c>
      <c r="R42" s="1387">
        <v>2.9325999999999999</v>
      </c>
      <c r="S42" s="1402">
        <f t="shared" si="11"/>
        <v>0.52288304039508338</v>
      </c>
      <c r="T42" s="1388">
        <v>471.42734653783657</v>
      </c>
      <c r="U42" s="1388">
        <v>593.32657870347134</v>
      </c>
      <c r="V42" s="1388">
        <v>27.946637590048173</v>
      </c>
      <c r="W42" s="1388">
        <v>22</v>
      </c>
      <c r="X42" s="1388">
        <v>6.5997704850149983</v>
      </c>
      <c r="Y42" s="1276">
        <f t="shared" si="8"/>
        <v>4.9487003597742121E-2</v>
      </c>
      <c r="Z42" s="1388">
        <v>566.75940448916242</v>
      </c>
      <c r="AA42" s="1388">
        <v>46</v>
      </c>
      <c r="AB42" s="1388">
        <v>25.5</v>
      </c>
      <c r="AC42" s="1388">
        <f t="shared" si="9"/>
        <v>11.866531574069427</v>
      </c>
      <c r="AD42" s="1275">
        <f t="shared" si="10"/>
        <v>0.83478832539409353</v>
      </c>
      <c r="AE42" s="1388">
        <v>5.9332657870347116</v>
      </c>
      <c r="AF42" s="1388">
        <v>5.8739331291643646</v>
      </c>
      <c r="AG42" s="1388">
        <v>5.8151937978727215</v>
      </c>
      <c r="AH42" s="1267"/>
      <c r="AI42" s="1267"/>
      <c r="AJ42" s="1267"/>
      <c r="AK42" s="1267"/>
      <c r="AL42" s="1267"/>
      <c r="AM42" s="1267"/>
      <c r="AN42" s="1267"/>
      <c r="AO42" s="1267"/>
      <c r="AP42" s="1267"/>
      <c r="AQ42" s="1387">
        <f t="shared" si="3"/>
        <v>0</v>
      </c>
      <c r="AR42" s="1640"/>
    </row>
    <row r="43" spans="1:44" ht="21.75" thickBot="1">
      <c r="A43" s="1521">
        <v>41</v>
      </c>
      <c r="B43" s="1514" t="s">
        <v>2399</v>
      </c>
      <c r="C43" s="1267" t="s">
        <v>29</v>
      </c>
      <c r="D43" s="1459" t="s">
        <v>2414</v>
      </c>
      <c r="E43" s="1459" t="s">
        <v>2416</v>
      </c>
      <c r="F43" s="1450" t="s">
        <v>2418</v>
      </c>
      <c r="G43" s="1267" t="s">
        <v>2401</v>
      </c>
      <c r="H43" s="1268">
        <v>200000</v>
      </c>
      <c r="I43" s="1269" t="s">
        <v>35</v>
      </c>
      <c r="J43" s="1269" t="s">
        <v>2306</v>
      </c>
      <c r="K43" s="1386">
        <v>45481</v>
      </c>
      <c r="L43" s="1386">
        <v>45482</v>
      </c>
      <c r="M43" s="1386">
        <v>45487</v>
      </c>
      <c r="N43" s="1386">
        <v>45491</v>
      </c>
      <c r="O43" s="1401">
        <v>45503</v>
      </c>
      <c r="P43" s="1267" t="s">
        <v>2379</v>
      </c>
      <c r="Q43" s="1387">
        <v>4.137262163322581</v>
      </c>
      <c r="R43" s="1387">
        <v>2.3300999999999994</v>
      </c>
      <c r="S43" s="1402">
        <f t="shared" si="11"/>
        <v>0.56319853758765115</v>
      </c>
      <c r="T43" s="1388">
        <v>328.88205274378646</v>
      </c>
      <c r="U43" s="1388">
        <v>471.84815926116841</v>
      </c>
      <c r="V43" s="1388">
        <v>30.314038885655684</v>
      </c>
      <c r="W43" s="1388">
        <v>22</v>
      </c>
      <c r="X43" s="1388">
        <v>7.7715288375914415</v>
      </c>
      <c r="Y43" s="1276">
        <f t="shared" si="8"/>
        <v>6.8571909934732819E-2</v>
      </c>
      <c r="Z43" s="1388">
        <v>412.97592800165626</v>
      </c>
      <c r="AA43" s="1388">
        <v>75.75</v>
      </c>
      <c r="AB43" s="1388">
        <v>24.046046799999999</v>
      </c>
      <c r="AC43" s="1388">
        <f t="shared" si="9"/>
        <v>9.4369631852233677</v>
      </c>
      <c r="AD43" s="1275">
        <f t="shared" si="10"/>
        <v>0.74394806264395208</v>
      </c>
      <c r="AE43" s="1388">
        <v>7.0777223889175263</v>
      </c>
      <c r="AF43" s="1388">
        <v>6.9715565530837633</v>
      </c>
      <c r="AG43" s="1388">
        <v>6.8669832047875072</v>
      </c>
      <c r="AH43" s="1568" t="s">
        <v>2775</v>
      </c>
      <c r="AI43" s="1568"/>
      <c r="AJ43" s="1568">
        <v>471.63</v>
      </c>
      <c r="AK43" s="1763">
        <v>468.72</v>
      </c>
      <c r="AL43" s="1267"/>
      <c r="AM43" s="1568">
        <v>24.05</v>
      </c>
      <c r="AN43" s="1568">
        <v>-7.07</v>
      </c>
      <c r="AO43" s="1568">
        <v>-6.97</v>
      </c>
      <c r="AP43" s="1568">
        <v>-6.86</v>
      </c>
      <c r="AQ43" s="1717">
        <f t="shared" si="3"/>
        <v>9.4326000000000008</v>
      </c>
      <c r="AR43" s="1718"/>
    </row>
    <row r="44" spans="1:44" ht="21.75" thickBot="1">
      <c r="A44" s="1521">
        <v>42</v>
      </c>
      <c r="B44" s="1514" t="s">
        <v>2420</v>
      </c>
      <c r="C44" s="1267" t="s">
        <v>29</v>
      </c>
      <c r="D44" s="1459" t="s">
        <v>2421</v>
      </c>
      <c r="E44" s="1459" t="s">
        <v>2422</v>
      </c>
      <c r="F44" s="1450" t="s">
        <v>2423</v>
      </c>
      <c r="G44" s="1267" t="s">
        <v>2424</v>
      </c>
      <c r="H44" s="1268">
        <v>22000</v>
      </c>
      <c r="I44" s="1267" t="s">
        <v>35</v>
      </c>
      <c r="J44" s="1267" t="s">
        <v>2306</v>
      </c>
      <c r="K44" s="1386">
        <v>45485</v>
      </c>
      <c r="L44" s="1386">
        <v>45488</v>
      </c>
      <c r="M44" s="1386">
        <v>45493</v>
      </c>
      <c r="N44" s="1386">
        <v>45496</v>
      </c>
      <c r="O44" s="1401"/>
      <c r="P44" s="1267" t="s">
        <v>2419</v>
      </c>
      <c r="Q44" s="1387"/>
      <c r="R44" s="1387"/>
      <c r="S44" s="1275"/>
      <c r="T44" s="1388"/>
      <c r="U44" s="1388"/>
      <c r="V44" s="1388"/>
      <c r="W44" s="1388"/>
      <c r="X44" s="1388"/>
      <c r="Y44" s="1276"/>
      <c r="Z44" s="1388"/>
      <c r="AA44" s="1388"/>
      <c r="AB44" s="1388"/>
      <c r="AC44" s="1388"/>
      <c r="AD44" s="1275"/>
      <c r="AE44" s="1388"/>
      <c r="AF44" s="1388"/>
      <c r="AG44" s="1388"/>
      <c r="AH44" s="1267"/>
      <c r="AI44" s="1267"/>
      <c r="AJ44" s="1267"/>
      <c r="AK44" s="1267"/>
      <c r="AL44" s="1267"/>
      <c r="AM44" s="1267"/>
      <c r="AN44" s="1267"/>
      <c r="AO44" s="1267"/>
      <c r="AP44" s="1267"/>
      <c r="AQ44" s="1387">
        <f t="shared" si="3"/>
        <v>0</v>
      </c>
      <c r="AR44" s="1640"/>
    </row>
    <row r="45" spans="1:44" ht="21.75" thickBot="1">
      <c r="A45" s="1521">
        <v>43</v>
      </c>
      <c r="B45" s="1514" t="s">
        <v>2425</v>
      </c>
      <c r="C45" s="1267" t="s">
        <v>29</v>
      </c>
      <c r="D45" s="1459" t="s">
        <v>2426</v>
      </c>
      <c r="E45" s="1459" t="s">
        <v>2427</v>
      </c>
      <c r="F45" s="1450" t="s">
        <v>2428</v>
      </c>
      <c r="G45" s="1267" t="s">
        <v>2424</v>
      </c>
      <c r="H45" s="1268">
        <v>1500</v>
      </c>
      <c r="I45" s="1267" t="s">
        <v>35</v>
      </c>
      <c r="J45" s="1267" t="s">
        <v>2306</v>
      </c>
      <c r="K45" s="1386">
        <v>45485</v>
      </c>
      <c r="L45" s="1386">
        <v>45488</v>
      </c>
      <c r="M45" s="1386">
        <v>45493</v>
      </c>
      <c r="N45" s="1386">
        <v>45496</v>
      </c>
      <c r="O45" s="1408"/>
      <c r="P45" s="1267" t="s">
        <v>2419</v>
      </c>
      <c r="Q45" s="1387"/>
      <c r="R45" s="1387"/>
      <c r="S45" s="1275"/>
      <c r="T45" s="1388"/>
      <c r="U45" s="1388"/>
      <c r="V45" s="1388"/>
      <c r="W45" s="1388"/>
      <c r="X45" s="1388"/>
      <c r="Y45" s="1276"/>
      <c r="Z45" s="1388"/>
      <c r="AA45" s="1388"/>
      <c r="AB45" s="1388"/>
      <c r="AC45" s="1388"/>
      <c r="AD45" s="1275"/>
      <c r="AE45" s="1388"/>
      <c r="AF45" s="1388"/>
      <c r="AG45" s="1388"/>
      <c r="AH45" s="1267"/>
      <c r="AI45" s="1267"/>
      <c r="AJ45" s="1267"/>
      <c r="AK45" s="1267"/>
      <c r="AL45" s="1267"/>
      <c r="AM45" s="1267"/>
      <c r="AN45" s="1267"/>
      <c r="AO45" s="1267"/>
      <c r="AP45" s="1267"/>
      <c r="AQ45" s="1387">
        <f t="shared" si="3"/>
        <v>0</v>
      </c>
      <c r="AR45" s="1640"/>
    </row>
    <row r="46" spans="1:44">
      <c r="A46" s="1521">
        <v>44</v>
      </c>
      <c r="B46" s="1700" t="s">
        <v>2429</v>
      </c>
      <c r="C46" s="1347" t="s">
        <v>2430</v>
      </c>
      <c r="D46" s="1490"/>
      <c r="E46" s="1490">
        <v>10419637</v>
      </c>
      <c r="F46" s="1491" t="s">
        <v>2431</v>
      </c>
      <c r="G46" s="1347" t="s">
        <v>2432</v>
      </c>
      <c r="H46" s="1492">
        <v>75200</v>
      </c>
      <c r="I46" s="1347" t="s">
        <v>2433</v>
      </c>
      <c r="J46" s="1347" t="s">
        <v>2434</v>
      </c>
      <c r="K46" s="1493">
        <v>45439</v>
      </c>
      <c r="L46" s="1493">
        <v>45440</v>
      </c>
      <c r="M46" s="1493">
        <v>45463</v>
      </c>
      <c r="N46" s="1493"/>
      <c r="O46" s="1540"/>
      <c r="P46" s="1347" t="s">
        <v>2419</v>
      </c>
      <c r="Q46" s="1623"/>
      <c r="R46" s="1623"/>
      <c r="S46" s="1498"/>
      <c r="T46" s="1496"/>
      <c r="U46" s="1496"/>
      <c r="V46" s="1496"/>
      <c r="W46" s="1496"/>
      <c r="X46" s="1496"/>
      <c r="Y46" s="1497"/>
      <c r="Z46" s="1496"/>
      <c r="AA46" s="1496"/>
      <c r="AB46" s="1496"/>
      <c r="AC46" s="1496"/>
      <c r="AD46" s="1498"/>
      <c r="AE46" s="1496"/>
      <c r="AF46" s="1496"/>
      <c r="AG46" s="1496"/>
      <c r="AH46" s="1347"/>
      <c r="AI46" s="1347"/>
      <c r="AJ46" s="1347"/>
      <c r="AK46" s="1347"/>
      <c r="AL46" s="1347"/>
      <c r="AM46" s="1347"/>
      <c r="AN46" s="1347"/>
      <c r="AO46" s="1347"/>
      <c r="AP46" s="1347"/>
      <c r="AQ46" s="1623">
        <f t="shared" si="3"/>
        <v>0</v>
      </c>
      <c r="AR46" s="1350"/>
    </row>
    <row r="47" spans="1:44">
      <c r="A47" s="1521">
        <v>45</v>
      </c>
      <c r="B47" s="1515" t="s">
        <v>2429</v>
      </c>
      <c r="C47" s="1270" t="s">
        <v>2430</v>
      </c>
      <c r="D47" s="1448"/>
      <c r="E47" s="1448">
        <v>10419635</v>
      </c>
      <c r="F47" s="1315" t="s">
        <v>2431</v>
      </c>
      <c r="G47" s="1270" t="s">
        <v>2432</v>
      </c>
      <c r="H47" s="1273">
        <v>75200</v>
      </c>
      <c r="I47" s="1270" t="s">
        <v>2433</v>
      </c>
      <c r="J47" s="1270" t="s">
        <v>2434</v>
      </c>
      <c r="K47" s="1280">
        <v>45439</v>
      </c>
      <c r="L47" s="1280">
        <v>45440</v>
      </c>
      <c r="M47" s="1280">
        <v>45463</v>
      </c>
      <c r="N47" s="1280"/>
      <c r="O47" s="1533"/>
      <c r="P47" s="1270" t="s">
        <v>2419</v>
      </c>
      <c r="Q47" s="1390"/>
      <c r="R47" s="1390"/>
      <c r="S47" s="1281"/>
      <c r="T47" s="1391"/>
      <c r="U47" s="1391"/>
      <c r="V47" s="1391"/>
      <c r="W47" s="1391"/>
      <c r="X47" s="1391"/>
      <c r="Y47" s="1282"/>
      <c r="Z47" s="1391"/>
      <c r="AA47" s="1391"/>
      <c r="AB47" s="1391"/>
      <c r="AC47" s="1391"/>
      <c r="AD47" s="1281"/>
      <c r="AE47" s="1391"/>
      <c r="AF47" s="1391"/>
      <c r="AG47" s="1391"/>
      <c r="AH47" s="1270"/>
      <c r="AI47" s="1270"/>
      <c r="AJ47" s="1270"/>
      <c r="AK47" s="1270"/>
      <c r="AL47" s="1270"/>
      <c r="AM47" s="1270"/>
      <c r="AN47" s="1270"/>
      <c r="AO47" s="1270"/>
      <c r="AP47" s="1270"/>
      <c r="AQ47" s="1390">
        <f t="shared" si="3"/>
        <v>0</v>
      </c>
      <c r="AR47" s="1624"/>
    </row>
    <row r="48" spans="1:44">
      <c r="A48" s="1521">
        <v>46</v>
      </c>
      <c r="B48" s="1515" t="s">
        <v>2429</v>
      </c>
      <c r="C48" s="1270" t="s">
        <v>2430</v>
      </c>
      <c r="D48" s="1448"/>
      <c r="E48" s="1448">
        <v>10414507</v>
      </c>
      <c r="F48" s="1315" t="s">
        <v>2431</v>
      </c>
      <c r="G48" s="1270" t="s">
        <v>2432</v>
      </c>
      <c r="H48" s="1273">
        <v>27730</v>
      </c>
      <c r="I48" s="1270" t="s">
        <v>2433</v>
      </c>
      <c r="J48" s="1270" t="s">
        <v>2434</v>
      </c>
      <c r="K48" s="1280">
        <v>45439</v>
      </c>
      <c r="L48" s="1280">
        <v>45440</v>
      </c>
      <c r="M48" s="1280">
        <v>45463</v>
      </c>
      <c r="N48" s="1280"/>
      <c r="O48" s="1533"/>
      <c r="P48" s="1270" t="s">
        <v>2419</v>
      </c>
      <c r="Q48" s="1390"/>
      <c r="R48" s="1390"/>
      <c r="S48" s="1281"/>
      <c r="T48" s="1391"/>
      <c r="U48" s="1391"/>
      <c r="V48" s="1391"/>
      <c r="W48" s="1391"/>
      <c r="X48" s="1391"/>
      <c r="Y48" s="1282"/>
      <c r="Z48" s="1391"/>
      <c r="AA48" s="1391"/>
      <c r="AB48" s="1391"/>
      <c r="AC48" s="1391"/>
      <c r="AD48" s="1281"/>
      <c r="AE48" s="1391"/>
      <c r="AF48" s="1391"/>
      <c r="AG48" s="1391"/>
      <c r="AH48" s="1270"/>
      <c r="AI48" s="1270"/>
      <c r="AJ48" s="1270"/>
      <c r="AK48" s="1270"/>
      <c r="AL48" s="1270"/>
      <c r="AM48" s="1270"/>
      <c r="AN48" s="1270"/>
      <c r="AO48" s="1270"/>
      <c r="AP48" s="1270"/>
      <c r="AQ48" s="1390">
        <f t="shared" si="3"/>
        <v>0</v>
      </c>
      <c r="AR48" s="1624"/>
    </row>
    <row r="49" spans="1:44" ht="21.75" thickBot="1">
      <c r="A49" s="1521">
        <v>47</v>
      </c>
      <c r="B49" s="1513" t="s">
        <v>2429</v>
      </c>
      <c r="C49" s="1263" t="s">
        <v>2430</v>
      </c>
      <c r="D49" s="1458"/>
      <c r="E49" s="1458">
        <v>10414509</v>
      </c>
      <c r="F49" s="1316" t="s">
        <v>2431</v>
      </c>
      <c r="G49" s="1263" t="s">
        <v>2432</v>
      </c>
      <c r="H49" s="1264">
        <v>27730</v>
      </c>
      <c r="I49" s="1263" t="s">
        <v>2433</v>
      </c>
      <c r="J49" s="1263" t="s">
        <v>2434</v>
      </c>
      <c r="K49" s="1283">
        <v>45439</v>
      </c>
      <c r="L49" s="1283">
        <v>45440</v>
      </c>
      <c r="M49" s="1283">
        <v>45463</v>
      </c>
      <c r="N49" s="1283"/>
      <c r="O49" s="1394"/>
      <c r="P49" s="1263" t="s">
        <v>2419</v>
      </c>
      <c r="Q49" s="1383"/>
      <c r="R49" s="1383"/>
      <c r="S49" s="1284"/>
      <c r="T49" s="1384"/>
      <c r="U49" s="1384"/>
      <c r="V49" s="1384"/>
      <c r="W49" s="1384"/>
      <c r="X49" s="1384"/>
      <c r="Y49" s="1285"/>
      <c r="Z49" s="1384"/>
      <c r="AA49" s="1384"/>
      <c r="AB49" s="1384"/>
      <c r="AC49" s="1384"/>
      <c r="AD49" s="1284"/>
      <c r="AE49" s="1384"/>
      <c r="AF49" s="1384"/>
      <c r="AG49" s="1384"/>
      <c r="AH49" s="1263"/>
      <c r="AI49" s="1263"/>
      <c r="AJ49" s="1263"/>
      <c r="AK49" s="1263"/>
      <c r="AL49" s="1263"/>
      <c r="AM49" s="1263"/>
      <c r="AN49" s="1263"/>
      <c r="AO49" s="1263"/>
      <c r="AP49" s="1263"/>
      <c r="AQ49" s="1383">
        <f t="shared" si="3"/>
        <v>0</v>
      </c>
      <c r="AR49" s="1266"/>
    </row>
    <row r="50" spans="1:44">
      <c r="A50" s="1521">
        <v>48</v>
      </c>
      <c r="B50" s="1700" t="s">
        <v>2435</v>
      </c>
      <c r="C50" s="1347" t="s">
        <v>29</v>
      </c>
      <c r="D50" s="1490" t="s">
        <v>2444</v>
      </c>
      <c r="E50" s="1490" t="s">
        <v>2460</v>
      </c>
      <c r="F50" s="1491" t="s">
        <v>2436</v>
      </c>
      <c r="G50" s="1347" t="s">
        <v>2401</v>
      </c>
      <c r="H50" s="1711">
        <v>127400</v>
      </c>
      <c r="I50" s="1348" t="s">
        <v>35</v>
      </c>
      <c r="J50" s="1348" t="s">
        <v>2467</v>
      </c>
      <c r="K50" s="1493">
        <v>45496</v>
      </c>
      <c r="L50" s="1493">
        <v>45496</v>
      </c>
      <c r="M50" s="1493">
        <v>45470</v>
      </c>
      <c r="N50" s="1493">
        <v>45504</v>
      </c>
      <c r="O50" s="1540"/>
      <c r="P50" s="1347" t="s">
        <v>2379</v>
      </c>
      <c r="Q50" s="1623">
        <v>17.365886437747125</v>
      </c>
      <c r="R50" s="1623">
        <v>10.359100000000002</v>
      </c>
      <c r="S50" s="1495">
        <f t="shared" ref="S50:S97" si="12">R50/Q50</f>
        <v>0.59652008189360739</v>
      </c>
      <c r="T50" s="1496">
        <v>1244.5445199939279</v>
      </c>
      <c r="U50" s="1496">
        <v>1495.7983021481566</v>
      </c>
      <c r="V50" s="1496">
        <v>99.167323067577087</v>
      </c>
      <c r="W50" s="1496">
        <v>70.961757546115024</v>
      </c>
      <c r="X50" s="1496">
        <v>25.031521351692625</v>
      </c>
      <c r="Y50" s="1497">
        <f t="shared" ref="Y50:Y118" si="13">V50/(U50-W50-X50)</f>
        <v>7.0843668525571113E-2</v>
      </c>
      <c r="Z50" s="1496">
        <v>480.89236994452506</v>
      </c>
      <c r="AA50" s="1496">
        <v>247</v>
      </c>
      <c r="AB50" s="1496">
        <v>50.166966490000007</v>
      </c>
      <c r="AC50" s="1496">
        <f t="shared" ref="AC50:AC101" si="14">U50*H50/10^7</f>
        <v>19.056470369367517</v>
      </c>
      <c r="AD50" s="1694">
        <f t="shared" ref="AD50:AD101" si="15">T50/(U50-W50-X50)</f>
        <v>0.88908419338580025</v>
      </c>
      <c r="AE50" s="1496">
        <v>29.915966042963124</v>
      </c>
      <c r="AF50" s="1496">
        <v>29.317646722103859</v>
      </c>
      <c r="AG50" s="1496">
        <v>28.73129378766178</v>
      </c>
      <c r="AH50" s="1347"/>
      <c r="AI50" s="1347"/>
      <c r="AJ50" s="1347"/>
      <c r="AK50" s="1347"/>
      <c r="AL50" s="1347"/>
      <c r="AM50" s="1347"/>
      <c r="AN50" s="1347"/>
      <c r="AO50" s="1347"/>
      <c r="AP50" s="1347"/>
      <c r="AQ50" s="1623">
        <f t="shared" si="3"/>
        <v>0</v>
      </c>
      <c r="AR50" s="1350"/>
    </row>
    <row r="51" spans="1:44">
      <c r="A51" s="1521">
        <v>49</v>
      </c>
      <c r="B51" s="1515" t="s">
        <v>2435</v>
      </c>
      <c r="C51" s="1270" t="s">
        <v>29</v>
      </c>
      <c r="D51" s="1448" t="s">
        <v>2444</v>
      </c>
      <c r="E51" s="1448" t="s">
        <v>2461</v>
      </c>
      <c r="F51" s="1315" t="s">
        <v>2436</v>
      </c>
      <c r="G51" s="1270" t="s">
        <v>2401</v>
      </c>
      <c r="H51" s="1287">
        <v>68600</v>
      </c>
      <c r="I51" s="1272" t="s">
        <v>35</v>
      </c>
      <c r="J51" s="1272" t="s">
        <v>2467</v>
      </c>
      <c r="K51" s="1280">
        <v>45496</v>
      </c>
      <c r="L51" s="1280">
        <v>45496</v>
      </c>
      <c r="M51" s="1280">
        <v>45470</v>
      </c>
      <c r="N51" s="1280">
        <v>45504</v>
      </c>
      <c r="O51" s="1533"/>
      <c r="P51" s="1270" t="s">
        <v>2379</v>
      </c>
      <c r="Q51" s="1390">
        <v>20.692140262666658</v>
      </c>
      <c r="R51" s="1390">
        <v>11.854299999999999</v>
      </c>
      <c r="S51" s="1286">
        <f t="shared" si="12"/>
        <v>0.57288902208863623</v>
      </c>
      <c r="T51" s="1391">
        <v>1484.5357732591033</v>
      </c>
      <c r="U51" s="1391">
        <v>1792.5102028979838</v>
      </c>
      <c r="V51" s="1391">
        <v>123.76635397307233</v>
      </c>
      <c r="W51" s="1391">
        <v>70.961757546115024</v>
      </c>
      <c r="X51" s="1391">
        <v>31.511263291680088</v>
      </c>
      <c r="Y51" s="1282">
        <f t="shared" si="13"/>
        <v>7.3232917764684144E-2</v>
      </c>
      <c r="Z51" s="1391">
        <v>13.765391640000001</v>
      </c>
      <c r="AA51" s="1391">
        <v>4</v>
      </c>
      <c r="AB51" s="1391">
        <v>0</v>
      </c>
      <c r="AC51" s="1391">
        <f t="shared" si="14"/>
        <v>12.296619991880169</v>
      </c>
      <c r="AD51" s="1409">
        <f t="shared" si="15"/>
        <v>0.87840420850943923</v>
      </c>
      <c r="AE51" s="1391">
        <v>35.850204057959679</v>
      </c>
      <c r="AF51" s="1391">
        <v>35.133199976800491</v>
      </c>
      <c r="AG51" s="1391">
        <v>34.430535977264476</v>
      </c>
      <c r="AH51" s="1270"/>
      <c r="AI51" s="1270"/>
      <c r="AJ51" s="1270"/>
      <c r="AK51" s="1270"/>
      <c r="AL51" s="1270"/>
      <c r="AM51" s="1270"/>
      <c r="AN51" s="1270"/>
      <c r="AO51" s="1270"/>
      <c r="AP51" s="1270"/>
      <c r="AQ51" s="1390">
        <f t="shared" si="3"/>
        <v>0</v>
      </c>
      <c r="AR51" s="1624"/>
    </row>
    <row r="52" spans="1:44">
      <c r="A52" s="1521">
        <v>50</v>
      </c>
      <c r="B52" s="1515" t="s">
        <v>2435</v>
      </c>
      <c r="C52" s="1270" t="s">
        <v>29</v>
      </c>
      <c r="D52" s="1448" t="s">
        <v>2444</v>
      </c>
      <c r="E52" s="1448" t="s">
        <v>2462</v>
      </c>
      <c r="F52" s="1315" t="s">
        <v>2437</v>
      </c>
      <c r="G52" s="1270" t="s">
        <v>2401</v>
      </c>
      <c r="H52" s="1288">
        <v>127400</v>
      </c>
      <c r="I52" s="1272" t="s">
        <v>35</v>
      </c>
      <c r="J52" s="1272" t="s">
        <v>2467</v>
      </c>
      <c r="K52" s="1280">
        <v>45496</v>
      </c>
      <c r="L52" s="1280">
        <v>45496</v>
      </c>
      <c r="M52" s="1280">
        <v>45470</v>
      </c>
      <c r="N52" s="1280">
        <v>45504</v>
      </c>
      <c r="O52" s="1533"/>
      <c r="P52" s="1270" t="s">
        <v>2379</v>
      </c>
      <c r="Q52" s="1390">
        <v>17.444504977747126</v>
      </c>
      <c r="R52" s="1390">
        <v>10.1883</v>
      </c>
      <c r="S52" s="1286">
        <f t="shared" si="12"/>
        <v>0.58404064850201154</v>
      </c>
      <c r="T52" s="1391">
        <v>1229.8069219634281</v>
      </c>
      <c r="U52" s="1391">
        <v>1482.051705515127</v>
      </c>
      <c r="V52" s="1391">
        <v>99.651940345846143</v>
      </c>
      <c r="W52" s="1391">
        <v>70.961757546115024</v>
      </c>
      <c r="X52" s="1391">
        <v>25.235800202472067</v>
      </c>
      <c r="Y52" s="1282">
        <f t="shared" si="13"/>
        <v>7.1906513760085417E-2</v>
      </c>
      <c r="Z52" s="1391">
        <v>487.87189851592507</v>
      </c>
      <c r="AA52" s="1391">
        <v>248.5</v>
      </c>
      <c r="AB52" s="1391">
        <v>50.166966490000007</v>
      </c>
      <c r="AC52" s="1391">
        <f t="shared" si="14"/>
        <v>18.881338728262715</v>
      </c>
      <c r="AD52" s="1409">
        <f t="shared" si="15"/>
        <v>0.88739996481260353</v>
      </c>
      <c r="AE52" s="1391">
        <v>29.641034110302542</v>
      </c>
      <c r="AF52" s="1391">
        <v>29.048213428096489</v>
      </c>
      <c r="AG52" s="1391">
        <v>28.46724915953456</v>
      </c>
      <c r="AH52" s="1270"/>
      <c r="AI52" s="1270"/>
      <c r="AJ52" s="1270"/>
      <c r="AK52" s="1270"/>
      <c r="AL52" s="1270"/>
      <c r="AM52" s="1270"/>
      <c r="AN52" s="1270"/>
      <c r="AO52" s="1270"/>
      <c r="AP52" s="1270"/>
      <c r="AQ52" s="1390">
        <f t="shared" si="3"/>
        <v>0</v>
      </c>
      <c r="AR52" s="1624"/>
    </row>
    <row r="53" spans="1:44" ht="21.75" thickBot="1">
      <c r="A53" s="1521">
        <v>51</v>
      </c>
      <c r="B53" s="1513" t="s">
        <v>2435</v>
      </c>
      <c r="C53" s="1263" t="s">
        <v>29</v>
      </c>
      <c r="D53" s="1458" t="s">
        <v>2444</v>
      </c>
      <c r="E53" s="1458" t="s">
        <v>2462</v>
      </c>
      <c r="F53" s="1316" t="s">
        <v>2437</v>
      </c>
      <c r="G53" s="1263" t="s">
        <v>2401</v>
      </c>
      <c r="H53" s="1289">
        <v>68600</v>
      </c>
      <c r="I53" s="1265" t="s">
        <v>35</v>
      </c>
      <c r="J53" s="1265" t="s">
        <v>2467</v>
      </c>
      <c r="K53" s="1283">
        <v>45496</v>
      </c>
      <c r="L53" s="1283">
        <v>45496</v>
      </c>
      <c r="M53" s="1283">
        <v>45470</v>
      </c>
      <c r="N53" s="1283">
        <v>45504</v>
      </c>
      <c r="O53" s="1394"/>
      <c r="P53" s="1263" t="s">
        <v>2379</v>
      </c>
      <c r="Q53" s="1383">
        <v>20.816245019266663</v>
      </c>
      <c r="R53" s="1383">
        <v>11.4649</v>
      </c>
      <c r="S53" s="1455">
        <f t="shared" si="12"/>
        <v>0.55076696058239893</v>
      </c>
      <c r="T53" s="1384">
        <v>1447.6746031270056</v>
      </c>
      <c r="U53" s="1384">
        <v>1751.8224816383872</v>
      </c>
      <c r="V53" s="1384">
        <v>122.21459980930942</v>
      </c>
      <c r="W53" s="1384">
        <v>70.961757546115024</v>
      </c>
      <c r="X53" s="1384">
        <v>31.188014641046177</v>
      </c>
      <c r="Y53" s="1285">
        <f t="shared" si="13"/>
        <v>7.4084149606842245E-2</v>
      </c>
      <c r="Z53" s="1384">
        <v>7.9584613415999996</v>
      </c>
      <c r="AA53" s="1384">
        <v>1.5</v>
      </c>
      <c r="AB53" s="1384">
        <v>0</v>
      </c>
      <c r="AC53" s="1384">
        <f t="shared" si="14"/>
        <v>12.017502224039337</v>
      </c>
      <c r="AD53" s="1405">
        <f t="shared" si="15"/>
        <v>0.87755261685124419</v>
      </c>
      <c r="AE53" s="1384">
        <v>35.036449632767749</v>
      </c>
      <c r="AF53" s="1384">
        <v>34.335720640112392</v>
      </c>
      <c r="AG53" s="1384">
        <v>33.649006227310146</v>
      </c>
      <c r="AH53" s="1263"/>
      <c r="AI53" s="1263"/>
      <c r="AJ53" s="1263"/>
      <c r="AK53" s="1263"/>
      <c r="AL53" s="1263"/>
      <c r="AM53" s="1263"/>
      <c r="AN53" s="1263"/>
      <c r="AO53" s="1263"/>
      <c r="AP53" s="1263"/>
      <c r="AQ53" s="1383">
        <f t="shared" si="3"/>
        <v>0</v>
      </c>
      <c r="AR53" s="1266"/>
    </row>
    <row r="54" spans="1:44" ht="21.75" thickBot="1">
      <c r="A54" s="1521">
        <v>52</v>
      </c>
      <c r="B54" s="1514" t="s">
        <v>2435</v>
      </c>
      <c r="C54" s="1267" t="s">
        <v>29</v>
      </c>
      <c r="D54" s="1459" t="s">
        <v>2447</v>
      </c>
      <c r="E54" s="1459" t="s">
        <v>2446</v>
      </c>
      <c r="F54" s="1450" t="s">
        <v>200</v>
      </c>
      <c r="G54" s="1267" t="s">
        <v>2401</v>
      </c>
      <c r="H54" s="1290">
        <v>196000</v>
      </c>
      <c r="I54" s="1269" t="s">
        <v>35</v>
      </c>
      <c r="J54" s="1269" t="s">
        <v>2467</v>
      </c>
      <c r="K54" s="1386">
        <v>45496</v>
      </c>
      <c r="L54" s="1386">
        <v>45496</v>
      </c>
      <c r="M54" s="1386">
        <v>45470</v>
      </c>
      <c r="N54" s="1386">
        <v>45504</v>
      </c>
      <c r="O54" s="1408"/>
      <c r="P54" s="1267" t="s">
        <v>2379</v>
      </c>
      <c r="Q54" s="1387">
        <v>14.937036507884613</v>
      </c>
      <c r="R54" s="1387">
        <v>10.3148</v>
      </c>
      <c r="S54" s="1502">
        <f t="shared" si="12"/>
        <v>0.69055197090502285</v>
      </c>
      <c r="T54" s="1388">
        <v>919.90954916353826</v>
      </c>
      <c r="U54" s="1388">
        <v>1299.70021416957</v>
      </c>
      <c r="V54" s="1388">
        <v>79.847889346986761</v>
      </c>
      <c r="W54" s="1388">
        <v>40.557458628611627</v>
      </c>
      <c r="X54" s="1388">
        <v>19.787336692071765</v>
      </c>
      <c r="Y54" s="1276">
        <f t="shared" si="13"/>
        <v>6.442694979390938E-2</v>
      </c>
      <c r="Z54" s="1388">
        <v>886.02951306350235</v>
      </c>
      <c r="AA54" s="1388">
        <v>307.25</v>
      </c>
      <c r="AB54" s="1410">
        <v>53.731523335000006</v>
      </c>
      <c r="AC54" s="1388">
        <f t="shared" si="14"/>
        <v>25.474124197723572</v>
      </c>
      <c r="AD54" s="1402">
        <f t="shared" si="15"/>
        <v>0.74224837780428654</v>
      </c>
      <c r="AE54" s="1388">
        <v>19.495503212543554</v>
      </c>
      <c r="AF54" s="1388">
        <v>19.203070664355401</v>
      </c>
      <c r="AG54" s="1388">
        <v>18.915024604390069</v>
      </c>
      <c r="AH54" s="1267"/>
      <c r="AI54" s="1267"/>
      <c r="AJ54" s="1267"/>
      <c r="AK54" s="1267"/>
      <c r="AL54" s="1267"/>
      <c r="AM54" s="1267"/>
      <c r="AN54" s="1267"/>
      <c r="AO54" s="1267"/>
      <c r="AP54" s="1267"/>
      <c r="AQ54" s="1387">
        <f t="shared" si="3"/>
        <v>0</v>
      </c>
      <c r="AR54" s="1640"/>
    </row>
    <row r="55" spans="1:44" ht="21.75" thickBot="1">
      <c r="A55" s="1521">
        <v>53</v>
      </c>
      <c r="B55" s="1518" t="s">
        <v>2435</v>
      </c>
      <c r="C55" s="1311" t="s">
        <v>29</v>
      </c>
      <c r="D55" s="1487" t="s">
        <v>2448</v>
      </c>
      <c r="E55" s="1707" t="s">
        <v>2449</v>
      </c>
      <c r="F55" s="1708" t="s">
        <v>2438</v>
      </c>
      <c r="G55" s="1311" t="s">
        <v>2401</v>
      </c>
      <c r="H55" s="1713">
        <v>196000</v>
      </c>
      <c r="I55" s="1313" t="s">
        <v>35</v>
      </c>
      <c r="J55" s="1313" t="s">
        <v>2467</v>
      </c>
      <c r="K55" s="1430">
        <v>45496</v>
      </c>
      <c r="L55" s="1430">
        <v>45496</v>
      </c>
      <c r="M55" s="1430">
        <v>45470</v>
      </c>
      <c r="N55" s="1430">
        <v>45504</v>
      </c>
      <c r="O55" s="1537"/>
      <c r="P55" s="1311" t="s">
        <v>2379</v>
      </c>
      <c r="Q55" s="1431">
        <v>3.0103415189673917</v>
      </c>
      <c r="R55" s="1431">
        <v>1.9140000000000001</v>
      </c>
      <c r="S55" s="1714">
        <f t="shared" si="12"/>
        <v>0.6358082589435039</v>
      </c>
      <c r="T55" s="1432">
        <v>157.44585402230385</v>
      </c>
      <c r="U55" s="1432">
        <v>239.34928785144493</v>
      </c>
      <c r="V55" s="1432">
        <v>16.407755785556066</v>
      </c>
      <c r="W55" s="1432">
        <v>6.4009050352638743</v>
      </c>
      <c r="X55" s="1432">
        <v>4.1832759971887974</v>
      </c>
      <c r="Y55" s="1433">
        <f t="shared" si="13"/>
        <v>7.1723157494199982E-2</v>
      </c>
      <c r="Z55" s="1432">
        <v>144.276468595875</v>
      </c>
      <c r="AA55" s="1432">
        <v>65.25</v>
      </c>
      <c r="AB55" s="1432">
        <v>17.669657100000002</v>
      </c>
      <c r="AC55" s="1432">
        <f t="shared" si="14"/>
        <v>4.6912460418883208</v>
      </c>
      <c r="AD55" s="1709">
        <f t="shared" si="15"/>
        <v>0.68824243439748456</v>
      </c>
      <c r="AE55" s="1432">
        <v>3.5902393177716734</v>
      </c>
      <c r="AF55" s="1432">
        <v>3.5363857280050981</v>
      </c>
      <c r="AG55" s="1432">
        <v>3.483339942085022</v>
      </c>
      <c r="AH55" s="1311"/>
      <c r="AI55" s="1311"/>
      <c r="AJ55" s="1311"/>
      <c r="AK55" s="1311"/>
      <c r="AL55" s="1311"/>
      <c r="AM55" s="1311"/>
      <c r="AN55" s="1311"/>
      <c r="AO55" s="1311"/>
      <c r="AP55" s="1580"/>
      <c r="AQ55" s="1431">
        <f t="shared" si="3"/>
        <v>0</v>
      </c>
      <c r="AR55" s="1620"/>
    </row>
    <row r="56" spans="1:44">
      <c r="A56" s="1521">
        <v>54</v>
      </c>
      <c r="B56" s="1700" t="s">
        <v>2435</v>
      </c>
      <c r="C56" s="1347" t="s">
        <v>29</v>
      </c>
      <c r="D56" s="1490" t="s">
        <v>2450</v>
      </c>
      <c r="E56" s="1490" t="s">
        <v>2463</v>
      </c>
      <c r="F56" s="1491" t="s">
        <v>2439</v>
      </c>
      <c r="G56" s="1347" t="s">
        <v>2401</v>
      </c>
      <c r="H56" s="1711">
        <v>114000</v>
      </c>
      <c r="I56" s="1348" t="s">
        <v>35</v>
      </c>
      <c r="J56" s="1348" t="s">
        <v>2467</v>
      </c>
      <c r="K56" s="1493">
        <v>45496</v>
      </c>
      <c r="L56" s="1493">
        <v>45496</v>
      </c>
      <c r="M56" s="1493">
        <v>45470</v>
      </c>
      <c r="N56" s="1493">
        <v>45504</v>
      </c>
      <c r="O56" s="1540"/>
      <c r="P56" s="1347" t="s">
        <v>2379</v>
      </c>
      <c r="Q56" s="1623">
        <v>5.3232150047999998</v>
      </c>
      <c r="R56" s="1623">
        <v>3.1577000000000002</v>
      </c>
      <c r="S56" s="1495">
        <f t="shared" si="12"/>
        <v>0.59319414999256437</v>
      </c>
      <c r="T56" s="1496">
        <v>514.02772287334392</v>
      </c>
      <c r="U56" s="1496">
        <v>700.46170016469068</v>
      </c>
      <c r="V56" s="1496">
        <v>40.100372179721063</v>
      </c>
      <c r="W56" s="1496">
        <v>3.9163881275926959</v>
      </c>
      <c r="X56" s="1496">
        <v>9.7953649408528882</v>
      </c>
      <c r="Y56" s="1694">
        <f t="shared" si="13"/>
        <v>5.8391518411141811E-2</v>
      </c>
      <c r="Z56" s="1496">
        <v>1547.5884474410459</v>
      </c>
      <c r="AA56" s="1496">
        <v>59.25</v>
      </c>
      <c r="AB56" s="1496">
        <v>128.17214820999999</v>
      </c>
      <c r="AC56" s="1496">
        <f t="shared" si="14"/>
        <v>7.9852633818774743</v>
      </c>
      <c r="AD56" s="1694">
        <f t="shared" si="15"/>
        <v>0.74849328354051559</v>
      </c>
      <c r="AE56" s="1712">
        <v>10.506925502470363</v>
      </c>
      <c r="AF56" s="1712">
        <v>10.349321619933308</v>
      </c>
      <c r="AG56" s="1712">
        <v>10.194081795634307</v>
      </c>
      <c r="AH56" s="1347"/>
      <c r="AI56" s="1347"/>
      <c r="AJ56" s="1347"/>
      <c r="AK56" s="1347"/>
      <c r="AL56" s="1347"/>
      <c r="AM56" s="1347"/>
      <c r="AN56" s="1347"/>
      <c r="AO56" s="1347"/>
      <c r="AP56" s="1347"/>
      <c r="AQ56" s="1623">
        <f t="shared" si="3"/>
        <v>0</v>
      </c>
      <c r="AR56" s="1350"/>
    </row>
    <row r="57" spans="1:44">
      <c r="A57" s="1521">
        <v>55</v>
      </c>
      <c r="B57" s="1515" t="s">
        <v>2435</v>
      </c>
      <c r="C57" s="1270" t="s">
        <v>29</v>
      </c>
      <c r="D57" s="1448" t="s">
        <v>2450</v>
      </c>
      <c r="E57" s="1448" t="s">
        <v>2464</v>
      </c>
      <c r="F57" s="1315" t="s">
        <v>2439</v>
      </c>
      <c r="G57" s="1270" t="s">
        <v>2401</v>
      </c>
      <c r="H57" s="1287">
        <v>76000</v>
      </c>
      <c r="I57" s="1272" t="s">
        <v>35</v>
      </c>
      <c r="J57" s="1272" t="s">
        <v>2467</v>
      </c>
      <c r="K57" s="1280">
        <v>45496</v>
      </c>
      <c r="L57" s="1280">
        <v>45496</v>
      </c>
      <c r="M57" s="1280">
        <v>45470</v>
      </c>
      <c r="N57" s="1280">
        <v>45504</v>
      </c>
      <c r="O57" s="1533"/>
      <c r="P57" s="1270" t="s">
        <v>2379</v>
      </c>
      <c r="Q57" s="1390">
        <v>5.4136930848000002</v>
      </c>
      <c r="R57" s="1390">
        <v>3.2096999999999998</v>
      </c>
      <c r="S57" s="1286">
        <f t="shared" si="12"/>
        <v>0.59288547572300665</v>
      </c>
      <c r="T57" s="1391">
        <v>518.99466351974399</v>
      </c>
      <c r="U57" s="1391">
        <v>711.37691137436889</v>
      </c>
      <c r="V57" s="1391">
        <v>41.300855779266556</v>
      </c>
      <c r="W57" s="1391">
        <v>3.9163881275926959</v>
      </c>
      <c r="X57" s="1391">
        <v>10.127644406698812</v>
      </c>
      <c r="Y57" s="1409">
        <f t="shared" si="13"/>
        <v>5.922688723349049E-2</v>
      </c>
      <c r="Z57" s="1391"/>
      <c r="AA57" s="1391">
        <v>0</v>
      </c>
      <c r="AB57" s="1391"/>
      <c r="AC57" s="1391">
        <f t="shared" si="14"/>
        <v>5.4064645264452036</v>
      </c>
      <c r="AD57" s="1409">
        <f t="shared" si="15"/>
        <v>0.74425669471232181</v>
      </c>
      <c r="AE57" s="1411">
        <v>10.670653670615533</v>
      </c>
      <c r="AF57" s="1411">
        <v>10.5105938655563</v>
      </c>
      <c r="AG57" s="1411">
        <v>10.352934957572955</v>
      </c>
      <c r="AH57" s="1270"/>
      <c r="AI57" s="1270"/>
      <c r="AJ57" s="1270"/>
      <c r="AK57" s="1270"/>
      <c r="AL57" s="1270"/>
      <c r="AM57" s="1270"/>
      <c r="AN57" s="1270"/>
      <c r="AO57" s="1270"/>
      <c r="AP57" s="1270"/>
      <c r="AQ57" s="1390">
        <f t="shared" si="3"/>
        <v>0</v>
      </c>
      <c r="AR57" s="1624"/>
    </row>
    <row r="58" spans="1:44">
      <c r="A58" s="1521">
        <v>56</v>
      </c>
      <c r="B58" s="1515" t="s">
        <v>2435</v>
      </c>
      <c r="C58" s="1270" t="s">
        <v>29</v>
      </c>
      <c r="D58" s="1448" t="s">
        <v>2450</v>
      </c>
      <c r="E58" s="1448" t="s">
        <v>2465</v>
      </c>
      <c r="F58" s="1315" t="s">
        <v>2440</v>
      </c>
      <c r="G58" s="1270" t="s">
        <v>2401</v>
      </c>
      <c r="H58" s="1288">
        <v>114000</v>
      </c>
      <c r="I58" s="1272" t="s">
        <v>35</v>
      </c>
      <c r="J58" s="1272" t="s">
        <v>2467</v>
      </c>
      <c r="K58" s="1280">
        <v>45496</v>
      </c>
      <c r="L58" s="1280">
        <v>45496</v>
      </c>
      <c r="M58" s="1280">
        <v>45470</v>
      </c>
      <c r="N58" s="1280">
        <v>45504</v>
      </c>
      <c r="O58" s="1533"/>
      <c r="P58" s="1270" t="s">
        <v>2379</v>
      </c>
      <c r="Q58" s="1390">
        <v>5.4619241247999994</v>
      </c>
      <c r="R58" s="1390">
        <v>3.2269000000000001</v>
      </c>
      <c r="S58" s="1286">
        <f t="shared" si="12"/>
        <v>0.59079912614460939</v>
      </c>
      <c r="T58" s="1391">
        <v>520.36005575654394</v>
      </c>
      <c r="U58" s="1391">
        <v>716.87818672845083</v>
      </c>
      <c r="V58" s="1391">
        <v>42.114308410620033</v>
      </c>
      <c r="W58" s="1391">
        <v>3.9163881275926959</v>
      </c>
      <c r="X58" s="1391">
        <v>10.360290620884573</v>
      </c>
      <c r="Y58" s="1409">
        <f t="shared" si="13"/>
        <v>5.9940532339165471E-2</v>
      </c>
      <c r="Z58" s="1391">
        <v>1544.3267500249053</v>
      </c>
      <c r="AA58" s="1391">
        <v>58.75</v>
      </c>
      <c r="AB58" s="1391">
        <v>128.17214820999999</v>
      </c>
      <c r="AC58" s="1391">
        <f t="shared" si="14"/>
        <v>8.1724113287043387</v>
      </c>
      <c r="AD58" s="1409">
        <f t="shared" si="15"/>
        <v>0.74061904201232642</v>
      </c>
      <c r="AE58" s="1411">
        <v>10.753172800926759</v>
      </c>
      <c r="AF58" s="1411">
        <v>10.591875208912857</v>
      </c>
      <c r="AG58" s="1411">
        <v>10.432997080779165</v>
      </c>
      <c r="AH58" s="1270"/>
      <c r="AI58" s="1270"/>
      <c r="AJ58" s="1270"/>
      <c r="AK58" s="1270"/>
      <c r="AL58" s="1270"/>
      <c r="AM58" s="1270"/>
      <c r="AN58" s="1270"/>
      <c r="AO58" s="1270"/>
      <c r="AP58" s="1270"/>
      <c r="AQ58" s="1390">
        <f t="shared" si="3"/>
        <v>0</v>
      </c>
      <c r="AR58" s="1624"/>
    </row>
    <row r="59" spans="1:44" ht="21.75" thickBot="1">
      <c r="A59" s="1521">
        <v>57</v>
      </c>
      <c r="B59" s="1513" t="s">
        <v>2435</v>
      </c>
      <c r="C59" s="1263" t="s">
        <v>29</v>
      </c>
      <c r="D59" s="1458" t="s">
        <v>2450</v>
      </c>
      <c r="E59" s="1458" t="s">
        <v>2466</v>
      </c>
      <c r="F59" s="1316" t="s">
        <v>2440</v>
      </c>
      <c r="G59" s="1263" t="s">
        <v>2401</v>
      </c>
      <c r="H59" s="1289">
        <v>76000</v>
      </c>
      <c r="I59" s="1265" t="s">
        <v>35</v>
      </c>
      <c r="J59" s="1265" t="s">
        <v>2467</v>
      </c>
      <c r="K59" s="1283">
        <v>45496</v>
      </c>
      <c r="L59" s="1283">
        <v>45496</v>
      </c>
      <c r="M59" s="1283">
        <v>45470</v>
      </c>
      <c r="N59" s="1283">
        <v>45504</v>
      </c>
      <c r="O59" s="1394"/>
      <c r="P59" s="1263" t="s">
        <v>2379</v>
      </c>
      <c r="Q59" s="1383">
        <v>5.5524022047999999</v>
      </c>
      <c r="R59" s="1383">
        <v>3.2789999999999999</v>
      </c>
      <c r="S59" s="1455">
        <f t="shared" si="12"/>
        <v>0.59055520098405967</v>
      </c>
      <c r="T59" s="1384">
        <v>525.33131440294403</v>
      </c>
      <c r="U59" s="1384">
        <v>727.79802613592858</v>
      </c>
      <c r="V59" s="1384">
        <v>43.314878370165523</v>
      </c>
      <c r="W59" s="1384">
        <v>3.9163881275926959</v>
      </c>
      <c r="X59" s="1384">
        <v>10.692579154530495</v>
      </c>
      <c r="Y59" s="1405">
        <f t="shared" si="13"/>
        <v>6.073407581403252E-2</v>
      </c>
      <c r="Z59" s="1384">
        <v>0</v>
      </c>
      <c r="AA59" s="1384">
        <v>0</v>
      </c>
      <c r="AB59" s="1384">
        <v>0</v>
      </c>
      <c r="AC59" s="1384">
        <f t="shared" si="14"/>
        <v>5.5312649986330573</v>
      </c>
      <c r="AD59" s="1405">
        <f t="shared" si="15"/>
        <v>0.73659474704677175</v>
      </c>
      <c r="AE59" s="1412">
        <v>10.91697039203893</v>
      </c>
      <c r="AF59" s="1412">
        <v>10.753215836158345</v>
      </c>
      <c r="AG59" s="1412">
        <v>10.591917598615971</v>
      </c>
      <c r="AH59" s="1263"/>
      <c r="AI59" s="1263"/>
      <c r="AJ59" s="1263"/>
      <c r="AK59" s="1263"/>
      <c r="AL59" s="1263"/>
      <c r="AM59" s="1263"/>
      <c r="AN59" s="1263"/>
      <c r="AO59" s="1263"/>
      <c r="AP59" s="1263"/>
      <c r="AQ59" s="1383">
        <f t="shared" si="3"/>
        <v>0</v>
      </c>
      <c r="AR59" s="1266"/>
    </row>
    <row r="60" spans="1:44" ht="21.75" thickBot="1">
      <c r="A60" s="1521">
        <v>58</v>
      </c>
      <c r="B60" s="1518" t="s">
        <v>2435</v>
      </c>
      <c r="C60" s="1311" t="s">
        <v>29</v>
      </c>
      <c r="D60" s="1487" t="s">
        <v>2451</v>
      </c>
      <c r="E60" s="1707" t="s">
        <v>2452</v>
      </c>
      <c r="F60" s="1708" t="s">
        <v>2441</v>
      </c>
      <c r="G60" s="1311" t="s">
        <v>2401</v>
      </c>
      <c r="H60" s="1713">
        <v>68600</v>
      </c>
      <c r="I60" s="1313" t="s">
        <v>35</v>
      </c>
      <c r="J60" s="1313" t="s">
        <v>2467</v>
      </c>
      <c r="K60" s="1430">
        <v>45496</v>
      </c>
      <c r="L60" s="1430">
        <v>45496</v>
      </c>
      <c r="M60" s="1430">
        <v>45470</v>
      </c>
      <c r="N60" s="1430">
        <v>45504</v>
      </c>
      <c r="O60" s="1537"/>
      <c r="P60" s="1311" t="s">
        <v>2379</v>
      </c>
      <c r="Q60" s="1431">
        <v>3.1621543107000001</v>
      </c>
      <c r="R60" s="1431">
        <v>1.4334</v>
      </c>
      <c r="S60" s="1714">
        <f t="shared" si="12"/>
        <v>0.45329856141103086</v>
      </c>
      <c r="T60" s="1432">
        <v>139.19375243097701</v>
      </c>
      <c r="U60" s="1432">
        <v>248.86054535785144</v>
      </c>
      <c r="V60" s="1432">
        <v>21.492635337983991</v>
      </c>
      <c r="W60" s="1432">
        <v>21.835599689262231</v>
      </c>
      <c r="X60" s="1432">
        <v>5.7285380841860931</v>
      </c>
      <c r="Y60" s="1709">
        <f t="shared" si="13"/>
        <v>9.7121483229621053E-2</v>
      </c>
      <c r="Z60" s="1432">
        <v>309.5354612940975</v>
      </c>
      <c r="AA60" s="1432">
        <v>81</v>
      </c>
      <c r="AB60" s="1432">
        <v>16.710827440000003</v>
      </c>
      <c r="AC60" s="1432">
        <f t="shared" si="14"/>
        <v>1.7071833411548607</v>
      </c>
      <c r="AD60" s="1709">
        <f t="shared" si="15"/>
        <v>0.62899237249428963</v>
      </c>
      <c r="AE60" s="1432">
        <v>3.7329081803677715</v>
      </c>
      <c r="AF60" s="1432">
        <v>3.6769145576622551</v>
      </c>
      <c r="AG60" s="1432">
        <v>3.6217608392973211</v>
      </c>
      <c r="AH60" s="1311"/>
      <c r="AI60" s="1311"/>
      <c r="AJ60" s="1311"/>
      <c r="AK60" s="1311"/>
      <c r="AL60" s="1311"/>
      <c r="AM60" s="1311"/>
      <c r="AN60" s="1311"/>
      <c r="AO60" s="1311"/>
      <c r="AP60" s="1580"/>
      <c r="AQ60" s="1431">
        <f t="shared" si="3"/>
        <v>0</v>
      </c>
      <c r="AR60" s="1620"/>
    </row>
    <row r="61" spans="1:44">
      <c r="A61" s="1521">
        <v>59</v>
      </c>
      <c r="B61" s="1700" t="s">
        <v>2435</v>
      </c>
      <c r="C61" s="1347" t="s">
        <v>29</v>
      </c>
      <c r="D61" s="1490" t="s">
        <v>2453</v>
      </c>
      <c r="E61" s="1490" t="s">
        <v>2454</v>
      </c>
      <c r="F61" s="1491" t="s">
        <v>310</v>
      </c>
      <c r="G61" s="1347" t="s">
        <v>2401</v>
      </c>
      <c r="H61" s="1711">
        <v>127400</v>
      </c>
      <c r="I61" s="1348" t="s">
        <v>35</v>
      </c>
      <c r="J61" s="1348" t="s">
        <v>2467</v>
      </c>
      <c r="K61" s="1493">
        <v>45496</v>
      </c>
      <c r="L61" s="1493">
        <v>45496</v>
      </c>
      <c r="M61" s="1493">
        <v>45470</v>
      </c>
      <c r="N61" s="1493">
        <v>45504</v>
      </c>
      <c r="O61" s="1540"/>
      <c r="P61" s="1347" t="s">
        <v>2379</v>
      </c>
      <c r="Q61" s="1623">
        <v>8.9476619018483561</v>
      </c>
      <c r="R61" s="1623">
        <v>5.5522999999999989</v>
      </c>
      <c r="S61" s="1495">
        <f t="shared" si="12"/>
        <v>0.62053082256639991</v>
      </c>
      <c r="T61" s="1496">
        <v>522.15297099135296</v>
      </c>
      <c r="U61" s="1496">
        <v>908.45894581528216</v>
      </c>
      <c r="V61" s="1496">
        <v>77.110572929676437</v>
      </c>
      <c r="W61" s="1496">
        <v>55.290576252882772</v>
      </c>
      <c r="X61" s="1496">
        <v>20.468195878943789</v>
      </c>
      <c r="Y61" s="1694">
        <f t="shared" si="13"/>
        <v>9.2603046530634461E-2</v>
      </c>
      <c r="Z61" s="1496">
        <v>710.04752564649755</v>
      </c>
      <c r="AA61" s="1496">
        <v>250.5</v>
      </c>
      <c r="AB61" s="1496">
        <v>40.682434999999998</v>
      </c>
      <c r="AC61" s="1496">
        <f t="shared" si="14"/>
        <v>11.573766969686694</v>
      </c>
      <c r="AD61" s="1694">
        <f t="shared" si="15"/>
        <v>0.62706000009776053</v>
      </c>
      <c r="AE61" s="1496">
        <v>15.898031551767442</v>
      </c>
      <c r="AF61" s="1496">
        <v>15.619815999611511</v>
      </c>
      <c r="AG61" s="1496">
        <v>15.34646921961831</v>
      </c>
      <c r="AH61" s="1347"/>
      <c r="AI61" s="1347"/>
      <c r="AJ61" s="1347"/>
      <c r="AK61" s="1347"/>
      <c r="AL61" s="1347"/>
      <c r="AM61" s="1347"/>
      <c r="AN61" s="1347"/>
      <c r="AO61" s="1347"/>
      <c r="AP61" s="1347"/>
      <c r="AQ61" s="1623">
        <f t="shared" si="3"/>
        <v>0</v>
      </c>
      <c r="AR61" s="1350"/>
    </row>
    <row r="62" spans="1:44" ht="21.75" thickBot="1">
      <c r="A62" s="1521">
        <v>60</v>
      </c>
      <c r="B62" s="1513" t="s">
        <v>2435</v>
      </c>
      <c r="C62" s="1263" t="s">
        <v>29</v>
      </c>
      <c r="D62" s="1458" t="s">
        <v>2453</v>
      </c>
      <c r="E62" s="1458" t="s">
        <v>2454</v>
      </c>
      <c r="F62" s="1316" t="s">
        <v>310</v>
      </c>
      <c r="G62" s="1263" t="s">
        <v>2401</v>
      </c>
      <c r="H62" s="1289">
        <v>68600</v>
      </c>
      <c r="I62" s="1265" t="s">
        <v>35</v>
      </c>
      <c r="J62" s="1265" t="s">
        <v>2467</v>
      </c>
      <c r="K62" s="1283">
        <v>45496</v>
      </c>
      <c r="L62" s="1283">
        <v>45496</v>
      </c>
      <c r="M62" s="1283">
        <v>45470</v>
      </c>
      <c r="N62" s="1283">
        <v>45504</v>
      </c>
      <c r="O62" s="1394"/>
      <c r="P62" s="1263" t="s">
        <v>2379</v>
      </c>
      <c r="Q62" s="1383">
        <v>9.6819223933098968</v>
      </c>
      <c r="R62" s="1383">
        <v>6.0407999999999982</v>
      </c>
      <c r="S62" s="1455">
        <f t="shared" si="12"/>
        <v>0.62392567866213489</v>
      </c>
      <c r="T62" s="1384">
        <v>568.70446633257052</v>
      </c>
      <c r="U62" s="1384">
        <v>1028.471888860294</v>
      </c>
      <c r="V62" s="1384">
        <v>91.872833998810748</v>
      </c>
      <c r="W62" s="1384">
        <v>55.290576252882772</v>
      </c>
      <c r="X62" s="1384">
        <v>24.584914616894409</v>
      </c>
      <c r="Y62" s="1405">
        <f t="shared" si="13"/>
        <v>9.6851341828233684E-2</v>
      </c>
      <c r="Z62" s="1384">
        <v>52.459617256200005</v>
      </c>
      <c r="AA62" s="1384">
        <v>14</v>
      </c>
      <c r="AB62" s="1384">
        <v>0</v>
      </c>
      <c r="AC62" s="1384">
        <f t="shared" si="14"/>
        <v>7.0553171575816167</v>
      </c>
      <c r="AD62" s="1405">
        <f t="shared" si="15"/>
        <v>0.59952205968449812</v>
      </c>
      <c r="AE62" s="1384">
        <v>17.99825805505515</v>
      </c>
      <c r="AF62" s="1384">
        <v>17.683288539091684</v>
      </c>
      <c r="AG62" s="1384">
        <v>17.373830989657581</v>
      </c>
      <c r="AH62" s="1263"/>
      <c r="AI62" s="1263"/>
      <c r="AJ62" s="1263"/>
      <c r="AK62" s="1263"/>
      <c r="AL62" s="1263"/>
      <c r="AM62" s="1263"/>
      <c r="AN62" s="1263"/>
      <c r="AO62" s="1263"/>
      <c r="AP62" s="1263"/>
      <c r="AQ62" s="1383">
        <f t="shared" si="3"/>
        <v>0</v>
      </c>
      <c r="AR62" s="1266"/>
    </row>
    <row r="63" spans="1:44" ht="21.75" thickBot="1">
      <c r="A63" s="1521">
        <v>61</v>
      </c>
      <c r="B63" s="1518" t="s">
        <v>2435</v>
      </c>
      <c r="C63" s="1311" t="s">
        <v>29</v>
      </c>
      <c r="D63" s="1487" t="s">
        <v>2455</v>
      </c>
      <c r="E63" s="1707" t="s">
        <v>2456</v>
      </c>
      <c r="F63" s="1708" t="s">
        <v>2442</v>
      </c>
      <c r="G63" s="1311" t="s">
        <v>2401</v>
      </c>
      <c r="H63" s="1713">
        <v>392000</v>
      </c>
      <c r="I63" s="1313" t="s">
        <v>35</v>
      </c>
      <c r="J63" s="1313" t="s">
        <v>2467</v>
      </c>
      <c r="K63" s="1430">
        <v>45496</v>
      </c>
      <c r="L63" s="1430">
        <v>45496</v>
      </c>
      <c r="M63" s="1430">
        <v>45470</v>
      </c>
      <c r="N63" s="1430">
        <v>45504</v>
      </c>
      <c r="O63" s="1537"/>
      <c r="P63" s="1311" t="s">
        <v>2379</v>
      </c>
      <c r="Q63" s="1431">
        <v>2.1682851959999998</v>
      </c>
      <c r="R63" s="1431">
        <v>1.95</v>
      </c>
      <c r="S63" s="1714">
        <f t="shared" si="12"/>
        <v>0.89932818966679884</v>
      </c>
      <c r="T63" s="1432">
        <v>174.81719952392001</v>
      </c>
      <c r="U63" s="1432">
        <v>263.30288932402669</v>
      </c>
      <c r="V63" s="1432">
        <v>18.323792854114764</v>
      </c>
      <c r="W63" s="1432"/>
      <c r="X63" s="1432">
        <v>4.6755491173768551</v>
      </c>
      <c r="Y63" s="1709">
        <f t="shared" si="13"/>
        <v>7.0850177090610714E-2</v>
      </c>
      <c r="Z63" s="1432">
        <v>213.63380034727496</v>
      </c>
      <c r="AA63" s="1432">
        <v>8</v>
      </c>
      <c r="AB63" s="1432">
        <v>8.2582750000000011</v>
      </c>
      <c r="AC63" s="1432">
        <f t="shared" si="14"/>
        <v>10.321473261501845</v>
      </c>
      <c r="AD63" s="1709">
        <f t="shared" si="15"/>
        <v>0.67594245598410685</v>
      </c>
      <c r="AE63" s="1432">
        <v>2.633028893240267</v>
      </c>
      <c r="AF63" s="1432">
        <v>2.6066986043078639</v>
      </c>
      <c r="AG63" s="1432">
        <v>2.5806316182647855</v>
      </c>
      <c r="AH63" s="1311"/>
      <c r="AI63" s="1311"/>
      <c r="AJ63" s="1311"/>
      <c r="AK63" s="1311"/>
      <c r="AL63" s="1311"/>
      <c r="AM63" s="1311"/>
      <c r="AN63" s="1311"/>
      <c r="AO63" s="1311"/>
      <c r="AP63" s="1580"/>
      <c r="AQ63" s="1431">
        <f t="shared" si="3"/>
        <v>0</v>
      </c>
      <c r="AR63" s="1620"/>
    </row>
    <row r="64" spans="1:44" ht="21.75" thickBot="1">
      <c r="A64" s="1521">
        <v>62</v>
      </c>
      <c r="B64" s="1514" t="s">
        <v>2435</v>
      </c>
      <c r="C64" s="1267" t="s">
        <v>29</v>
      </c>
      <c r="D64" s="1459" t="s">
        <v>2445</v>
      </c>
      <c r="E64" s="1459" t="s">
        <v>2457</v>
      </c>
      <c r="F64" s="1450" t="s">
        <v>2443</v>
      </c>
      <c r="G64" s="1267" t="s">
        <v>2401</v>
      </c>
      <c r="H64" s="1290">
        <v>196000</v>
      </c>
      <c r="I64" s="1269" t="s">
        <v>35</v>
      </c>
      <c r="J64" s="1269" t="s">
        <v>2467</v>
      </c>
      <c r="K64" s="1386">
        <v>45496</v>
      </c>
      <c r="L64" s="1386">
        <v>45496</v>
      </c>
      <c r="M64" s="1386">
        <v>45470</v>
      </c>
      <c r="N64" s="1386">
        <v>45504</v>
      </c>
      <c r="O64" s="1408"/>
      <c r="P64" s="1267" t="s">
        <v>2379</v>
      </c>
      <c r="Q64" s="1387">
        <v>2.7564542440346154</v>
      </c>
      <c r="R64" s="1387">
        <v>1.9931000000000001</v>
      </c>
      <c r="S64" s="1502">
        <f t="shared" si="12"/>
        <v>0.72306660062047845</v>
      </c>
      <c r="T64" s="1388">
        <v>196.00769603558487</v>
      </c>
      <c r="U64" s="1388">
        <v>314.90635385576905</v>
      </c>
      <c r="V64" s="1388">
        <v>23.641618584051077</v>
      </c>
      <c r="W64" s="1388">
        <v>10.704961869320618</v>
      </c>
      <c r="X64" s="1388">
        <v>6.1421103224221998</v>
      </c>
      <c r="Y64" s="1402">
        <f t="shared" si="13"/>
        <v>7.931851157951865E-2</v>
      </c>
      <c r="Z64" s="1388">
        <v>184.90771958562746</v>
      </c>
      <c r="AA64" s="1388">
        <v>87.75</v>
      </c>
      <c r="AB64" s="1388">
        <v>17.694774394999996</v>
      </c>
      <c r="AC64" s="1388">
        <f t="shared" si="14"/>
        <v>6.1721645355730734</v>
      </c>
      <c r="AD64" s="1402">
        <f t="shared" si="15"/>
        <v>0.657613126292526</v>
      </c>
      <c r="AE64" s="1388">
        <v>4.7235953078365371</v>
      </c>
      <c r="AF64" s="1388">
        <v>4.6527413782189893</v>
      </c>
      <c r="AG64" s="1388">
        <v>4.5829502575457042</v>
      </c>
      <c r="AH64" s="1267"/>
      <c r="AI64" s="1267"/>
      <c r="AJ64" s="1267"/>
      <c r="AK64" s="1267"/>
      <c r="AL64" s="1267"/>
      <c r="AM64" s="1267"/>
      <c r="AN64" s="1267"/>
      <c r="AO64" s="1267"/>
      <c r="AP64" s="1267"/>
      <c r="AQ64" s="1387">
        <f t="shared" si="3"/>
        <v>0</v>
      </c>
      <c r="AR64" s="1640"/>
    </row>
    <row r="65" spans="1:44">
      <c r="A65" s="1521">
        <v>63</v>
      </c>
      <c r="B65" s="1700" t="s">
        <v>2435</v>
      </c>
      <c r="C65" s="1347" t="s">
        <v>29</v>
      </c>
      <c r="D65" s="1490" t="s">
        <v>2896</v>
      </c>
      <c r="E65" s="1490" t="s">
        <v>2458</v>
      </c>
      <c r="F65" s="1491" t="s">
        <v>1111</v>
      </c>
      <c r="G65" s="1347" t="s">
        <v>2401</v>
      </c>
      <c r="H65" s="1711">
        <v>196000</v>
      </c>
      <c r="I65" s="1348" t="s">
        <v>35</v>
      </c>
      <c r="J65" s="1348" t="s">
        <v>2467</v>
      </c>
      <c r="K65" s="1493">
        <v>45496</v>
      </c>
      <c r="L65" s="1493">
        <v>45496</v>
      </c>
      <c r="M65" s="1493">
        <v>45470</v>
      </c>
      <c r="N65" s="1493">
        <v>45504</v>
      </c>
      <c r="O65" s="1540"/>
      <c r="P65" s="1347" t="s">
        <v>2379</v>
      </c>
      <c r="Q65" s="1623">
        <v>5.8506028087999997</v>
      </c>
      <c r="R65" s="1623">
        <v>4.7984999999999989</v>
      </c>
      <c r="S65" s="1495">
        <f t="shared" si="12"/>
        <v>0.82017189626725073</v>
      </c>
      <c r="T65" s="1496">
        <v>392.111785698468</v>
      </c>
      <c r="U65" s="1496">
        <v>576.28825811243235</v>
      </c>
      <c r="V65" s="1496">
        <v>37.886761038061536</v>
      </c>
      <c r="W65" s="1496">
        <v>10.704961869320618</v>
      </c>
      <c r="X65" s="1496">
        <v>9.5535153941387119</v>
      </c>
      <c r="Y65" s="1694">
        <f t="shared" si="13"/>
        <v>6.8138006889152961E-2</v>
      </c>
      <c r="Z65" s="1496">
        <v>173.88414252824998</v>
      </c>
      <c r="AA65" s="1496">
        <v>62.25</v>
      </c>
      <c r="AB65" s="1496">
        <v>23.804927787499999</v>
      </c>
      <c r="AC65" s="1496">
        <f t="shared" si="14"/>
        <v>11.295249859003674</v>
      </c>
      <c r="AD65" s="1694">
        <f t="shared" si="15"/>
        <v>0.70519925227705049</v>
      </c>
      <c r="AE65" s="1496">
        <v>8.6443238716864883</v>
      </c>
      <c r="AF65" s="1496">
        <v>8.5146590136111904</v>
      </c>
      <c r="AG65" s="1496">
        <v>8.3869391284070218</v>
      </c>
      <c r="AH65" s="1641" t="s">
        <v>2775</v>
      </c>
      <c r="AI65" s="1641"/>
      <c r="AJ65" s="1641">
        <v>571.08000000000004</v>
      </c>
      <c r="AK65" s="1641">
        <v>219.79</v>
      </c>
      <c r="AL65" s="1641"/>
      <c r="AM65" s="1641">
        <v>16.45</v>
      </c>
      <c r="AN65" s="1641">
        <v>8.57</v>
      </c>
      <c r="AO65" s="1641">
        <v>8.57</v>
      </c>
      <c r="AP65" s="1641">
        <v>8.57</v>
      </c>
      <c r="AQ65" s="1646">
        <f t="shared" si="3"/>
        <v>11.193168000000002</v>
      </c>
      <c r="AR65" s="1647" t="s">
        <v>2776</v>
      </c>
    </row>
    <row r="66" spans="1:44" ht="21.75" thickBot="1">
      <c r="A66" s="1521">
        <v>64</v>
      </c>
      <c r="B66" s="1513" t="s">
        <v>2435</v>
      </c>
      <c r="C66" s="1263" t="s">
        <v>29</v>
      </c>
      <c r="D66" s="1458" t="s">
        <v>2896</v>
      </c>
      <c r="E66" s="1458" t="s">
        <v>2459</v>
      </c>
      <c r="F66" s="1316" t="s">
        <v>1112</v>
      </c>
      <c r="G66" s="1263" t="s">
        <v>2401</v>
      </c>
      <c r="H66" s="1291">
        <v>196000</v>
      </c>
      <c r="I66" s="1265" t="s">
        <v>35</v>
      </c>
      <c r="J66" s="1265" t="s">
        <v>2467</v>
      </c>
      <c r="K66" s="1283">
        <v>45496</v>
      </c>
      <c r="L66" s="1283">
        <v>45496</v>
      </c>
      <c r="M66" s="1283">
        <v>45470</v>
      </c>
      <c r="N66" s="1283">
        <v>45504</v>
      </c>
      <c r="O66" s="1394"/>
      <c r="P66" s="1263" t="s">
        <v>2379</v>
      </c>
      <c r="Q66" s="1383">
        <v>5.1868276087999998</v>
      </c>
      <c r="R66" s="1383">
        <v>4.3326999999999991</v>
      </c>
      <c r="S66" s="1455">
        <f t="shared" si="12"/>
        <v>0.83532755024460748</v>
      </c>
      <c r="T66" s="1384">
        <v>354.03218368246803</v>
      </c>
      <c r="U66" s="1384">
        <v>498.4821245082652</v>
      </c>
      <c r="V66" s="1384">
        <v>29.721730764491262</v>
      </c>
      <c r="W66" s="1384">
        <v>10.704961869320618</v>
      </c>
      <c r="X66" s="1384">
        <v>7.7122636061292438</v>
      </c>
      <c r="Y66" s="1405">
        <f t="shared" si="13"/>
        <v>6.1911901545752469E-2</v>
      </c>
      <c r="Z66" s="1384">
        <v>109.27095811747502</v>
      </c>
      <c r="AA66" s="1384">
        <v>60</v>
      </c>
      <c r="AB66" s="1384">
        <v>23.804927787499999</v>
      </c>
      <c r="AC66" s="1384">
        <f t="shared" si="14"/>
        <v>9.7702496403619978</v>
      </c>
      <c r="AD66" s="1405">
        <f t="shared" si="15"/>
        <v>0.73746733909464146</v>
      </c>
      <c r="AE66" s="1384">
        <v>7.4772318676239795</v>
      </c>
      <c r="AF66" s="1384">
        <v>7.3650733896096199</v>
      </c>
      <c r="AG66" s="1384">
        <v>7.2545972887654759</v>
      </c>
      <c r="AH66" s="1561" t="s">
        <v>2775</v>
      </c>
      <c r="AI66" s="1561"/>
      <c r="AJ66" s="1561">
        <v>496.47</v>
      </c>
      <c r="AK66" s="1561">
        <v>154.16</v>
      </c>
      <c r="AL66" s="1561"/>
      <c r="AM66" s="1561">
        <v>16.45</v>
      </c>
      <c r="AN66" s="1561">
        <v>7.43</v>
      </c>
      <c r="AO66" s="1561">
        <v>7.43</v>
      </c>
      <c r="AP66" s="1561">
        <v>7.43</v>
      </c>
      <c r="AQ66" s="1648">
        <f t="shared" si="3"/>
        <v>9.7308120000000002</v>
      </c>
      <c r="AR66" s="1564" t="s">
        <v>2776</v>
      </c>
    </row>
    <row r="67" spans="1:44">
      <c r="A67" s="1521">
        <v>65</v>
      </c>
      <c r="B67" s="1700" t="s">
        <v>2435</v>
      </c>
      <c r="C67" s="1347" t="s">
        <v>29</v>
      </c>
      <c r="D67" s="1490" t="s">
        <v>2470</v>
      </c>
      <c r="E67" s="1490" t="s">
        <v>2471</v>
      </c>
      <c r="F67" s="1491" t="s">
        <v>2473</v>
      </c>
      <c r="G67" s="1347" t="s">
        <v>2401</v>
      </c>
      <c r="H67" s="1711">
        <v>196000</v>
      </c>
      <c r="I67" s="1348" t="s">
        <v>35</v>
      </c>
      <c r="J67" s="1348" t="s">
        <v>2467</v>
      </c>
      <c r="K67" s="1493">
        <v>45520</v>
      </c>
      <c r="L67" s="1493">
        <v>45520</v>
      </c>
      <c r="M67" s="1493">
        <v>45160</v>
      </c>
      <c r="N67" s="1493"/>
      <c r="O67" s="1540"/>
      <c r="P67" s="1347" t="s">
        <v>2379</v>
      </c>
      <c r="Q67" s="1623">
        <v>3.3990632830000003</v>
      </c>
      <c r="R67" s="1623">
        <v>1.8209000000000002</v>
      </c>
      <c r="S67" s="1495">
        <f t="shared" si="12"/>
        <v>0.53570641332481483</v>
      </c>
      <c r="T67" s="1496">
        <v>212.38730039841002</v>
      </c>
      <c r="U67" s="1496">
        <v>342.35533744220396</v>
      </c>
      <c r="V67" s="1496">
        <v>25.265495165039258</v>
      </c>
      <c r="W67" s="1496">
        <v>10.787732193052479</v>
      </c>
      <c r="X67" s="1496">
        <v>6.553170728762737</v>
      </c>
      <c r="Y67" s="1694">
        <f t="shared" si="13"/>
        <v>7.7736532539924186E-2</v>
      </c>
      <c r="Z67" s="1496">
        <v>376.35613893281243</v>
      </c>
      <c r="AA67" s="1496">
        <v>60.5</v>
      </c>
      <c r="AB67" s="1496">
        <v>16.192123877500002</v>
      </c>
      <c r="AC67" s="1496">
        <f t="shared" si="14"/>
        <v>6.7101646138671978</v>
      </c>
      <c r="AD67" s="1694">
        <f t="shared" si="15"/>
        <v>0.65347036266811276</v>
      </c>
      <c r="AE67" s="1496">
        <v>5.1353300616330584</v>
      </c>
      <c r="AF67" s="1496">
        <v>5.0583001107085623</v>
      </c>
      <c r="AG67" s="1496">
        <v>4.982425609047934</v>
      </c>
      <c r="AH67" s="1347"/>
      <c r="AI67" s="1347"/>
      <c r="AJ67" s="1347"/>
      <c r="AK67" s="1347"/>
      <c r="AL67" s="1347"/>
      <c r="AM67" s="1347"/>
      <c r="AN67" s="1347"/>
      <c r="AO67" s="1347"/>
      <c r="AP67" s="1347"/>
      <c r="AQ67" s="1623">
        <f t="shared" si="3"/>
        <v>0</v>
      </c>
      <c r="AR67" s="1350"/>
    </row>
    <row r="68" spans="1:44" ht="21.75" thickBot="1">
      <c r="A68" s="1521">
        <v>66</v>
      </c>
      <c r="B68" s="1513" t="s">
        <v>2435</v>
      </c>
      <c r="C68" s="1263" t="s">
        <v>29</v>
      </c>
      <c r="D68" s="1458" t="s">
        <v>2470</v>
      </c>
      <c r="E68" s="1458" t="s">
        <v>2472</v>
      </c>
      <c r="F68" s="1316" t="s">
        <v>2474</v>
      </c>
      <c r="G68" s="1263" t="s">
        <v>2401</v>
      </c>
      <c r="H68" s="1291">
        <v>196000</v>
      </c>
      <c r="I68" s="1265" t="s">
        <v>35</v>
      </c>
      <c r="J68" s="1265" t="s">
        <v>2467</v>
      </c>
      <c r="K68" s="1283">
        <v>45520</v>
      </c>
      <c r="L68" s="1283">
        <v>45520</v>
      </c>
      <c r="M68" s="1283">
        <v>45160</v>
      </c>
      <c r="N68" s="1283"/>
      <c r="O68" s="1394"/>
      <c r="P68" s="1263" t="s">
        <v>2379</v>
      </c>
      <c r="Q68" s="1383">
        <v>3.3693869440000004</v>
      </c>
      <c r="R68" s="1383">
        <v>1.8123000000000002</v>
      </c>
      <c r="S68" s="1455">
        <f t="shared" si="12"/>
        <v>0.53787232814777597</v>
      </c>
      <c r="T68" s="1384">
        <v>209.64045586512</v>
      </c>
      <c r="U68" s="1384">
        <v>338.16480211137781</v>
      </c>
      <c r="V68" s="1384">
        <v>24.918163076024882</v>
      </c>
      <c r="W68" s="1384">
        <v>10.787732193052479</v>
      </c>
      <c r="X68" s="1384">
        <v>6.6345476647512562</v>
      </c>
      <c r="Y68" s="1405">
        <f t="shared" si="13"/>
        <v>7.768899147187279E-2</v>
      </c>
      <c r="Z68" s="1384">
        <v>376.35613893281243</v>
      </c>
      <c r="AA68" s="1384">
        <v>60.5</v>
      </c>
      <c r="AB68" s="1384">
        <v>16.192123877500002</v>
      </c>
      <c r="AC68" s="1384">
        <f t="shared" si="14"/>
        <v>6.6280301213830057</v>
      </c>
      <c r="AD68" s="1405">
        <f t="shared" si="15"/>
        <v>0.65360980013551651</v>
      </c>
      <c r="AE68" s="1384">
        <v>5.0724720316706664</v>
      </c>
      <c r="AF68" s="1384">
        <v>4.9963849511956067</v>
      </c>
      <c r="AG68" s="1384">
        <v>4.9214391769276729</v>
      </c>
      <c r="AH68" s="1263"/>
      <c r="AI68" s="1263"/>
      <c r="AJ68" s="1263"/>
      <c r="AK68" s="1263"/>
      <c r="AL68" s="1263"/>
      <c r="AM68" s="1263"/>
      <c r="AN68" s="1263"/>
      <c r="AO68" s="1263"/>
      <c r="AP68" s="1263"/>
      <c r="AQ68" s="1383">
        <f t="shared" ref="AQ68:AQ131" si="16">AJ68*H68/10^7</f>
        <v>0</v>
      </c>
      <c r="AR68" s="1266"/>
    </row>
    <row r="69" spans="1:44">
      <c r="A69" s="1521">
        <v>67</v>
      </c>
      <c r="B69" s="1700" t="s">
        <v>2435</v>
      </c>
      <c r="C69" s="1347" t="s">
        <v>29</v>
      </c>
      <c r="D69" s="1490" t="s">
        <v>2475</v>
      </c>
      <c r="E69" s="1490" t="s">
        <v>2476</v>
      </c>
      <c r="F69" s="1491" t="s">
        <v>2478</v>
      </c>
      <c r="G69" s="1347" t="s">
        <v>2401</v>
      </c>
      <c r="H69" s="1711">
        <v>196000</v>
      </c>
      <c r="I69" s="1348" t="s">
        <v>35</v>
      </c>
      <c r="J69" s="1348" t="s">
        <v>2467</v>
      </c>
      <c r="K69" s="1493">
        <v>45520</v>
      </c>
      <c r="L69" s="1493">
        <v>45520</v>
      </c>
      <c r="M69" s="1493">
        <v>45160</v>
      </c>
      <c r="N69" s="1493"/>
      <c r="O69" s="1540"/>
      <c r="P69" s="1347" t="s">
        <v>2379</v>
      </c>
      <c r="Q69" s="1623">
        <v>6.4505962537499988</v>
      </c>
      <c r="R69" s="1623">
        <v>4.4995000000000003</v>
      </c>
      <c r="S69" s="1495">
        <f t="shared" si="12"/>
        <v>0.6975324176248443</v>
      </c>
      <c r="T69" s="1496">
        <v>454.3415235608374</v>
      </c>
      <c r="U69" s="1496">
        <v>619.65420332600013</v>
      </c>
      <c r="V69" s="1496">
        <v>34.77645311786722</v>
      </c>
      <c r="W69" s="1496">
        <v>19.478616184897827</v>
      </c>
      <c r="X69" s="1496">
        <v>8.4187875513759103</v>
      </c>
      <c r="Y69" s="1694">
        <f t="shared" si="13"/>
        <v>5.8768151277650282E-2</v>
      </c>
      <c r="Z69" s="1496">
        <v>330.38901013531881</v>
      </c>
      <c r="AA69" s="1496">
        <v>77.75</v>
      </c>
      <c r="AB69" s="1496">
        <v>21.658377034999997</v>
      </c>
      <c r="AC69" s="1496">
        <f t="shared" si="14"/>
        <v>12.145222385189603</v>
      </c>
      <c r="AD69" s="1694">
        <f t="shared" si="15"/>
        <v>0.76778420438233919</v>
      </c>
      <c r="AE69" s="1496">
        <v>9.294813049890001</v>
      </c>
      <c r="AF69" s="1496">
        <v>9.1553908541416522</v>
      </c>
      <c r="AG69" s="1496">
        <v>9.0180599913295278</v>
      </c>
      <c r="AH69" s="1347"/>
      <c r="AI69" s="1347"/>
      <c r="AJ69" s="1347"/>
      <c r="AK69" s="1347"/>
      <c r="AL69" s="1347"/>
      <c r="AM69" s="1347"/>
      <c r="AN69" s="1347"/>
      <c r="AO69" s="1347"/>
      <c r="AP69" s="1347"/>
      <c r="AQ69" s="1623">
        <f t="shared" si="16"/>
        <v>0</v>
      </c>
      <c r="AR69" s="1350"/>
    </row>
    <row r="70" spans="1:44" ht="21.75" thickBot="1">
      <c r="A70" s="1521">
        <v>68</v>
      </c>
      <c r="B70" s="1513" t="s">
        <v>2435</v>
      </c>
      <c r="C70" s="1263" t="s">
        <v>29</v>
      </c>
      <c r="D70" s="1458" t="s">
        <v>2475</v>
      </c>
      <c r="E70" s="1458" t="s">
        <v>2477</v>
      </c>
      <c r="F70" s="1316" t="s">
        <v>2042</v>
      </c>
      <c r="G70" s="1263" t="s">
        <v>2401</v>
      </c>
      <c r="H70" s="1291">
        <v>196000</v>
      </c>
      <c r="I70" s="1265" t="s">
        <v>35</v>
      </c>
      <c r="J70" s="1265" t="s">
        <v>2467</v>
      </c>
      <c r="K70" s="1283">
        <v>45520</v>
      </c>
      <c r="L70" s="1283">
        <v>45520</v>
      </c>
      <c r="M70" s="1283">
        <v>45160</v>
      </c>
      <c r="N70" s="1283"/>
      <c r="O70" s="1394"/>
      <c r="P70" s="1263" t="s">
        <v>2379</v>
      </c>
      <c r="Q70" s="1383">
        <v>5.8824603337499992</v>
      </c>
      <c r="R70" s="1383">
        <v>4.1448999999999998</v>
      </c>
      <c r="S70" s="1455">
        <f t="shared" si="12"/>
        <v>0.70462013593514106</v>
      </c>
      <c r="T70" s="1384">
        <v>418.57132108163745</v>
      </c>
      <c r="U70" s="1384">
        <v>544.28390905204662</v>
      </c>
      <c r="V70" s="1384">
        <v>26.679799528030898</v>
      </c>
      <c r="W70" s="1384">
        <v>19.478616184897827</v>
      </c>
      <c r="X70" s="1384">
        <v>6.1988899026162709</v>
      </c>
      <c r="Y70" s="1405">
        <f t="shared" si="13"/>
        <v>5.1445179572639277E-2</v>
      </c>
      <c r="Z70" s="1384">
        <v>296.0239450548188</v>
      </c>
      <c r="AA70" s="1384">
        <v>71.75</v>
      </c>
      <c r="AB70" s="1384">
        <v>21.658377034999997</v>
      </c>
      <c r="AC70" s="1384">
        <f t="shared" si="14"/>
        <v>10.667964617420115</v>
      </c>
      <c r="AD70" s="1405">
        <f t="shared" si="15"/>
        <v>0.8071078927852412</v>
      </c>
      <c r="AE70" s="1384">
        <v>8.1642586357806977</v>
      </c>
      <c r="AF70" s="1384">
        <v>8.0417947562439878</v>
      </c>
      <c r="AG70" s="1384">
        <v>7.9211678349003263</v>
      </c>
      <c r="AH70" s="1263"/>
      <c r="AI70" s="1263"/>
      <c r="AJ70" s="1263"/>
      <c r="AK70" s="1263"/>
      <c r="AL70" s="1263"/>
      <c r="AM70" s="1263"/>
      <c r="AN70" s="1263"/>
      <c r="AO70" s="1263"/>
      <c r="AP70" s="1263"/>
      <c r="AQ70" s="1383">
        <f t="shared" si="16"/>
        <v>0</v>
      </c>
      <c r="AR70" s="1266"/>
    </row>
    <row r="71" spans="1:44">
      <c r="A71" s="1521">
        <v>69</v>
      </c>
      <c r="B71" s="1700" t="s">
        <v>2435</v>
      </c>
      <c r="C71" s="1347" t="s">
        <v>29</v>
      </c>
      <c r="D71" s="1490" t="s">
        <v>2479</v>
      </c>
      <c r="E71" s="1490" t="s">
        <v>2480</v>
      </c>
      <c r="F71" s="1491" t="s">
        <v>2482</v>
      </c>
      <c r="G71" s="1347" t="s">
        <v>2401</v>
      </c>
      <c r="H71" s="1711">
        <v>196000</v>
      </c>
      <c r="I71" s="1348" t="s">
        <v>35</v>
      </c>
      <c r="J71" s="1348" t="s">
        <v>2467</v>
      </c>
      <c r="K71" s="1493">
        <v>45520</v>
      </c>
      <c r="L71" s="1493">
        <v>45520</v>
      </c>
      <c r="M71" s="1493">
        <v>45160</v>
      </c>
      <c r="N71" s="1493"/>
      <c r="O71" s="1540"/>
      <c r="P71" s="1347" t="s">
        <v>2379</v>
      </c>
      <c r="Q71" s="1623">
        <v>2.9527843059622643</v>
      </c>
      <c r="R71" s="1623">
        <v>1.8941999999999999</v>
      </c>
      <c r="S71" s="1495">
        <f t="shared" si="12"/>
        <v>0.64149622990586541</v>
      </c>
      <c r="T71" s="1496">
        <v>155.49854691839019</v>
      </c>
      <c r="U71" s="1496">
        <v>283.06762028824556</v>
      </c>
      <c r="V71" s="1496">
        <v>24.94808116345617</v>
      </c>
      <c r="W71" s="1496">
        <v>18.209471221009302</v>
      </c>
      <c r="X71" s="1496">
        <v>6.6720778339328684</v>
      </c>
      <c r="Y71" s="1694">
        <f t="shared" si="13"/>
        <v>9.6628300063919634E-2</v>
      </c>
      <c r="Z71" s="1496">
        <v>161.52360557256247</v>
      </c>
      <c r="AA71" s="1496">
        <v>75</v>
      </c>
      <c r="AB71" s="1496">
        <v>13.948004424999997</v>
      </c>
      <c r="AC71" s="1496">
        <f t="shared" si="14"/>
        <v>5.5481253576496128</v>
      </c>
      <c r="AD71" s="1694">
        <f t="shared" si="15"/>
        <v>0.60227318296298726</v>
      </c>
      <c r="AE71" s="1496">
        <v>4.9536833550442978</v>
      </c>
      <c r="AF71" s="1496">
        <v>4.8669938963310226</v>
      </c>
      <c r="AG71" s="1496">
        <v>4.7818215031452302</v>
      </c>
      <c r="AH71" s="1347"/>
      <c r="AI71" s="1347"/>
      <c r="AJ71" s="1347"/>
      <c r="AK71" s="1347"/>
      <c r="AL71" s="1347"/>
      <c r="AM71" s="1347"/>
      <c r="AN71" s="1347"/>
      <c r="AO71" s="1347"/>
      <c r="AP71" s="1347"/>
      <c r="AQ71" s="1623">
        <f t="shared" si="16"/>
        <v>0</v>
      </c>
      <c r="AR71" s="1350"/>
    </row>
    <row r="72" spans="1:44" ht="21.75" thickBot="1">
      <c r="A72" s="1521">
        <v>70</v>
      </c>
      <c r="B72" s="1513" t="s">
        <v>2435</v>
      </c>
      <c r="C72" s="1263" t="s">
        <v>29</v>
      </c>
      <c r="D72" s="1458" t="s">
        <v>2479</v>
      </c>
      <c r="E72" s="1458" t="s">
        <v>2481</v>
      </c>
      <c r="F72" s="1316" t="s">
        <v>2483</v>
      </c>
      <c r="G72" s="1263" t="s">
        <v>2401</v>
      </c>
      <c r="H72" s="1291">
        <v>196000</v>
      </c>
      <c r="I72" s="1265" t="s">
        <v>35</v>
      </c>
      <c r="J72" s="1265" t="s">
        <v>2467</v>
      </c>
      <c r="K72" s="1283">
        <v>45520</v>
      </c>
      <c r="L72" s="1283">
        <v>45520</v>
      </c>
      <c r="M72" s="1283">
        <v>45160</v>
      </c>
      <c r="N72" s="1283"/>
      <c r="O72" s="1394"/>
      <c r="P72" s="1263" t="s">
        <v>2379</v>
      </c>
      <c r="Q72" s="1383">
        <v>2.9527843059622643</v>
      </c>
      <c r="R72" s="1383">
        <v>1.8933</v>
      </c>
      <c r="S72" s="1455">
        <f t="shared" si="12"/>
        <v>0.6411914328374908</v>
      </c>
      <c r="T72" s="1384">
        <v>155.4596849183902</v>
      </c>
      <c r="U72" s="1384">
        <v>283.0259665080456</v>
      </c>
      <c r="V72" s="1384">
        <v>24.947303923456168</v>
      </c>
      <c r="W72" s="1384">
        <v>18.209471221009302</v>
      </c>
      <c r="X72" s="1384">
        <v>6.6719962237328678</v>
      </c>
      <c r="Y72" s="1405">
        <f t="shared" si="13"/>
        <v>9.664085043058955E-2</v>
      </c>
      <c r="Z72" s="1384">
        <v>153.04669069536249</v>
      </c>
      <c r="AA72" s="1384">
        <v>75</v>
      </c>
      <c r="AB72" s="1384">
        <v>13.948004424999997</v>
      </c>
      <c r="AC72" s="1384">
        <f t="shared" si="14"/>
        <v>5.5473089435576934</v>
      </c>
      <c r="AD72" s="1405">
        <f t="shared" si="15"/>
        <v>0.60221963079781782</v>
      </c>
      <c r="AE72" s="1384">
        <v>4.9529544138907982</v>
      </c>
      <c r="AF72" s="1384">
        <v>4.8662777116477098</v>
      </c>
      <c r="AG72" s="1384">
        <v>4.7811178516938755</v>
      </c>
      <c r="AH72" s="1263"/>
      <c r="AI72" s="1263"/>
      <c r="AJ72" s="1263"/>
      <c r="AK72" s="1263"/>
      <c r="AL72" s="1263"/>
      <c r="AM72" s="1263"/>
      <c r="AN72" s="1263"/>
      <c r="AO72" s="1263"/>
      <c r="AP72" s="1263"/>
      <c r="AQ72" s="1383">
        <f t="shared" si="16"/>
        <v>0</v>
      </c>
      <c r="AR72" s="1266"/>
    </row>
    <row r="73" spans="1:44">
      <c r="A73" s="1521">
        <v>71</v>
      </c>
      <c r="B73" s="1700" t="s">
        <v>2435</v>
      </c>
      <c r="C73" s="1347" t="s">
        <v>29</v>
      </c>
      <c r="D73" s="1490" t="s">
        <v>2484</v>
      </c>
      <c r="E73" s="1490" t="s">
        <v>2485</v>
      </c>
      <c r="F73" s="1491" t="s">
        <v>2119</v>
      </c>
      <c r="G73" s="1347" t="s">
        <v>2401</v>
      </c>
      <c r="H73" s="1711">
        <v>196000</v>
      </c>
      <c r="I73" s="1348" t="s">
        <v>35</v>
      </c>
      <c r="J73" s="1348" t="s">
        <v>2467</v>
      </c>
      <c r="K73" s="1493">
        <v>45520</v>
      </c>
      <c r="L73" s="1493">
        <v>45520</v>
      </c>
      <c r="M73" s="1493">
        <v>45160</v>
      </c>
      <c r="N73" s="1493"/>
      <c r="O73" s="1540"/>
      <c r="P73" s="1347" t="s">
        <v>2379</v>
      </c>
      <c r="Q73" s="1623">
        <v>7.6171724038666673</v>
      </c>
      <c r="R73" s="1623">
        <v>3.7569999999999997</v>
      </c>
      <c r="S73" s="1495">
        <f t="shared" si="12"/>
        <v>0.49322764417053927</v>
      </c>
      <c r="T73" s="1496">
        <v>481.19739372291076</v>
      </c>
      <c r="U73" s="1496">
        <v>619.76088754632156</v>
      </c>
      <c r="V73" s="1496">
        <v>29.750150906191323</v>
      </c>
      <c r="W73" s="1496">
        <v>4.2764667261461238</v>
      </c>
      <c r="X73" s="1496">
        <v>6.8586140934674189</v>
      </c>
      <c r="Y73" s="1694">
        <f t="shared" si="13"/>
        <v>4.8880856804598284E-2</v>
      </c>
      <c r="Z73" s="1496">
        <v>664.08056083561496</v>
      </c>
      <c r="AA73" s="1496">
        <v>50.25</v>
      </c>
      <c r="AB73" s="1496">
        <v>66.672204489999984</v>
      </c>
      <c r="AC73" s="1496">
        <f t="shared" si="14"/>
        <v>12.147313395907902</v>
      </c>
      <c r="AD73" s="1694">
        <f t="shared" si="15"/>
        <v>0.79062929702384999</v>
      </c>
      <c r="AE73" s="1496">
        <v>6.1976088754632155</v>
      </c>
      <c r="AF73" s="1496">
        <v>6.1356327867085838</v>
      </c>
      <c r="AG73" s="1496">
        <v>6.0742764588414984</v>
      </c>
      <c r="AH73" s="1347"/>
      <c r="AI73" s="1347"/>
      <c r="AJ73" s="1347"/>
      <c r="AK73" s="1347"/>
      <c r="AL73" s="1347"/>
      <c r="AM73" s="1347"/>
      <c r="AN73" s="1347"/>
      <c r="AO73" s="1347"/>
      <c r="AP73" s="1347"/>
      <c r="AQ73" s="1623">
        <f t="shared" si="16"/>
        <v>0</v>
      </c>
      <c r="AR73" s="1350"/>
    </row>
    <row r="74" spans="1:44" ht="21.75" thickBot="1">
      <c r="A74" s="1521">
        <v>72</v>
      </c>
      <c r="B74" s="1513" t="s">
        <v>2435</v>
      </c>
      <c r="C74" s="1263" t="s">
        <v>29</v>
      </c>
      <c r="D74" s="1458" t="s">
        <v>2484</v>
      </c>
      <c r="E74" s="1458" t="s">
        <v>2486</v>
      </c>
      <c r="F74" s="1316" t="s">
        <v>2121</v>
      </c>
      <c r="G74" s="1263" t="s">
        <v>2401</v>
      </c>
      <c r="H74" s="1291">
        <v>196000</v>
      </c>
      <c r="I74" s="1265" t="s">
        <v>35</v>
      </c>
      <c r="J74" s="1265" t="s">
        <v>2467</v>
      </c>
      <c r="K74" s="1283">
        <v>45520</v>
      </c>
      <c r="L74" s="1283">
        <v>45520</v>
      </c>
      <c r="M74" s="1283">
        <v>45160</v>
      </c>
      <c r="N74" s="1283"/>
      <c r="O74" s="1394"/>
      <c r="P74" s="1263" t="s">
        <v>2379</v>
      </c>
      <c r="Q74" s="1383">
        <v>7.6171724038666673</v>
      </c>
      <c r="R74" s="1383">
        <v>3.76</v>
      </c>
      <c r="S74" s="1455">
        <f t="shared" si="12"/>
        <v>0.49362149110493148</v>
      </c>
      <c r="T74" s="1384">
        <v>481.32693372291072</v>
      </c>
      <c r="U74" s="1384">
        <v>619.8997334803214</v>
      </c>
      <c r="V74" s="1384">
        <v>29.752741706191323</v>
      </c>
      <c r="W74" s="1384">
        <v>4.2764667261461238</v>
      </c>
      <c r="X74" s="1384">
        <v>6.858886127467418</v>
      </c>
      <c r="Y74" s="1405">
        <f t="shared" si="13"/>
        <v>4.8873985819540909E-2</v>
      </c>
      <c r="Z74" s="1384">
        <v>554.81648873227505</v>
      </c>
      <c r="AA74" s="1384">
        <v>50.25</v>
      </c>
      <c r="AB74" s="1384">
        <v>66.672204489999984</v>
      </c>
      <c r="AC74" s="1384">
        <f t="shared" si="14"/>
        <v>12.1500347762143</v>
      </c>
      <c r="AD74" s="1405">
        <f t="shared" si="15"/>
        <v>0.79066211664256136</v>
      </c>
      <c r="AE74" s="1384">
        <v>6.1989973348032157</v>
      </c>
      <c r="AF74" s="1384">
        <v>6.1370073614551828</v>
      </c>
      <c r="AG74" s="1384">
        <v>6.0756372878406308</v>
      </c>
      <c r="AH74" s="1263"/>
      <c r="AI74" s="1263"/>
      <c r="AJ74" s="1263"/>
      <c r="AK74" s="1263"/>
      <c r="AL74" s="1263"/>
      <c r="AM74" s="1263"/>
      <c r="AN74" s="1263"/>
      <c r="AO74" s="1263"/>
      <c r="AP74" s="1263"/>
      <c r="AQ74" s="1383">
        <f t="shared" si="16"/>
        <v>0</v>
      </c>
      <c r="AR74" s="1266"/>
    </row>
    <row r="75" spans="1:44">
      <c r="A75" s="1521">
        <v>73</v>
      </c>
      <c r="B75" s="1700" t="s">
        <v>2435</v>
      </c>
      <c r="C75" s="1347" t="s">
        <v>29</v>
      </c>
      <c r="D75" s="1490" t="s">
        <v>2475</v>
      </c>
      <c r="E75" s="1490" t="s">
        <v>2487</v>
      </c>
      <c r="F75" s="1491" t="s">
        <v>640</v>
      </c>
      <c r="G75" s="1347" t="s">
        <v>2401</v>
      </c>
      <c r="H75" s="1711">
        <v>196000</v>
      </c>
      <c r="I75" s="1348" t="s">
        <v>35</v>
      </c>
      <c r="J75" s="1348" t="s">
        <v>2467</v>
      </c>
      <c r="K75" s="1493">
        <v>45520</v>
      </c>
      <c r="L75" s="1493">
        <v>45520</v>
      </c>
      <c r="M75" s="1493">
        <v>45160</v>
      </c>
      <c r="N75" s="1493"/>
      <c r="O75" s="1540"/>
      <c r="P75" s="1347" t="s">
        <v>2379</v>
      </c>
      <c r="Q75" s="1623">
        <v>7.6525748719999998</v>
      </c>
      <c r="R75" s="1623">
        <v>4.5002000000000004</v>
      </c>
      <c r="S75" s="1495">
        <f t="shared" si="12"/>
        <v>0.5880635048035634</v>
      </c>
      <c r="T75" s="1496">
        <v>405.67825248032</v>
      </c>
      <c r="U75" s="1496">
        <v>564.48512611440799</v>
      </c>
      <c r="V75" s="1496">
        <v>32.841087359549576</v>
      </c>
      <c r="W75" s="1496">
        <v>0.58407672232544117</v>
      </c>
      <c r="X75" s="1496">
        <v>8.0370358128407311</v>
      </c>
      <c r="Y75" s="1694">
        <f t="shared" si="13"/>
        <v>5.9081153946419086E-2</v>
      </c>
      <c r="Z75" s="1496">
        <v>281.546839814625</v>
      </c>
      <c r="AA75" s="1496">
        <v>10.75</v>
      </c>
      <c r="AB75" s="1496">
        <v>12.586147549999998</v>
      </c>
      <c r="AC75" s="1496">
        <f t="shared" si="14"/>
        <v>11.063908471842396</v>
      </c>
      <c r="AD75" s="1694">
        <f t="shared" si="15"/>
        <v>0.72981564298097534</v>
      </c>
      <c r="AE75" s="1496">
        <v>8.4672768917161214</v>
      </c>
      <c r="AF75" s="1496">
        <v>8.3402677383403798</v>
      </c>
      <c r="AG75" s="1496">
        <v>8.2151637222652738</v>
      </c>
      <c r="AH75" s="1347"/>
      <c r="AI75" s="1347"/>
      <c r="AJ75" s="1347"/>
      <c r="AK75" s="1347"/>
      <c r="AL75" s="1347"/>
      <c r="AM75" s="1347"/>
      <c r="AN75" s="1347"/>
      <c r="AO75" s="1347"/>
      <c r="AP75" s="1347"/>
      <c r="AQ75" s="1623">
        <f t="shared" si="16"/>
        <v>0</v>
      </c>
      <c r="AR75" s="1350"/>
    </row>
    <row r="76" spans="1:44" ht="21.75" thickBot="1">
      <c r="A76" s="1521">
        <v>74</v>
      </c>
      <c r="B76" s="1513" t="s">
        <v>2435</v>
      </c>
      <c r="C76" s="1263" t="s">
        <v>29</v>
      </c>
      <c r="D76" s="1458" t="s">
        <v>2475</v>
      </c>
      <c r="E76" s="1458" t="s">
        <v>2488</v>
      </c>
      <c r="F76" s="1316" t="s">
        <v>643</v>
      </c>
      <c r="G76" s="1263" t="s">
        <v>2401</v>
      </c>
      <c r="H76" s="1291">
        <v>196000</v>
      </c>
      <c r="I76" s="1265" t="s">
        <v>35</v>
      </c>
      <c r="J76" s="1265" t="s">
        <v>2467</v>
      </c>
      <c r="K76" s="1283">
        <v>45520</v>
      </c>
      <c r="L76" s="1283">
        <v>45520</v>
      </c>
      <c r="M76" s="1283">
        <v>45160</v>
      </c>
      <c r="N76" s="1283"/>
      <c r="O76" s="1394"/>
      <c r="P76" s="1263" t="s">
        <v>2379</v>
      </c>
      <c r="Q76" s="1383">
        <v>7.6525748719999998</v>
      </c>
      <c r="R76" s="1383">
        <v>4.5106000000000011</v>
      </c>
      <c r="S76" s="1455">
        <f t="shared" si="12"/>
        <v>0.5894225245026784</v>
      </c>
      <c r="T76" s="1384">
        <v>406.12732448032</v>
      </c>
      <c r="U76" s="1384">
        <v>564.96645868560802</v>
      </c>
      <c r="V76" s="1384">
        <v>32.850068799549575</v>
      </c>
      <c r="W76" s="1384">
        <v>0.58407672232544117</v>
      </c>
      <c r="X76" s="1384">
        <v>8.0379788640407313</v>
      </c>
      <c r="Y76" s="1405">
        <f t="shared" si="13"/>
        <v>5.9046282512326659E-2</v>
      </c>
      <c r="Z76" s="1384">
        <v>281.546839814625</v>
      </c>
      <c r="AA76" s="1384">
        <v>10.75</v>
      </c>
      <c r="AB76" s="1384">
        <v>12.586147549999998</v>
      </c>
      <c r="AC76" s="1384">
        <f t="shared" si="14"/>
        <v>11.073342590237917</v>
      </c>
      <c r="AD76" s="1405">
        <f t="shared" si="15"/>
        <v>0.72999264883028614</v>
      </c>
      <c r="AE76" s="1384">
        <v>8.4744968802841196</v>
      </c>
      <c r="AF76" s="1384">
        <v>8.3473794270798578</v>
      </c>
      <c r="AG76" s="1384">
        <v>8.2221687356736588</v>
      </c>
      <c r="AH76" s="1263"/>
      <c r="AI76" s="1263"/>
      <c r="AJ76" s="1263"/>
      <c r="AK76" s="1263"/>
      <c r="AL76" s="1263"/>
      <c r="AM76" s="1263"/>
      <c r="AN76" s="1263"/>
      <c r="AO76" s="1263"/>
      <c r="AP76" s="1263"/>
      <c r="AQ76" s="1383">
        <f t="shared" si="16"/>
        <v>0</v>
      </c>
      <c r="AR76" s="1266"/>
    </row>
    <row r="77" spans="1:44">
      <c r="A77" s="1521">
        <v>75</v>
      </c>
      <c r="B77" s="1700" t="s">
        <v>2300</v>
      </c>
      <c r="C77" s="1347" t="s">
        <v>29</v>
      </c>
      <c r="D77" s="1490" t="s">
        <v>2489</v>
      </c>
      <c r="E77" s="1490" t="s">
        <v>2490</v>
      </c>
      <c r="F77" s="1491" t="s">
        <v>2496</v>
      </c>
      <c r="G77" s="1347" t="s">
        <v>2500</v>
      </c>
      <c r="H77" s="1711">
        <v>98000</v>
      </c>
      <c r="I77" s="1348" t="s">
        <v>35</v>
      </c>
      <c r="J77" s="1348" t="s">
        <v>2501</v>
      </c>
      <c r="K77" s="1493">
        <v>45520</v>
      </c>
      <c r="L77" s="1493">
        <v>45520</v>
      </c>
      <c r="M77" s="1493">
        <v>45527</v>
      </c>
      <c r="N77" s="1493"/>
      <c r="O77" s="1540"/>
      <c r="P77" s="1347" t="s">
        <v>2502</v>
      </c>
      <c r="Q77" s="1623">
        <v>9.809415471661092</v>
      </c>
      <c r="R77" s="1623">
        <v>5.4249999999999998</v>
      </c>
      <c r="S77" s="1495">
        <f t="shared" si="12"/>
        <v>0.55304008844079977</v>
      </c>
      <c r="T77" s="1496">
        <v>661.48314199616959</v>
      </c>
      <c r="U77" s="1496">
        <v>1050.7091026054431</v>
      </c>
      <c r="V77" s="1496">
        <v>79.212998813247154</v>
      </c>
      <c r="W77" s="1496">
        <v>63.367962567267874</v>
      </c>
      <c r="X77" s="1496">
        <v>20.561986793869174</v>
      </c>
      <c r="Y77" s="1694">
        <f t="shared" si="13"/>
        <v>8.1934947135987687E-2</v>
      </c>
      <c r="Z77" s="1496">
        <v>752.16497991615745</v>
      </c>
      <c r="AA77" s="1496">
        <v>276.125</v>
      </c>
      <c r="AB77" s="1496">
        <v>76.495695202500002</v>
      </c>
      <c r="AC77" s="1496">
        <f t="shared" si="14"/>
        <v>10.296949205533343</v>
      </c>
      <c r="AD77" s="1498">
        <f t="shared" si="15"/>
        <v>0.68421328674327775</v>
      </c>
      <c r="AE77" s="1496">
        <v>21.014182052108868</v>
      </c>
      <c r="AF77" s="1496">
        <v>20.593898411066689</v>
      </c>
      <c r="AG77" s="1496">
        <v>20.182020442845356</v>
      </c>
      <c r="AH77" s="1347"/>
      <c r="AI77" s="1347"/>
      <c r="AJ77" s="1347"/>
      <c r="AK77" s="1347"/>
      <c r="AL77" s="1347"/>
      <c r="AM77" s="1347"/>
      <c r="AN77" s="1347"/>
      <c r="AO77" s="1347"/>
      <c r="AP77" s="1347"/>
      <c r="AQ77" s="1623">
        <f t="shared" si="16"/>
        <v>0</v>
      </c>
      <c r="AR77" s="1350"/>
    </row>
    <row r="78" spans="1:44">
      <c r="A78" s="1521">
        <v>76</v>
      </c>
      <c r="B78" s="1515" t="s">
        <v>2300</v>
      </c>
      <c r="C78" s="1270" t="s">
        <v>29</v>
      </c>
      <c r="D78" s="1448" t="s">
        <v>2489</v>
      </c>
      <c r="E78" s="1448" t="s">
        <v>2491</v>
      </c>
      <c r="F78" s="1315" t="s">
        <v>2497</v>
      </c>
      <c r="G78" s="1270" t="s">
        <v>2500</v>
      </c>
      <c r="H78" s="1287">
        <v>42000</v>
      </c>
      <c r="I78" s="1272" t="s">
        <v>35</v>
      </c>
      <c r="J78" s="1272" t="s">
        <v>2501</v>
      </c>
      <c r="K78" s="1280">
        <v>45520</v>
      </c>
      <c r="L78" s="1280">
        <v>45520</v>
      </c>
      <c r="M78" s="1280">
        <v>45527</v>
      </c>
      <c r="N78" s="1280"/>
      <c r="O78" s="1533"/>
      <c r="P78" s="1270" t="s">
        <v>2502</v>
      </c>
      <c r="Q78" s="1390">
        <v>11.426952448789297</v>
      </c>
      <c r="R78" s="1390">
        <v>6.5115999999999987</v>
      </c>
      <c r="S78" s="1286">
        <f t="shared" si="12"/>
        <v>0.56984572476189066</v>
      </c>
      <c r="T78" s="1391">
        <v>849.51432535085075</v>
      </c>
      <c r="U78" s="1391">
        <v>1387.9458018965195</v>
      </c>
      <c r="V78" s="1391">
        <v>110.41557615200423</v>
      </c>
      <c r="W78" s="1391">
        <v>63.367962567267874</v>
      </c>
      <c r="X78" s="1391">
        <v>28.930699960080219</v>
      </c>
      <c r="Y78" s="1409">
        <f t="shared" si="13"/>
        <v>8.522040669635074E-2</v>
      </c>
      <c r="Z78" s="1391">
        <v>680.03827606089374</v>
      </c>
      <c r="AA78" s="1391">
        <v>14</v>
      </c>
      <c r="AB78" s="1391">
        <v>0</v>
      </c>
      <c r="AC78" s="1391">
        <f t="shared" si="14"/>
        <v>5.8293723679653819</v>
      </c>
      <c r="AD78" s="1281">
        <f t="shared" si="15"/>
        <v>0.65566796663825055</v>
      </c>
      <c r="AE78" s="1391">
        <v>27.758916037930394</v>
      </c>
      <c r="AF78" s="1391">
        <v>27.203737717171784</v>
      </c>
      <c r="AG78" s="1391">
        <v>26.659662962828349</v>
      </c>
      <c r="AH78" s="1270"/>
      <c r="AI78" s="1270"/>
      <c r="AJ78" s="1270"/>
      <c r="AK78" s="1270"/>
      <c r="AL78" s="1270"/>
      <c r="AM78" s="1270"/>
      <c r="AN78" s="1270"/>
      <c r="AO78" s="1270"/>
      <c r="AP78" s="1270"/>
      <c r="AQ78" s="1390">
        <f t="shared" si="16"/>
        <v>0</v>
      </c>
      <c r="AR78" s="1624"/>
    </row>
    <row r="79" spans="1:44">
      <c r="A79" s="1521">
        <v>77</v>
      </c>
      <c r="B79" s="1515" t="s">
        <v>2300</v>
      </c>
      <c r="C79" s="1270" t="s">
        <v>29</v>
      </c>
      <c r="D79" s="1448" t="s">
        <v>2489</v>
      </c>
      <c r="E79" s="1448" t="s">
        <v>2492</v>
      </c>
      <c r="F79" s="1315" t="s">
        <v>2497</v>
      </c>
      <c r="G79" s="1270" t="s">
        <v>2500</v>
      </c>
      <c r="H79" s="1287">
        <v>32211</v>
      </c>
      <c r="I79" s="1272" t="s">
        <v>35</v>
      </c>
      <c r="J79" s="1272" t="s">
        <v>2501</v>
      </c>
      <c r="K79" s="1280">
        <v>45520</v>
      </c>
      <c r="L79" s="1280">
        <v>45520</v>
      </c>
      <c r="M79" s="1280">
        <v>45527</v>
      </c>
      <c r="N79" s="1280"/>
      <c r="O79" s="1533"/>
      <c r="P79" s="1270" t="s">
        <v>2502</v>
      </c>
      <c r="Q79" s="1390">
        <v>9.9753312216610919</v>
      </c>
      <c r="R79" s="1390">
        <v>5.5116000000000005</v>
      </c>
      <c r="S79" s="1286">
        <f t="shared" si="12"/>
        <v>0.5525230067580863</v>
      </c>
      <c r="T79" s="1391">
        <v>679.96456653616974</v>
      </c>
      <c r="U79" s="1391">
        <v>1072.4818509958775</v>
      </c>
      <c r="V79" s="1391">
        <v>80.069127304047143</v>
      </c>
      <c r="W79" s="1391">
        <v>63.367962567267874</v>
      </c>
      <c r="X79" s="1391">
        <v>20.742160785403172</v>
      </c>
      <c r="Y79" s="1409">
        <f t="shared" si="13"/>
        <v>8.1011146985126431E-2</v>
      </c>
      <c r="Z79" s="1391">
        <v>9.9784080396000014</v>
      </c>
      <c r="AA79" s="1391">
        <v>3</v>
      </c>
      <c r="AB79" s="1391">
        <v>0</v>
      </c>
      <c r="AC79" s="1391">
        <f t="shared" si="14"/>
        <v>3.4545712902428209</v>
      </c>
      <c r="AD79" s="1281">
        <f t="shared" si="15"/>
        <v>0.68796440399763337</v>
      </c>
      <c r="AE79" s="1391">
        <v>21.449637019917549</v>
      </c>
      <c r="AF79" s="1391">
        <v>21.020644279519196</v>
      </c>
      <c r="AG79" s="1391">
        <v>20.600231393928812</v>
      </c>
      <c r="AH79" s="1270"/>
      <c r="AI79" s="1270"/>
      <c r="AJ79" s="1270"/>
      <c r="AK79" s="1270"/>
      <c r="AL79" s="1270"/>
      <c r="AM79" s="1270"/>
      <c r="AN79" s="1270"/>
      <c r="AO79" s="1270"/>
      <c r="AP79" s="1270"/>
      <c r="AQ79" s="1390">
        <f t="shared" si="16"/>
        <v>0</v>
      </c>
      <c r="AR79" s="1624"/>
    </row>
    <row r="80" spans="1:44">
      <c r="A80" s="1521">
        <v>78</v>
      </c>
      <c r="B80" s="1515" t="s">
        <v>2300</v>
      </c>
      <c r="C80" s="1270" t="s">
        <v>29</v>
      </c>
      <c r="D80" s="1448" t="s">
        <v>2489</v>
      </c>
      <c r="E80" s="1448" t="s">
        <v>2493</v>
      </c>
      <c r="F80" s="1315" t="s">
        <v>2498</v>
      </c>
      <c r="G80" s="1270" t="s">
        <v>2500</v>
      </c>
      <c r="H80" s="1288">
        <v>98000</v>
      </c>
      <c r="I80" s="1272" t="s">
        <v>35</v>
      </c>
      <c r="J80" s="1272" t="s">
        <v>2501</v>
      </c>
      <c r="K80" s="1280">
        <v>45520</v>
      </c>
      <c r="L80" s="1280">
        <v>45520</v>
      </c>
      <c r="M80" s="1280">
        <v>45527</v>
      </c>
      <c r="N80" s="1280"/>
      <c r="O80" s="1533"/>
      <c r="P80" s="1270" t="s">
        <v>2502</v>
      </c>
      <c r="Q80" s="1390">
        <v>10.297494447661093</v>
      </c>
      <c r="R80" s="1390">
        <v>5.630300000000001</v>
      </c>
      <c r="S80" s="1286">
        <f t="shared" si="12"/>
        <v>0.54676407242723313</v>
      </c>
      <c r="T80" s="1391">
        <v>666.87985130192988</v>
      </c>
      <c r="U80" s="1391">
        <v>1046.872529714288</v>
      </c>
      <c r="V80" s="1391">
        <v>77.433281310568574</v>
      </c>
      <c r="W80" s="1391">
        <v>63.367962567267874</v>
      </c>
      <c r="X80" s="1391">
        <v>20.024822235553192</v>
      </c>
      <c r="Y80" s="1409">
        <f t="shared" si="13"/>
        <v>8.0368354103472955E-2</v>
      </c>
      <c r="Z80" s="1391">
        <v>713.8879634138176</v>
      </c>
      <c r="AA80" s="1391">
        <v>267.125</v>
      </c>
      <c r="AB80" s="1391">
        <v>76.495695202500002</v>
      </c>
      <c r="AC80" s="1391">
        <f t="shared" si="14"/>
        <v>10.259350791200022</v>
      </c>
      <c r="AD80" s="1281">
        <f t="shared" si="15"/>
        <v>0.69215762430294647</v>
      </c>
      <c r="AE80" s="1391">
        <v>20.937450594285764</v>
      </c>
      <c r="AF80" s="1391">
        <v>20.518701582400048</v>
      </c>
      <c r="AG80" s="1391">
        <v>20.108327550752048</v>
      </c>
      <c r="AH80" s="1270"/>
      <c r="AI80" s="1270"/>
      <c r="AJ80" s="1270"/>
      <c r="AK80" s="1270"/>
      <c r="AL80" s="1270"/>
      <c r="AM80" s="1270"/>
      <c r="AN80" s="1270"/>
      <c r="AO80" s="1270"/>
      <c r="AP80" s="1270"/>
      <c r="AQ80" s="1390">
        <f t="shared" si="16"/>
        <v>0</v>
      </c>
      <c r="AR80" s="1624"/>
    </row>
    <row r="81" spans="1:44">
      <c r="A81" s="1521">
        <v>79</v>
      </c>
      <c r="B81" s="1515" t="s">
        <v>2300</v>
      </c>
      <c r="C81" s="1270" t="s">
        <v>29</v>
      </c>
      <c r="D81" s="1448" t="s">
        <v>2489</v>
      </c>
      <c r="E81" s="1448" t="s">
        <v>2494</v>
      </c>
      <c r="F81" s="1315" t="s">
        <v>2499</v>
      </c>
      <c r="G81" s="1270" t="s">
        <v>2500</v>
      </c>
      <c r="H81" s="1287">
        <v>42000</v>
      </c>
      <c r="I81" s="1272" t="s">
        <v>35</v>
      </c>
      <c r="J81" s="1272" t="s">
        <v>2501</v>
      </c>
      <c r="K81" s="1280">
        <v>45520</v>
      </c>
      <c r="L81" s="1280">
        <v>45520</v>
      </c>
      <c r="M81" s="1280">
        <v>45527</v>
      </c>
      <c r="N81" s="1280"/>
      <c r="O81" s="1533"/>
      <c r="P81" s="1270" t="s">
        <v>2502</v>
      </c>
      <c r="Q81" s="1390">
        <v>11.859079528789298</v>
      </c>
      <c r="R81" s="1390">
        <v>6.7088000000000001</v>
      </c>
      <c r="S81" s="1286">
        <f t="shared" si="12"/>
        <v>0.56571001009931721</v>
      </c>
      <c r="T81" s="1391">
        <v>849.36644888165085</v>
      </c>
      <c r="U81" s="1391">
        <v>1367.2863584457027</v>
      </c>
      <c r="V81" s="1391">
        <v>106.36998308657452</v>
      </c>
      <c r="W81" s="1391">
        <v>63.367962567267874</v>
      </c>
      <c r="X81" s="1391">
        <v>27.75571503659247</v>
      </c>
      <c r="Y81" s="1409">
        <f t="shared" si="13"/>
        <v>8.3351429001517069E-2</v>
      </c>
      <c r="Z81" s="1391">
        <v>680.03827606089374</v>
      </c>
      <c r="AA81" s="1391">
        <v>14</v>
      </c>
      <c r="AB81" s="1391">
        <v>0</v>
      </c>
      <c r="AC81" s="1391">
        <f t="shared" si="14"/>
        <v>5.7426027054719517</v>
      </c>
      <c r="AD81" s="1281">
        <f t="shared" si="15"/>
        <v>0.66556283272705619</v>
      </c>
      <c r="AE81" s="1391">
        <v>27.34572716891406</v>
      </c>
      <c r="AF81" s="1391">
        <v>26.798812625535781</v>
      </c>
      <c r="AG81" s="1391">
        <v>26.262836373025067</v>
      </c>
      <c r="AH81" s="1270"/>
      <c r="AI81" s="1270"/>
      <c r="AJ81" s="1270"/>
      <c r="AK81" s="1270"/>
      <c r="AL81" s="1270"/>
      <c r="AM81" s="1270"/>
      <c r="AN81" s="1270"/>
      <c r="AO81" s="1270"/>
      <c r="AP81" s="1270"/>
      <c r="AQ81" s="1390">
        <f t="shared" si="16"/>
        <v>0</v>
      </c>
      <c r="AR81" s="1624"/>
    </row>
    <row r="82" spans="1:44" ht="21.75" thickBot="1">
      <c r="A82" s="1521">
        <v>80</v>
      </c>
      <c r="B82" s="1513" t="s">
        <v>2300</v>
      </c>
      <c r="C82" s="1263" t="s">
        <v>29</v>
      </c>
      <c r="D82" s="1458" t="s">
        <v>2489</v>
      </c>
      <c r="E82" s="1458" t="s">
        <v>2495</v>
      </c>
      <c r="F82" s="1316" t="s">
        <v>2499</v>
      </c>
      <c r="G82" s="1263" t="s">
        <v>2500</v>
      </c>
      <c r="H82" s="1289">
        <v>32211</v>
      </c>
      <c r="I82" s="1265" t="s">
        <v>35</v>
      </c>
      <c r="J82" s="1265" t="s">
        <v>2501</v>
      </c>
      <c r="K82" s="1283">
        <v>45520</v>
      </c>
      <c r="L82" s="1283">
        <v>45520</v>
      </c>
      <c r="M82" s="1283">
        <v>45527</v>
      </c>
      <c r="N82" s="1283"/>
      <c r="O82" s="1394"/>
      <c r="P82" s="1263" t="s">
        <v>2502</v>
      </c>
      <c r="Q82" s="1383">
        <v>10.463410197661092</v>
      </c>
      <c r="R82" s="1383">
        <v>5.716400000000001</v>
      </c>
      <c r="S82" s="1455">
        <f t="shared" si="12"/>
        <v>0.54632284236336248</v>
      </c>
      <c r="T82" s="1384">
        <v>690.33968584192985</v>
      </c>
      <c r="U82" s="1384">
        <v>1077.337524185232</v>
      </c>
      <c r="V82" s="1384">
        <v>79.076581231918183</v>
      </c>
      <c r="W82" s="1384">
        <v>63.367962567267874</v>
      </c>
      <c r="X82" s="1384">
        <v>20.415248741078322</v>
      </c>
      <c r="Y82" s="1405">
        <f t="shared" si="13"/>
        <v>7.9589590832682328E-2</v>
      </c>
      <c r="Z82" s="1384">
        <v>9.9784080396000014</v>
      </c>
      <c r="AA82" s="1384">
        <v>3</v>
      </c>
      <c r="AB82" s="1384">
        <v>0</v>
      </c>
      <c r="AC82" s="1384">
        <f t="shared" si="14"/>
        <v>3.4702118991530506</v>
      </c>
      <c r="AD82" s="1284">
        <f t="shared" si="15"/>
        <v>0.69481826699842619</v>
      </c>
      <c r="AE82" s="1384">
        <v>21.546750483704642</v>
      </c>
      <c r="AF82" s="1384">
        <v>21.115815474030548</v>
      </c>
      <c r="AG82" s="1384">
        <v>20.693499164549934</v>
      </c>
      <c r="AH82" s="1263"/>
      <c r="AI82" s="1263"/>
      <c r="AJ82" s="1263"/>
      <c r="AK82" s="1263"/>
      <c r="AL82" s="1263"/>
      <c r="AM82" s="1263"/>
      <c r="AN82" s="1263"/>
      <c r="AO82" s="1263"/>
      <c r="AP82" s="1263"/>
      <c r="AQ82" s="1383">
        <f t="shared" si="16"/>
        <v>0</v>
      </c>
      <c r="AR82" s="1266"/>
    </row>
    <row r="83" spans="1:44">
      <c r="A83" s="1521">
        <v>81</v>
      </c>
      <c r="B83" s="1700" t="s">
        <v>2399</v>
      </c>
      <c r="C83" s="1347" t="s">
        <v>29</v>
      </c>
      <c r="D83" s="1490" t="s">
        <v>2503</v>
      </c>
      <c r="E83" s="1490" t="s">
        <v>2504</v>
      </c>
      <c r="F83" s="1491" t="s">
        <v>2505</v>
      </c>
      <c r="G83" s="1347" t="s">
        <v>2401</v>
      </c>
      <c r="H83" s="1711">
        <v>200000</v>
      </c>
      <c r="I83" s="1348" t="s">
        <v>35</v>
      </c>
      <c r="J83" s="1348" t="s">
        <v>2501</v>
      </c>
      <c r="K83" s="1493">
        <v>45520</v>
      </c>
      <c r="L83" s="1493">
        <v>45520</v>
      </c>
      <c r="M83" s="1493">
        <v>45527</v>
      </c>
      <c r="N83" s="1493"/>
      <c r="O83" s="1540"/>
      <c r="P83" s="1347" t="s">
        <v>2557</v>
      </c>
      <c r="Q83" s="1623">
        <v>20.478942482040893</v>
      </c>
      <c r="R83" s="1623">
        <v>11.075100000000001</v>
      </c>
      <c r="S83" s="1495">
        <f t="shared" si="12"/>
        <v>0.54080429249275752</v>
      </c>
      <c r="T83" s="1496">
        <v>1200.4333786576369</v>
      </c>
      <c r="U83" s="1496">
        <v>1926.4882262831529</v>
      </c>
      <c r="V83" s="1496">
        <v>152.1935956178182</v>
      </c>
      <c r="W83" s="1496">
        <v>83.854461565512892</v>
      </c>
      <c r="X83" s="1496">
        <v>39.767787758445252</v>
      </c>
      <c r="Y83" s="1694">
        <f t="shared" si="13"/>
        <v>8.4417587087929638E-2</v>
      </c>
      <c r="Z83" s="1496">
        <v>1075.9897577375098</v>
      </c>
      <c r="AA83" s="1715">
        <v>339.375</v>
      </c>
      <c r="AB83" s="1496">
        <v>52.259544184999989</v>
      </c>
      <c r="AC83" s="1496">
        <f t="shared" si="14"/>
        <v>38.529764525663062</v>
      </c>
      <c r="AD83" s="1498">
        <f t="shared" si="15"/>
        <v>0.66584726429989471</v>
      </c>
      <c r="AE83" s="1496">
        <v>48.162205657078822</v>
      </c>
      <c r="AF83" s="1496">
        <v>56.349780618782212</v>
      </c>
      <c r="AG83" s="1496">
        <v>54.659287200218749</v>
      </c>
      <c r="AH83" s="1347"/>
      <c r="AI83" s="1347"/>
      <c r="AJ83" s="1347"/>
      <c r="AK83" s="1347"/>
      <c r="AL83" s="1347"/>
      <c r="AM83" s="1347"/>
      <c r="AN83" s="1347"/>
      <c r="AO83" s="1347"/>
      <c r="AP83" s="1347"/>
      <c r="AQ83" s="1623">
        <f t="shared" si="16"/>
        <v>0</v>
      </c>
      <c r="AR83" s="1350"/>
    </row>
    <row r="84" spans="1:44" ht="21.75" thickBot="1">
      <c r="A84" s="1521">
        <v>82</v>
      </c>
      <c r="B84" s="1513" t="s">
        <v>2399</v>
      </c>
      <c r="C84" s="1263" t="s">
        <v>29</v>
      </c>
      <c r="D84" s="1458" t="s">
        <v>2503</v>
      </c>
      <c r="E84" s="1458" t="s">
        <v>2508</v>
      </c>
      <c r="F84" s="1316" t="s">
        <v>2506</v>
      </c>
      <c r="G84" s="1263" t="s">
        <v>2401</v>
      </c>
      <c r="H84" s="1291">
        <v>200000</v>
      </c>
      <c r="I84" s="1265" t="s">
        <v>35</v>
      </c>
      <c r="J84" s="1265" t="s">
        <v>2501</v>
      </c>
      <c r="K84" s="1283">
        <v>45520</v>
      </c>
      <c r="L84" s="1283">
        <v>45520</v>
      </c>
      <c r="M84" s="1283">
        <v>45527</v>
      </c>
      <c r="N84" s="1283"/>
      <c r="O84" s="1394"/>
      <c r="P84" s="1263" t="s">
        <v>2557</v>
      </c>
      <c r="Q84" s="1383">
        <v>17.472923484348584</v>
      </c>
      <c r="R84" s="1383">
        <v>9.1593999999999998</v>
      </c>
      <c r="S84" s="1455">
        <f t="shared" si="12"/>
        <v>0.52420535168053339</v>
      </c>
      <c r="T84" s="1384">
        <v>1244.6340948588652</v>
      </c>
      <c r="U84" s="1384">
        <v>1900.5670538080378</v>
      </c>
      <c r="V84" s="1384">
        <v>139.33674761836471</v>
      </c>
      <c r="W84" s="1384">
        <v>83.854461565512892</v>
      </c>
      <c r="X84" s="1384">
        <v>35.867907267331503</v>
      </c>
      <c r="Y84" s="1405">
        <f t="shared" si="13"/>
        <v>7.8241942598326938E-2</v>
      </c>
      <c r="Z84" s="1384">
        <v>1001.3150383351499</v>
      </c>
      <c r="AA84" s="1417">
        <v>316.875</v>
      </c>
      <c r="AB84" s="1384">
        <v>52.259544184999989</v>
      </c>
      <c r="AC84" s="1384">
        <f t="shared" si="14"/>
        <v>38.011341076160761</v>
      </c>
      <c r="AD84" s="1284">
        <f t="shared" si="15"/>
        <v>0.69890097960800124</v>
      </c>
      <c r="AE84" s="1384">
        <v>47.514176345200951</v>
      </c>
      <c r="AF84" s="1384">
        <v>55.59158632388511</v>
      </c>
      <c r="AG84" s="1384">
        <v>53.923838734168555</v>
      </c>
      <c r="AH84" s="1263"/>
      <c r="AI84" s="1263"/>
      <c r="AJ84" s="1263"/>
      <c r="AK84" s="1263"/>
      <c r="AL84" s="1263"/>
      <c r="AM84" s="1263"/>
      <c r="AN84" s="1263"/>
      <c r="AO84" s="1263"/>
      <c r="AP84" s="1263"/>
      <c r="AQ84" s="1383">
        <f t="shared" si="16"/>
        <v>0</v>
      </c>
      <c r="AR84" s="1266"/>
    </row>
    <row r="85" spans="1:44">
      <c r="A85" s="1521">
        <v>83</v>
      </c>
      <c r="B85" s="1700" t="s">
        <v>2507</v>
      </c>
      <c r="C85" s="1347" t="s">
        <v>29</v>
      </c>
      <c r="D85" s="1490" t="s">
        <v>2513</v>
      </c>
      <c r="E85" s="1490" t="s">
        <v>2509</v>
      </c>
      <c r="F85" s="1491" t="s">
        <v>2511</v>
      </c>
      <c r="G85" s="1347" t="s">
        <v>2500</v>
      </c>
      <c r="H85" s="1711">
        <v>255852</v>
      </c>
      <c r="I85" s="1348" t="s">
        <v>35</v>
      </c>
      <c r="J85" s="1348" t="s">
        <v>2467</v>
      </c>
      <c r="K85" s="1493">
        <v>45527</v>
      </c>
      <c r="L85" s="1493">
        <v>45527</v>
      </c>
      <c r="M85" s="1493">
        <v>45535</v>
      </c>
      <c r="N85" s="1493"/>
      <c r="O85" s="1540"/>
      <c r="P85" s="1347" t="s">
        <v>2557</v>
      </c>
      <c r="Q85" s="1623">
        <v>4.3695815393999995</v>
      </c>
      <c r="R85" s="1623">
        <v>3.2618</v>
      </c>
      <c r="S85" s="1495">
        <f t="shared" si="12"/>
        <v>0.74647880365401942</v>
      </c>
      <c r="T85" s="1496">
        <v>441.061829014078</v>
      </c>
      <c r="U85" s="1496">
        <v>600.47624319645342</v>
      </c>
      <c r="V85" s="1496">
        <v>34.437925876052319</v>
      </c>
      <c r="W85" s="1496">
        <v>40.750006637151273</v>
      </c>
      <c r="X85" s="1496">
        <v>8.3697078448720941</v>
      </c>
      <c r="Y85" s="1694">
        <f t="shared" si="13"/>
        <v>6.2460357468423336E-2</v>
      </c>
      <c r="Z85" s="1496">
        <v>403.60502537470495</v>
      </c>
      <c r="AA85" s="1496">
        <v>104.75</v>
      </c>
      <c r="AB85" s="1496">
        <v>21.131231404999994</v>
      </c>
      <c r="AC85" s="1496">
        <f t="shared" si="14"/>
        <v>15.363304777429899</v>
      </c>
      <c r="AD85" s="1498">
        <f t="shared" si="15"/>
        <v>0.79995757018145663</v>
      </c>
      <c r="AE85" s="1496">
        <v>6.0047624319645356</v>
      </c>
      <c r="AF85" s="1496">
        <v>5.9447148076448899</v>
      </c>
      <c r="AG85" s="1496">
        <v>5.8852676595684406</v>
      </c>
      <c r="AH85" s="1641" t="s">
        <v>2775</v>
      </c>
      <c r="AI85" s="1641"/>
      <c r="AJ85" s="1641">
        <v>598.99</v>
      </c>
      <c r="AK85" s="1641">
        <v>503.36</v>
      </c>
      <c r="AL85" s="1347"/>
      <c r="AM85" s="1641">
        <v>18.63</v>
      </c>
      <c r="AN85" s="1641">
        <v>-5.99</v>
      </c>
      <c r="AO85" s="1641">
        <v>-5.93</v>
      </c>
      <c r="AP85" s="1641">
        <v>-5.87</v>
      </c>
      <c r="AQ85" s="1646">
        <f t="shared" si="16"/>
        <v>15.325278947999999</v>
      </c>
      <c r="AR85" s="1647"/>
    </row>
    <row r="86" spans="1:44" ht="21.75" thickBot="1">
      <c r="A86" s="1521">
        <v>84</v>
      </c>
      <c r="B86" s="1513" t="s">
        <v>2507</v>
      </c>
      <c r="C86" s="1263" t="s">
        <v>29</v>
      </c>
      <c r="D86" s="1458" t="s">
        <v>2513</v>
      </c>
      <c r="E86" s="1458" t="s">
        <v>2510</v>
      </c>
      <c r="F86" s="1316" t="s">
        <v>2512</v>
      </c>
      <c r="G86" s="1263" t="s">
        <v>2500</v>
      </c>
      <c r="H86" s="1291">
        <v>255852</v>
      </c>
      <c r="I86" s="1265" t="s">
        <v>35</v>
      </c>
      <c r="J86" s="1265" t="s">
        <v>2467</v>
      </c>
      <c r="K86" s="1283">
        <v>45527</v>
      </c>
      <c r="L86" s="1283">
        <v>45527</v>
      </c>
      <c r="M86" s="1283">
        <v>45535</v>
      </c>
      <c r="N86" s="1283"/>
      <c r="O86" s="1394"/>
      <c r="P86" s="1263" t="s">
        <v>2557</v>
      </c>
      <c r="Q86" s="1383">
        <v>4.3695815393999995</v>
      </c>
      <c r="R86" s="1383">
        <v>3.2270000000000003</v>
      </c>
      <c r="S86" s="1455">
        <f t="shared" si="12"/>
        <v>0.73851465429870644</v>
      </c>
      <c r="T86" s="1384">
        <v>439.61414901407795</v>
      </c>
      <c r="U86" s="1384">
        <v>598.92265426845347</v>
      </c>
      <c r="V86" s="1384">
        <v>34.40897227605231</v>
      </c>
      <c r="W86" s="1384">
        <v>40.750006637151273</v>
      </c>
      <c r="X86" s="1384">
        <v>8.3666677168720938</v>
      </c>
      <c r="Y86" s="1405">
        <f t="shared" si="13"/>
        <v>6.2583845089148729E-2</v>
      </c>
      <c r="Z86" s="1384">
        <v>388.53351667630506</v>
      </c>
      <c r="AA86" s="1384">
        <v>104</v>
      </c>
      <c r="AB86" s="1384">
        <v>21.131231404999994</v>
      </c>
      <c r="AC86" s="1384">
        <f t="shared" si="14"/>
        <v>15.323555893989235</v>
      </c>
      <c r="AD86" s="1284">
        <f t="shared" si="15"/>
        <v>0.79958051580759093</v>
      </c>
      <c r="AE86" s="1384">
        <v>5.989226542684535</v>
      </c>
      <c r="AF86" s="1384">
        <v>5.9293342772576896</v>
      </c>
      <c r="AG86" s="1384">
        <v>5.8700409344851128</v>
      </c>
      <c r="AH86" s="1561" t="s">
        <v>2775</v>
      </c>
      <c r="AI86" s="1561"/>
      <c r="AJ86" s="1561">
        <v>597.44000000000005</v>
      </c>
      <c r="AK86" s="1561">
        <v>488.03</v>
      </c>
      <c r="AL86" s="1263"/>
      <c r="AM86" s="1561">
        <v>18.63</v>
      </c>
      <c r="AN86" s="1561">
        <v>-5.97</v>
      </c>
      <c r="AO86" s="1561">
        <v>-5.91</v>
      </c>
      <c r="AP86" s="1561">
        <v>-5.86</v>
      </c>
      <c r="AQ86" s="1648">
        <f t="shared" si="16"/>
        <v>15.285621888000003</v>
      </c>
      <c r="AR86" s="1564"/>
    </row>
    <row r="87" spans="1:44">
      <c r="A87" s="1521">
        <v>85</v>
      </c>
      <c r="B87" s="1700" t="s">
        <v>2507</v>
      </c>
      <c r="C87" s="1347" t="s">
        <v>29</v>
      </c>
      <c r="D87" s="1490" t="s">
        <v>2514</v>
      </c>
      <c r="E87" s="1490" t="s">
        <v>2515</v>
      </c>
      <c r="F87" s="1491" t="s">
        <v>2320</v>
      </c>
      <c r="G87" s="1347" t="s">
        <v>2500</v>
      </c>
      <c r="H87" s="1711">
        <v>186441</v>
      </c>
      <c r="I87" s="1348" t="s">
        <v>35</v>
      </c>
      <c r="J87" s="1348" t="s">
        <v>2467</v>
      </c>
      <c r="K87" s="1493">
        <v>45527</v>
      </c>
      <c r="L87" s="1493">
        <v>45527</v>
      </c>
      <c r="M87" s="1493">
        <v>45535</v>
      </c>
      <c r="N87" s="1493"/>
      <c r="O87" s="1540"/>
      <c r="P87" s="1347" t="s">
        <v>2557</v>
      </c>
      <c r="Q87" s="1623">
        <v>2.9973913970000003</v>
      </c>
      <c r="R87" s="1623">
        <v>1.7127999999999999</v>
      </c>
      <c r="S87" s="1495">
        <f t="shared" si="12"/>
        <v>0.57143021152135498</v>
      </c>
      <c r="T87" s="1496">
        <v>165.69215899548411</v>
      </c>
      <c r="U87" s="1496">
        <v>278.16248217347902</v>
      </c>
      <c r="V87" s="1496">
        <v>22.584728778919789</v>
      </c>
      <c r="W87" s="1496">
        <v>12.85062449968256</v>
      </c>
      <c r="X87" s="1496">
        <v>5.9475222922314543</v>
      </c>
      <c r="Y87" s="1694">
        <f t="shared" si="13"/>
        <v>8.7077233443426841E-2</v>
      </c>
      <c r="Z87" s="1496">
        <v>236.66194496059501</v>
      </c>
      <c r="AA87" s="1496">
        <v>49.25</v>
      </c>
      <c r="AB87" s="1496">
        <v>15.4114581075</v>
      </c>
      <c r="AC87" s="1496">
        <f t="shared" si="14"/>
        <v>5.1860891338905599</v>
      </c>
      <c r="AD87" s="1498">
        <f t="shared" si="15"/>
        <v>0.63883941002036904</v>
      </c>
      <c r="AE87" s="1496">
        <v>4.1724372326021859</v>
      </c>
      <c r="AF87" s="1496">
        <v>4.1098506741131535</v>
      </c>
      <c r="AG87" s="1496">
        <v>4.0482029140014557</v>
      </c>
      <c r="AH87" s="1641" t="s">
        <v>2775</v>
      </c>
      <c r="AI87" s="1641"/>
      <c r="AJ87" s="1641">
        <v>277</v>
      </c>
      <c r="AK87" s="1641">
        <v>284.91000000000003</v>
      </c>
      <c r="AL87" s="1347"/>
      <c r="AM87" s="1641">
        <v>14.41</v>
      </c>
      <c r="AN87" s="1641">
        <v>-4.16</v>
      </c>
      <c r="AO87" s="1641">
        <v>-4.09</v>
      </c>
      <c r="AP87" s="1641">
        <v>-4.03</v>
      </c>
      <c r="AQ87" s="1646">
        <f t="shared" si="16"/>
        <v>5.1644157000000002</v>
      </c>
      <c r="AR87" s="1647"/>
    </row>
    <row r="88" spans="1:44">
      <c r="A88" s="1521">
        <v>86</v>
      </c>
      <c r="B88" s="1515" t="s">
        <v>2507</v>
      </c>
      <c r="C88" s="1270" t="s">
        <v>29</v>
      </c>
      <c r="D88" s="1448" t="s">
        <v>2514</v>
      </c>
      <c r="E88" s="1448" t="s">
        <v>2516</v>
      </c>
      <c r="F88" s="1315" t="s">
        <v>2317</v>
      </c>
      <c r="G88" s="1270" t="s">
        <v>2500</v>
      </c>
      <c r="H88" s="1288">
        <v>186441</v>
      </c>
      <c r="I88" s="1272" t="s">
        <v>35</v>
      </c>
      <c r="J88" s="1272" t="s">
        <v>2467</v>
      </c>
      <c r="K88" s="1280">
        <v>45527</v>
      </c>
      <c r="L88" s="1280">
        <v>45527</v>
      </c>
      <c r="M88" s="1280">
        <v>45535</v>
      </c>
      <c r="N88" s="1280"/>
      <c r="O88" s="1533"/>
      <c r="P88" s="1270" t="s">
        <v>2557</v>
      </c>
      <c r="Q88" s="1390">
        <v>2.9973913970000003</v>
      </c>
      <c r="R88" s="1390">
        <v>1.7109999999999999</v>
      </c>
      <c r="S88" s="1286">
        <f t="shared" si="12"/>
        <v>0.57082968934670619</v>
      </c>
      <c r="T88" s="1391">
        <v>166.17476840724879</v>
      </c>
      <c r="U88" s="1391">
        <v>279.10947139442015</v>
      </c>
      <c r="V88" s="1391">
        <v>22.681880967155081</v>
      </c>
      <c r="W88" s="1391">
        <v>12.85062449968256</v>
      </c>
      <c r="X88" s="1391">
        <v>5.9739607719961594</v>
      </c>
      <c r="Y88" s="1409">
        <f t="shared" si="13"/>
        <v>8.7142520278565394E-2</v>
      </c>
      <c r="Z88" s="1391">
        <v>236.66194496059501</v>
      </c>
      <c r="AA88" s="1391">
        <v>49.25</v>
      </c>
      <c r="AB88" s="1391">
        <v>15.4114581075</v>
      </c>
      <c r="AC88" s="1391">
        <f t="shared" si="14"/>
        <v>5.203744895624709</v>
      </c>
      <c r="AD88" s="1281">
        <f t="shared" si="15"/>
        <v>0.63843418218638504</v>
      </c>
      <c r="AE88" s="1391">
        <v>4.186642070916303</v>
      </c>
      <c r="AF88" s="1391">
        <v>4.1238424398525586</v>
      </c>
      <c r="AG88" s="1391">
        <v>4.0619848032547692</v>
      </c>
      <c r="AH88" s="1560" t="s">
        <v>2775</v>
      </c>
      <c r="AI88" s="1560"/>
      <c r="AJ88" s="1560">
        <v>278</v>
      </c>
      <c r="AK88" s="1560">
        <v>284.91000000000003</v>
      </c>
      <c r="AL88" s="1270"/>
      <c r="AM88" s="1560">
        <v>14.41</v>
      </c>
      <c r="AN88" s="1560">
        <v>-4.17</v>
      </c>
      <c r="AO88" s="1560">
        <v>-4.1100000000000003</v>
      </c>
      <c r="AP88" s="1560">
        <v>-4.05</v>
      </c>
      <c r="AQ88" s="1642">
        <f t="shared" si="16"/>
        <v>5.1830597999999997</v>
      </c>
      <c r="AR88" s="1563"/>
    </row>
    <row r="89" spans="1:44">
      <c r="A89" s="1521">
        <v>87</v>
      </c>
      <c r="B89" s="1515" t="s">
        <v>2507</v>
      </c>
      <c r="C89" s="1270" t="s">
        <v>29</v>
      </c>
      <c r="D89" s="1448" t="s">
        <v>2514</v>
      </c>
      <c r="E89" s="1448" t="s">
        <v>2517</v>
      </c>
      <c r="F89" s="1315" t="s">
        <v>2317</v>
      </c>
      <c r="G89" s="1270" t="s">
        <v>2500</v>
      </c>
      <c r="H89" s="1287">
        <v>69411</v>
      </c>
      <c r="I89" s="1272" t="s">
        <v>35</v>
      </c>
      <c r="J89" s="1272" t="s">
        <v>2467</v>
      </c>
      <c r="K89" s="1280">
        <v>45527</v>
      </c>
      <c r="L89" s="1280">
        <v>45527</v>
      </c>
      <c r="M89" s="1280">
        <v>45535</v>
      </c>
      <c r="N89" s="1280"/>
      <c r="O89" s="1533"/>
      <c r="P89" s="1270" t="s">
        <v>2557</v>
      </c>
      <c r="Q89" s="1390">
        <v>2.9973913970000003</v>
      </c>
      <c r="R89" s="1390">
        <v>1.7135</v>
      </c>
      <c r="S89" s="1286">
        <f t="shared" si="12"/>
        <v>0.57166374792260732</v>
      </c>
      <c r="T89" s="1391">
        <v>257.67274151378416</v>
      </c>
      <c r="U89" s="1391">
        <v>373.5565943032081</v>
      </c>
      <c r="V89" s="1391">
        <v>24.424340429285792</v>
      </c>
      <c r="W89" s="1391">
        <v>12.85062449968256</v>
      </c>
      <c r="X89" s="1391">
        <v>6.1406815155198844</v>
      </c>
      <c r="Y89" s="1409">
        <f t="shared" si="13"/>
        <v>6.8885311777746372E-2</v>
      </c>
      <c r="Z89" s="1391"/>
      <c r="AA89" s="1391">
        <v>0</v>
      </c>
      <c r="AB89" s="1391"/>
      <c r="AC89" s="1391">
        <f t="shared" si="14"/>
        <v>2.5928936767179978</v>
      </c>
      <c r="AD89" s="1281">
        <f t="shared" si="15"/>
        <v>0.72672861677447176</v>
      </c>
      <c r="AE89" s="1391">
        <v>5.6033489145481195</v>
      </c>
      <c r="AF89" s="1391">
        <v>5.5192986808298974</v>
      </c>
      <c r="AG89" s="1391">
        <v>5.4365092006174498</v>
      </c>
      <c r="AH89" s="1560" t="s">
        <v>2775</v>
      </c>
      <c r="AI89" s="1560"/>
      <c r="AJ89" s="1560">
        <v>372</v>
      </c>
      <c r="AK89" s="1560">
        <v>0</v>
      </c>
      <c r="AL89" s="1270"/>
      <c r="AM89" s="1560">
        <v>0</v>
      </c>
      <c r="AN89" s="1560">
        <v>-5.58</v>
      </c>
      <c r="AO89" s="1560">
        <v>-5.5</v>
      </c>
      <c r="AP89" s="1560">
        <v>-5.41</v>
      </c>
      <c r="AQ89" s="1642">
        <f t="shared" si="16"/>
        <v>2.5820892</v>
      </c>
      <c r="AR89" s="1563"/>
    </row>
    <row r="90" spans="1:44" ht="21.75" thickBot="1">
      <c r="A90" s="1521">
        <v>88</v>
      </c>
      <c r="B90" s="1513" t="s">
        <v>2507</v>
      </c>
      <c r="C90" s="1263" t="s">
        <v>29</v>
      </c>
      <c r="D90" s="1458" t="s">
        <v>2514</v>
      </c>
      <c r="E90" s="1458" t="s">
        <v>2518</v>
      </c>
      <c r="F90" s="1316" t="s">
        <v>2320</v>
      </c>
      <c r="G90" s="1263" t="s">
        <v>2500</v>
      </c>
      <c r="H90" s="1289">
        <v>69411</v>
      </c>
      <c r="I90" s="1265" t="s">
        <v>35</v>
      </c>
      <c r="J90" s="1265" t="s">
        <v>2467</v>
      </c>
      <c r="K90" s="1283">
        <v>45527</v>
      </c>
      <c r="L90" s="1283">
        <v>45527</v>
      </c>
      <c r="M90" s="1283">
        <v>45535</v>
      </c>
      <c r="N90" s="1283"/>
      <c r="O90" s="1394"/>
      <c r="P90" s="1263" t="s">
        <v>2557</v>
      </c>
      <c r="Q90" s="1383">
        <v>2.9973913970000003</v>
      </c>
      <c r="R90" s="1383">
        <v>1.7109999999999999</v>
      </c>
      <c r="S90" s="1455">
        <f t="shared" si="12"/>
        <v>0.57082968934670619</v>
      </c>
      <c r="T90" s="1384">
        <v>258.12623092554884</v>
      </c>
      <c r="U90" s="1384">
        <v>374.47233317214909</v>
      </c>
      <c r="V90" s="1384">
        <v>24.520910217521084</v>
      </c>
      <c r="W90" s="1384">
        <v>12.85062449968256</v>
      </c>
      <c r="X90" s="1384">
        <v>6.1670588432845896</v>
      </c>
      <c r="Y90" s="1405">
        <f t="shared" si="13"/>
        <v>6.8984637644506561E-2</v>
      </c>
      <c r="Z90" s="1384"/>
      <c r="AA90" s="1384">
        <v>0</v>
      </c>
      <c r="AB90" s="1384"/>
      <c r="AC90" s="1384">
        <f t="shared" si="14"/>
        <v>2.5992499117812042</v>
      </c>
      <c r="AD90" s="1284">
        <f t="shared" si="15"/>
        <v>0.72618611417685641</v>
      </c>
      <c r="AE90" s="1384">
        <v>5.6170849975822374</v>
      </c>
      <c r="AF90" s="1384">
        <v>5.5328287226185031</v>
      </c>
      <c r="AG90" s="1384">
        <v>5.449836291779226</v>
      </c>
      <c r="AH90" s="1561" t="s">
        <v>2775</v>
      </c>
      <c r="AI90" s="1561"/>
      <c r="AJ90" s="1561">
        <v>373</v>
      </c>
      <c r="AK90" s="1561">
        <v>0</v>
      </c>
      <c r="AL90" s="1263"/>
      <c r="AM90" s="1561">
        <v>0</v>
      </c>
      <c r="AN90" s="1561">
        <v>-5.6</v>
      </c>
      <c r="AO90" s="1561">
        <v>-5.51</v>
      </c>
      <c r="AP90" s="1561">
        <v>-5.43</v>
      </c>
      <c r="AQ90" s="1648">
        <f t="shared" si="16"/>
        <v>2.5890303000000001</v>
      </c>
      <c r="AR90" s="1564"/>
    </row>
    <row r="91" spans="1:44" ht="21.75" thickBot="1">
      <c r="A91" s="1521">
        <v>89</v>
      </c>
      <c r="B91" s="1514" t="s">
        <v>2507</v>
      </c>
      <c r="C91" s="1267" t="s">
        <v>29</v>
      </c>
      <c r="D91" s="1459" t="s">
        <v>2519</v>
      </c>
      <c r="E91" s="1468" t="s">
        <v>2520</v>
      </c>
      <c r="F91" s="1654" t="s">
        <v>2521</v>
      </c>
      <c r="G91" s="1267" t="s">
        <v>2500</v>
      </c>
      <c r="H91" s="1294">
        <v>143500</v>
      </c>
      <c r="I91" s="1269" t="s">
        <v>35</v>
      </c>
      <c r="J91" s="1269" t="s">
        <v>2467</v>
      </c>
      <c r="K91" s="1386">
        <v>45527</v>
      </c>
      <c r="L91" s="1386">
        <v>45527</v>
      </c>
      <c r="M91" s="1386">
        <v>45535</v>
      </c>
      <c r="N91" s="1386"/>
      <c r="O91" s="1408"/>
      <c r="P91" s="1267" t="s">
        <v>2557</v>
      </c>
      <c r="Q91" s="1387">
        <v>1.242377136</v>
      </c>
      <c r="R91" s="1387">
        <v>0.876</v>
      </c>
      <c r="S91" s="1502">
        <f t="shared" si="12"/>
        <v>0.70509990454299543</v>
      </c>
      <c r="T91" s="1388">
        <v>118.08848498816</v>
      </c>
      <c r="U91" s="1388">
        <v>165.51046798576331</v>
      </c>
      <c r="V91" s="1388">
        <v>10.380783748636425</v>
      </c>
      <c r="W91" s="1388"/>
      <c r="X91" s="1388">
        <v>2.578082186390585</v>
      </c>
      <c r="Y91" s="1402">
        <f t="shared" si="13"/>
        <v>6.3712218400943529E-2</v>
      </c>
      <c r="Z91" s="1388">
        <v>304.83769803795002</v>
      </c>
      <c r="AA91" s="1388">
        <v>9.98</v>
      </c>
      <c r="AB91" s="1388">
        <v>17.82525</v>
      </c>
      <c r="AC91" s="1388">
        <f t="shared" si="14"/>
        <v>2.3750752155957038</v>
      </c>
      <c r="AD91" s="1275">
        <f t="shared" si="15"/>
        <v>0.72476987560698103</v>
      </c>
      <c r="AE91" s="1388">
        <v>2.4826570197864499</v>
      </c>
      <c r="AF91" s="1388">
        <v>2.4454171644896534</v>
      </c>
      <c r="AG91" s="1388">
        <v>2.4087359070223089</v>
      </c>
      <c r="AH91" s="1568" t="s">
        <v>2775</v>
      </c>
      <c r="AI91" s="1568"/>
      <c r="AJ91" s="1568">
        <v>163.41</v>
      </c>
      <c r="AK91" s="1568">
        <v>287.29000000000002</v>
      </c>
      <c r="AL91" s="1267"/>
      <c r="AM91" s="1568">
        <v>17.829999999999998</v>
      </c>
      <c r="AN91" s="1568">
        <v>-2.4500000000000002</v>
      </c>
      <c r="AO91" s="1568">
        <v>-2.41</v>
      </c>
      <c r="AP91" s="1568">
        <v>-2.38</v>
      </c>
      <c r="AQ91" s="1717">
        <f t="shared" si="16"/>
        <v>2.3449334999999998</v>
      </c>
      <c r="AR91" s="1718"/>
    </row>
    <row r="92" spans="1:44">
      <c r="A92" s="1521">
        <v>90</v>
      </c>
      <c r="B92" s="1700" t="s">
        <v>2507</v>
      </c>
      <c r="C92" s="1347" t="s">
        <v>29</v>
      </c>
      <c r="D92" s="1490">
        <v>53121</v>
      </c>
      <c r="E92" s="1490" t="s">
        <v>2522</v>
      </c>
      <c r="F92" s="1491" t="s">
        <v>1423</v>
      </c>
      <c r="G92" s="1347" t="s">
        <v>2500</v>
      </c>
      <c r="H92" s="1711">
        <v>194236</v>
      </c>
      <c r="I92" s="1348" t="s">
        <v>35</v>
      </c>
      <c r="J92" s="1348" t="s">
        <v>2467</v>
      </c>
      <c r="K92" s="1493">
        <v>45527</v>
      </c>
      <c r="L92" s="1493">
        <v>45527</v>
      </c>
      <c r="M92" s="1493">
        <v>45535</v>
      </c>
      <c r="N92" s="1493"/>
      <c r="O92" s="1540"/>
      <c r="P92" s="1347" t="s">
        <v>2557</v>
      </c>
      <c r="Q92" s="1623">
        <v>7.9872996246521737</v>
      </c>
      <c r="R92" s="1623">
        <v>4.3980999999999995</v>
      </c>
      <c r="S92" s="1495">
        <f t="shared" si="12"/>
        <v>0.55063666153522139</v>
      </c>
      <c r="T92" s="1496">
        <v>607.71886002542465</v>
      </c>
      <c r="U92" s="1496">
        <v>941.56034656498889</v>
      </c>
      <c r="V92" s="1496">
        <v>70.063436392235445</v>
      </c>
      <c r="W92" s="1496">
        <v>19.698654660697606</v>
      </c>
      <c r="X92" s="1496">
        <v>18.10292766262091</v>
      </c>
      <c r="Y92" s="1694">
        <f t="shared" si="13"/>
        <v>7.7524489016739501E-2</v>
      </c>
      <c r="Z92" s="1496">
        <v>1246.64478129807</v>
      </c>
      <c r="AA92" s="1496">
        <v>62.5</v>
      </c>
      <c r="AB92" s="1496">
        <v>69.191238424999995</v>
      </c>
      <c r="AC92" s="1496">
        <f t="shared" si="14"/>
        <v>18.288491547539717</v>
      </c>
      <c r="AD92" s="1498">
        <f t="shared" si="15"/>
        <v>0.67243481786353887</v>
      </c>
      <c r="AE92" s="1496">
        <v>18.831206931299782</v>
      </c>
      <c r="AF92" s="1496">
        <v>18.454582792673786</v>
      </c>
      <c r="AG92" s="1496">
        <v>18.085491136820309</v>
      </c>
      <c r="AH92" s="1641" t="s">
        <v>2775</v>
      </c>
      <c r="AI92" s="1641"/>
      <c r="AJ92" s="1641">
        <v>940</v>
      </c>
      <c r="AK92" s="1641">
        <v>1245.31</v>
      </c>
      <c r="AL92" s="1347"/>
      <c r="AM92" s="1641">
        <v>59.19</v>
      </c>
      <c r="AN92" s="1641">
        <v>-18.8</v>
      </c>
      <c r="AO92" s="1641">
        <v>-18.420000000000002</v>
      </c>
      <c r="AP92" s="1641">
        <v>-18.059999999999999</v>
      </c>
      <c r="AQ92" s="1646">
        <f t="shared" si="16"/>
        <v>18.258184</v>
      </c>
      <c r="AR92" s="1647"/>
    </row>
    <row r="93" spans="1:44">
      <c r="A93" s="1521">
        <v>91</v>
      </c>
      <c r="B93" s="1515" t="s">
        <v>2507</v>
      </c>
      <c r="C93" s="1270" t="s">
        <v>29</v>
      </c>
      <c r="D93" s="1448">
        <v>53121</v>
      </c>
      <c r="E93" s="1448" t="s">
        <v>2524</v>
      </c>
      <c r="F93" s="1315" t="s">
        <v>1424</v>
      </c>
      <c r="G93" s="1270" t="s">
        <v>2500</v>
      </c>
      <c r="H93" s="1288">
        <v>194236</v>
      </c>
      <c r="I93" s="1272" t="s">
        <v>35</v>
      </c>
      <c r="J93" s="1272" t="s">
        <v>2467</v>
      </c>
      <c r="K93" s="1280">
        <v>45527</v>
      </c>
      <c r="L93" s="1280">
        <v>45527</v>
      </c>
      <c r="M93" s="1280">
        <v>45535</v>
      </c>
      <c r="N93" s="1280"/>
      <c r="O93" s="1533"/>
      <c r="P93" s="1270" t="s">
        <v>2557</v>
      </c>
      <c r="Q93" s="1390">
        <v>7.9872996246521737</v>
      </c>
      <c r="R93" s="1390">
        <v>4.4015000000000004</v>
      </c>
      <c r="S93" s="1286">
        <f t="shared" si="12"/>
        <v>0.5510623373154947</v>
      </c>
      <c r="T93" s="1391">
        <v>607.86030002542475</v>
      </c>
      <c r="U93" s="1391">
        <v>934.52533398898925</v>
      </c>
      <c r="V93" s="1391">
        <v>68.666265192235457</v>
      </c>
      <c r="W93" s="1391">
        <v>19.698654660697606</v>
      </c>
      <c r="X93" s="1391">
        <v>17.696424686620915</v>
      </c>
      <c r="Y93" s="1409">
        <f t="shared" si="13"/>
        <v>7.6539905812965756E-2</v>
      </c>
      <c r="Z93" s="1391">
        <v>1127.0816940421498</v>
      </c>
      <c r="AA93" s="1391">
        <v>62.5</v>
      </c>
      <c r="AB93" s="1391">
        <v>69.191238424999995</v>
      </c>
      <c r="AC93" s="1391">
        <f t="shared" si="14"/>
        <v>18.151846277268533</v>
      </c>
      <c r="AD93" s="1281">
        <f t="shared" si="15"/>
        <v>0.67756080778728689</v>
      </c>
      <c r="AE93" s="1391">
        <v>18.690506679779784</v>
      </c>
      <c r="AF93" s="1391">
        <v>18.316696546184186</v>
      </c>
      <c r="AG93" s="1391">
        <v>17.950362615260502</v>
      </c>
      <c r="AH93" s="1560" t="s">
        <v>2775</v>
      </c>
      <c r="AI93" s="1560"/>
      <c r="AJ93" s="1560">
        <v>933</v>
      </c>
      <c r="AK93" s="1560">
        <v>1125.75</v>
      </c>
      <c r="AL93" s="1270"/>
      <c r="AM93" s="1560">
        <v>59.19</v>
      </c>
      <c r="AN93" s="1560">
        <v>-18.66</v>
      </c>
      <c r="AO93" s="1560">
        <v>-18.29</v>
      </c>
      <c r="AP93" s="1560">
        <v>-17.920000000000002</v>
      </c>
      <c r="AQ93" s="1642">
        <f t="shared" si="16"/>
        <v>18.122218799999999</v>
      </c>
      <c r="AR93" s="1563"/>
    </row>
    <row r="94" spans="1:44">
      <c r="A94" s="1521">
        <v>92</v>
      </c>
      <c r="B94" s="1515" t="s">
        <v>2507</v>
      </c>
      <c r="C94" s="1270" t="s">
        <v>29</v>
      </c>
      <c r="D94" s="1448">
        <v>53121</v>
      </c>
      <c r="E94" s="1448" t="s">
        <v>2523</v>
      </c>
      <c r="F94" s="1315" t="s">
        <v>1423</v>
      </c>
      <c r="G94" s="1270" t="s">
        <v>2500</v>
      </c>
      <c r="H94" s="1287">
        <v>61616</v>
      </c>
      <c r="I94" s="1272" t="s">
        <v>35</v>
      </c>
      <c r="J94" s="1272" t="s">
        <v>2467</v>
      </c>
      <c r="K94" s="1280">
        <v>45527</v>
      </c>
      <c r="L94" s="1280">
        <v>45527</v>
      </c>
      <c r="M94" s="1280">
        <v>45535</v>
      </c>
      <c r="N94" s="1280"/>
      <c r="O94" s="1533"/>
      <c r="P94" s="1270" t="s">
        <v>2557</v>
      </c>
      <c r="Q94" s="1390">
        <v>7.9700834289999998</v>
      </c>
      <c r="R94" s="1390">
        <v>4.3811</v>
      </c>
      <c r="S94" s="1286">
        <f t="shared" si="12"/>
        <v>0.54969311664403664</v>
      </c>
      <c r="T94" s="1391">
        <v>607.89761051998994</v>
      </c>
      <c r="U94" s="1391">
        <v>943.42709370290288</v>
      </c>
      <c r="V94" s="1391">
        <v>70.399511402126763</v>
      </c>
      <c r="W94" s="1391">
        <v>19.698654660697606</v>
      </c>
      <c r="X94" s="1391">
        <v>18.199918038659501</v>
      </c>
      <c r="Y94" s="1409">
        <f t="shared" si="13"/>
        <v>7.7744112713431693E-2</v>
      </c>
      <c r="Z94" s="1391">
        <v>2.8289314745999996</v>
      </c>
      <c r="AA94" s="1391">
        <v>0.5</v>
      </c>
      <c r="AB94" s="1391">
        <v>0</v>
      </c>
      <c r="AC94" s="1391">
        <f t="shared" si="14"/>
        <v>5.8130203805598066</v>
      </c>
      <c r="AD94" s="1281">
        <f t="shared" si="15"/>
        <v>0.67131801640691724</v>
      </c>
      <c r="AE94" s="1391">
        <v>18.868541874058053</v>
      </c>
      <c r="AF94" s="1391">
        <v>18.491171036576894</v>
      </c>
      <c r="AG94" s="1391">
        <v>18.121347615845355</v>
      </c>
      <c r="AH94" s="1560" t="s">
        <v>2775</v>
      </c>
      <c r="AI94" s="1560"/>
      <c r="AJ94" s="1560">
        <v>942</v>
      </c>
      <c r="AK94" s="1560">
        <v>3.33</v>
      </c>
      <c r="AL94" s="1270"/>
      <c r="AM94" s="1560">
        <v>0</v>
      </c>
      <c r="AN94" s="1560">
        <v>-18.84</v>
      </c>
      <c r="AO94" s="1560">
        <v>-18.46</v>
      </c>
      <c r="AP94" s="1560">
        <v>-18.09</v>
      </c>
      <c r="AQ94" s="1642">
        <f t="shared" si="16"/>
        <v>5.8042271999999997</v>
      </c>
      <c r="AR94" s="1563"/>
    </row>
    <row r="95" spans="1:44" ht="21.75" thickBot="1">
      <c r="A95" s="1521">
        <v>93</v>
      </c>
      <c r="B95" s="1513" t="s">
        <v>2507</v>
      </c>
      <c r="C95" s="1263" t="s">
        <v>29</v>
      </c>
      <c r="D95" s="1458">
        <v>53121</v>
      </c>
      <c r="E95" s="1458" t="s">
        <v>2525</v>
      </c>
      <c r="F95" s="1316" t="s">
        <v>1424</v>
      </c>
      <c r="G95" s="1263" t="s">
        <v>2500</v>
      </c>
      <c r="H95" s="1289">
        <v>61616</v>
      </c>
      <c r="I95" s="1265" t="s">
        <v>35</v>
      </c>
      <c r="J95" s="1265" t="s">
        <v>2467</v>
      </c>
      <c r="K95" s="1283">
        <v>45527</v>
      </c>
      <c r="L95" s="1283">
        <v>45527</v>
      </c>
      <c r="M95" s="1283">
        <v>45535</v>
      </c>
      <c r="N95" s="1283"/>
      <c r="O95" s="1394"/>
      <c r="P95" s="1263" t="s">
        <v>2557</v>
      </c>
      <c r="Q95" s="1383">
        <v>7.9700834289999998</v>
      </c>
      <c r="R95" s="1383">
        <v>4.3809999999999985</v>
      </c>
      <c r="S95" s="1455">
        <f t="shared" si="12"/>
        <v>0.54968056972393309</v>
      </c>
      <c r="T95" s="1384">
        <v>607.89345051998998</v>
      </c>
      <c r="U95" s="1384">
        <v>936.23582936690275</v>
      </c>
      <c r="V95" s="1384">
        <v>68.999428202126751</v>
      </c>
      <c r="W95" s="1384">
        <v>19.698654660697606</v>
      </c>
      <c r="X95" s="1384">
        <v>17.793109302659499</v>
      </c>
      <c r="Y95" s="1405">
        <f t="shared" si="13"/>
        <v>7.6773166976235069E-2</v>
      </c>
      <c r="Z95" s="1384">
        <v>2.8289314745999996</v>
      </c>
      <c r="AA95" s="1384">
        <v>0.5</v>
      </c>
      <c r="AB95" s="1384">
        <v>0</v>
      </c>
      <c r="AC95" s="1384">
        <f t="shared" si="14"/>
        <v>5.7687106862271076</v>
      </c>
      <c r="AD95" s="1284">
        <f t="shared" si="15"/>
        <v>0.67638104541701682</v>
      </c>
      <c r="AE95" s="1384">
        <v>18.724716587338055</v>
      </c>
      <c r="AF95" s="1384">
        <v>18.350222255591294</v>
      </c>
      <c r="AG95" s="1384">
        <v>17.983217810479466</v>
      </c>
      <c r="AH95" s="1561" t="s">
        <v>2775</v>
      </c>
      <c r="AI95" s="1561"/>
      <c r="AJ95" s="1561">
        <v>935</v>
      </c>
      <c r="AK95" s="1561">
        <v>3.33</v>
      </c>
      <c r="AL95" s="1263"/>
      <c r="AM95" s="1561">
        <v>0</v>
      </c>
      <c r="AN95" s="1561">
        <v>-18.7</v>
      </c>
      <c r="AO95" s="1561">
        <v>-18.329999999999998</v>
      </c>
      <c r="AP95" s="1561">
        <v>17.96</v>
      </c>
      <c r="AQ95" s="1648">
        <f t="shared" si="16"/>
        <v>5.7610960000000002</v>
      </c>
      <c r="AR95" s="1564"/>
    </row>
    <row r="96" spans="1:44" ht="21.75" thickBot="1">
      <c r="A96" s="1521">
        <v>94</v>
      </c>
      <c r="B96" s="1700" t="s">
        <v>2507</v>
      </c>
      <c r="C96" s="1347" t="s">
        <v>29</v>
      </c>
      <c r="D96" s="1490" t="s">
        <v>2533</v>
      </c>
      <c r="E96" s="1490" t="s">
        <v>2526</v>
      </c>
      <c r="F96" s="1491" t="s">
        <v>2527</v>
      </c>
      <c r="G96" s="1347" t="s">
        <v>2500</v>
      </c>
      <c r="H96" s="1492">
        <v>186441</v>
      </c>
      <c r="I96" s="1348" t="s">
        <v>35</v>
      </c>
      <c r="J96" s="1348" t="s">
        <v>2467</v>
      </c>
      <c r="K96" s="1493">
        <v>45538</v>
      </c>
      <c r="L96" s="1493">
        <v>45538</v>
      </c>
      <c r="M96" s="1493">
        <v>45535</v>
      </c>
      <c r="N96" s="1493"/>
      <c r="O96" s="1540"/>
      <c r="P96" s="1347" t="s">
        <v>2557</v>
      </c>
      <c r="Q96" s="1623">
        <v>5.009266096153846</v>
      </c>
      <c r="R96" s="1623">
        <v>3.008</v>
      </c>
      <c r="S96" s="1495">
        <f t="shared" si="12"/>
        <v>0.60048716563681181</v>
      </c>
      <c r="T96" s="1496">
        <v>470.83208450307694</v>
      </c>
      <c r="U96" s="1496">
        <v>615.04919423871024</v>
      </c>
      <c r="V96" s="1496">
        <v>32.697173186387133</v>
      </c>
      <c r="W96" s="1496">
        <v>13.104255246386822</v>
      </c>
      <c r="X96" s="1496">
        <v>7.7534046722459271</v>
      </c>
      <c r="Y96" s="1694">
        <f t="shared" si="13"/>
        <v>5.5028002416429425E-2</v>
      </c>
      <c r="Z96" s="1496">
        <v>643.51969909457989</v>
      </c>
      <c r="AA96" s="1496">
        <v>85</v>
      </c>
      <c r="AB96" s="1496">
        <v>58.807145159999997</v>
      </c>
      <c r="AC96" s="1496">
        <f t="shared" si="14"/>
        <v>11.467038682305938</v>
      </c>
      <c r="AD96" s="1498">
        <f t="shared" si="15"/>
        <v>0.79239110170400107</v>
      </c>
      <c r="AE96" s="1496">
        <v>9.2257379135806534</v>
      </c>
      <c r="AF96" s="1496">
        <v>9.0873518448769435</v>
      </c>
      <c r="AG96" s="1496">
        <v>8.951041567203788</v>
      </c>
      <c r="AH96" s="1641" t="s">
        <v>2775</v>
      </c>
      <c r="AI96" s="1641"/>
      <c r="AJ96" s="1641">
        <v>614</v>
      </c>
      <c r="AK96" s="1641">
        <v>728.52</v>
      </c>
      <c r="AL96" s="1347"/>
      <c r="AM96" s="1641">
        <v>51.35</v>
      </c>
      <c r="AN96" s="1641">
        <v>-9.2100000000000009</v>
      </c>
      <c r="AO96" s="1641">
        <v>-9.07</v>
      </c>
      <c r="AP96" s="1641">
        <v>-8.94</v>
      </c>
      <c r="AQ96" s="1646">
        <f t="shared" si="16"/>
        <v>11.4474774</v>
      </c>
      <c r="AR96" s="1647"/>
    </row>
    <row r="97" spans="1:44" ht="21.75" thickBot="1">
      <c r="A97" s="1521">
        <v>95</v>
      </c>
      <c r="B97" s="1513" t="s">
        <v>2507</v>
      </c>
      <c r="C97" s="1263" t="s">
        <v>29</v>
      </c>
      <c r="D97" s="1490" t="s">
        <v>2533</v>
      </c>
      <c r="E97" s="1458" t="s">
        <v>2528</v>
      </c>
      <c r="F97" s="1316" t="s">
        <v>2527</v>
      </c>
      <c r="G97" s="1263" t="s">
        <v>2500</v>
      </c>
      <c r="H97" s="1274">
        <v>69411</v>
      </c>
      <c r="I97" s="1265" t="s">
        <v>35</v>
      </c>
      <c r="J97" s="1265" t="s">
        <v>2467</v>
      </c>
      <c r="K97" s="1283">
        <v>45538</v>
      </c>
      <c r="L97" s="1283">
        <v>45538</v>
      </c>
      <c r="M97" s="1283">
        <v>45548</v>
      </c>
      <c r="N97" s="1283"/>
      <c r="O97" s="1394"/>
      <c r="P97" s="1263" t="s">
        <v>2557</v>
      </c>
      <c r="Q97" s="1383">
        <v>5.9599927961538466</v>
      </c>
      <c r="R97" s="1383">
        <v>3.5792999999999999</v>
      </c>
      <c r="S97" s="1455">
        <f t="shared" si="12"/>
        <v>0.6005544171647027</v>
      </c>
      <c r="T97" s="1384">
        <v>639.89229440657687</v>
      </c>
      <c r="U97" s="1384">
        <v>791.23848792962997</v>
      </c>
      <c r="V97" s="1384">
        <v>36.078377384457127</v>
      </c>
      <c r="W97" s="1384">
        <v>13.104255246386822</v>
      </c>
      <c r="X97" s="1384">
        <v>8.1084311130432773</v>
      </c>
      <c r="Y97" s="1405">
        <f t="shared" si="13"/>
        <v>4.6853465573345493E-2</v>
      </c>
      <c r="Z97" s="1384">
        <v>342.62570411915999</v>
      </c>
      <c r="AA97" s="1384">
        <v>7</v>
      </c>
      <c r="AB97" s="1384">
        <v>0</v>
      </c>
      <c r="AC97" s="1384">
        <f t="shared" si="14"/>
        <v>5.492065468568355</v>
      </c>
      <c r="AD97" s="1284">
        <f t="shared" si="15"/>
        <v>0.83100110814694661</v>
      </c>
      <c r="AE97" s="1384">
        <v>11.868577318944451</v>
      </c>
      <c r="AF97" s="1384">
        <v>11.690548659160285</v>
      </c>
      <c r="AG97" s="1384">
        <v>11.515190429272881</v>
      </c>
      <c r="AH97" s="1561" t="s">
        <v>2775</v>
      </c>
      <c r="AI97" s="1561"/>
      <c r="AJ97" s="1561">
        <v>790.24</v>
      </c>
      <c r="AK97" s="1561">
        <v>349.63</v>
      </c>
      <c r="AL97" s="1263"/>
      <c r="AM97" s="1561">
        <v>0</v>
      </c>
      <c r="AN97" s="1561">
        <v>-11.85</v>
      </c>
      <c r="AO97" s="1561">
        <v>-11.68</v>
      </c>
      <c r="AP97" s="1561">
        <v>-11.5</v>
      </c>
      <c r="AQ97" s="1648">
        <f t="shared" si="16"/>
        <v>5.4851348639999999</v>
      </c>
      <c r="AR97" s="1564"/>
    </row>
    <row r="98" spans="1:44">
      <c r="A98" s="1521">
        <v>96</v>
      </c>
      <c r="B98" s="1700" t="s">
        <v>2507</v>
      </c>
      <c r="C98" s="1347" t="s">
        <v>29</v>
      </c>
      <c r="D98" s="1490">
        <v>53081</v>
      </c>
      <c r="E98" s="1490" t="s">
        <v>2529</v>
      </c>
      <c r="F98" s="1491" t="s">
        <v>1262</v>
      </c>
      <c r="G98" s="1347" t="s">
        <v>2500</v>
      </c>
      <c r="H98" s="1492">
        <v>186441</v>
      </c>
      <c r="I98" s="1348" t="s">
        <v>35</v>
      </c>
      <c r="J98" s="1348" t="s">
        <v>2467</v>
      </c>
      <c r="K98" s="1493">
        <v>45538</v>
      </c>
      <c r="L98" s="1493">
        <v>45538</v>
      </c>
      <c r="M98" s="1493">
        <v>45548</v>
      </c>
      <c r="N98" s="1493"/>
      <c r="O98" s="1540"/>
      <c r="P98" s="1347" t="s">
        <v>2557</v>
      </c>
      <c r="Q98" s="1623">
        <v>6.2778619416333328</v>
      </c>
      <c r="R98" s="1623">
        <v>4.2295999999999996</v>
      </c>
      <c r="S98" s="1495">
        <f t="shared" ref="S98:S186" si="17">R98/Q98</f>
        <v>0.6737325604359452</v>
      </c>
      <c r="T98" s="1496">
        <v>448.59202554435961</v>
      </c>
      <c r="U98" s="1496">
        <v>666.06481108696198</v>
      </c>
      <c r="V98" s="1496">
        <v>45.785988121565637</v>
      </c>
      <c r="W98" s="1496">
        <v>44.300837091010926</v>
      </c>
      <c r="X98" s="1496">
        <v>11.639182716517437</v>
      </c>
      <c r="Y98" s="1694">
        <f t="shared" si="13"/>
        <v>7.5043644801831899E-2</v>
      </c>
      <c r="Z98" s="1496">
        <v>557.5585048141761</v>
      </c>
      <c r="AA98" s="1496">
        <v>129</v>
      </c>
      <c r="AB98" s="1496">
        <v>30.678372092500002</v>
      </c>
      <c r="AC98" s="1496">
        <f t="shared" si="14"/>
        <v>12.418178944386428</v>
      </c>
      <c r="AD98" s="1498">
        <f t="shared" si="15"/>
        <v>0.73524634952738233</v>
      </c>
      <c r="AE98" s="1496">
        <v>11.656134194021831</v>
      </c>
      <c r="AF98" s="1496">
        <v>11.45215184562645</v>
      </c>
      <c r="AG98" s="1496">
        <v>11.251739188327987</v>
      </c>
      <c r="AH98" s="1641" t="s">
        <v>2775</v>
      </c>
      <c r="AI98" s="1641"/>
      <c r="AJ98" s="1641">
        <v>664</v>
      </c>
      <c r="AK98" s="1641">
        <v>627.63</v>
      </c>
      <c r="AL98" s="1347"/>
      <c r="AM98" s="1641">
        <v>27.68</v>
      </c>
      <c r="AN98" s="1641">
        <v>-11.62</v>
      </c>
      <c r="AO98" s="1641">
        <v>-11.42</v>
      </c>
      <c r="AP98" s="1641">
        <v>-11.22</v>
      </c>
      <c r="AQ98" s="1646">
        <f t="shared" si="16"/>
        <v>12.3796824</v>
      </c>
      <c r="AR98" s="1647"/>
    </row>
    <row r="99" spans="1:44">
      <c r="A99" s="1521">
        <v>97</v>
      </c>
      <c r="B99" s="1515" t="s">
        <v>2507</v>
      </c>
      <c r="C99" s="1270" t="s">
        <v>29</v>
      </c>
      <c r="D99" s="1448">
        <v>53081</v>
      </c>
      <c r="E99" s="1448" t="s">
        <v>2531</v>
      </c>
      <c r="F99" s="1315" t="s">
        <v>1263</v>
      </c>
      <c r="G99" s="1270" t="s">
        <v>2500</v>
      </c>
      <c r="H99" s="1273">
        <v>186441</v>
      </c>
      <c r="I99" s="1272" t="s">
        <v>35</v>
      </c>
      <c r="J99" s="1272" t="s">
        <v>2467</v>
      </c>
      <c r="K99" s="1280">
        <v>45538</v>
      </c>
      <c r="L99" s="1280">
        <v>45538</v>
      </c>
      <c r="M99" s="1280">
        <v>45548</v>
      </c>
      <c r="N99" s="1280"/>
      <c r="O99" s="1533"/>
      <c r="P99" s="1270" t="s">
        <v>2557</v>
      </c>
      <c r="Q99" s="1390">
        <v>6.2778619416333328</v>
      </c>
      <c r="R99" s="1390">
        <v>4.2284000000000006</v>
      </c>
      <c r="S99" s="1286">
        <f t="shared" si="17"/>
        <v>0.67354141255611677</v>
      </c>
      <c r="T99" s="1391">
        <v>448.54210554435957</v>
      </c>
      <c r="U99" s="1391">
        <v>666.01123905496172</v>
      </c>
      <c r="V99" s="1391">
        <v>45.784989721565637</v>
      </c>
      <c r="W99" s="1391">
        <v>44.300837091010926</v>
      </c>
      <c r="X99" s="1391">
        <v>11.639077884517436</v>
      </c>
      <c r="Y99" s="1409">
        <f t="shared" si="13"/>
        <v>7.5048585164452467E-2</v>
      </c>
      <c r="Z99" s="1391">
        <v>557.5585048141761</v>
      </c>
      <c r="AA99" s="1391">
        <v>129</v>
      </c>
      <c r="AB99" s="1391">
        <v>30.678372092500002</v>
      </c>
      <c r="AC99" s="1391">
        <f t="shared" si="14"/>
        <v>12.417180142064611</v>
      </c>
      <c r="AD99" s="1281">
        <f t="shared" si="15"/>
        <v>0.73522896068125609</v>
      </c>
      <c r="AE99" s="1391">
        <v>11.655196683461833</v>
      </c>
      <c r="AF99" s="1391">
        <v>11.451230741501252</v>
      </c>
      <c r="AG99" s="1391">
        <v>11.250834203524979</v>
      </c>
      <c r="AH99" s="1560" t="s">
        <v>2775</v>
      </c>
      <c r="AI99" s="1560"/>
      <c r="AJ99" s="1560">
        <v>664</v>
      </c>
      <c r="AK99" s="1560">
        <v>627.63</v>
      </c>
      <c r="AL99" s="1270"/>
      <c r="AM99" s="1560">
        <v>27.68</v>
      </c>
      <c r="AN99" s="1560">
        <v>-11.62</v>
      </c>
      <c r="AO99" s="1560">
        <v>-11.42</v>
      </c>
      <c r="AP99" s="1560">
        <v>-11.22</v>
      </c>
      <c r="AQ99" s="1642">
        <f t="shared" si="16"/>
        <v>12.3796824</v>
      </c>
      <c r="AR99" s="1563"/>
    </row>
    <row r="100" spans="1:44">
      <c r="A100" s="1521">
        <v>98</v>
      </c>
      <c r="B100" s="1515" t="s">
        <v>2507</v>
      </c>
      <c r="C100" s="1270" t="s">
        <v>29</v>
      </c>
      <c r="D100" s="1448">
        <v>53081</v>
      </c>
      <c r="E100" s="1448" t="s">
        <v>2530</v>
      </c>
      <c r="F100" s="1315" t="s">
        <v>1262</v>
      </c>
      <c r="G100" s="1270" t="s">
        <v>2500</v>
      </c>
      <c r="H100" s="1271">
        <v>69411</v>
      </c>
      <c r="I100" s="1272" t="s">
        <v>35</v>
      </c>
      <c r="J100" s="1272" t="s">
        <v>2467</v>
      </c>
      <c r="K100" s="1280">
        <v>45538</v>
      </c>
      <c r="L100" s="1280">
        <v>45538</v>
      </c>
      <c r="M100" s="1280">
        <v>45548</v>
      </c>
      <c r="N100" s="1280"/>
      <c r="O100" s="1533"/>
      <c r="P100" s="1270" t="s">
        <v>2557</v>
      </c>
      <c r="Q100" s="1390">
        <v>6.2778619416333328</v>
      </c>
      <c r="R100" s="1390">
        <v>4.2289000000000003</v>
      </c>
      <c r="S100" s="1286">
        <f t="shared" si="17"/>
        <v>0.67362105750604528</v>
      </c>
      <c r="T100" s="1391">
        <v>535.89111563186248</v>
      </c>
      <c r="U100" s="1391">
        <v>756.6016474167111</v>
      </c>
      <c r="V100" s="1391">
        <v>47.5319699233157</v>
      </c>
      <c r="W100" s="1391">
        <v>44.300837091010926</v>
      </c>
      <c r="X100" s="1391">
        <v>11.822510805701192</v>
      </c>
      <c r="Y100" s="1409">
        <f t="shared" si="13"/>
        <v>6.7856448880553283E-2</v>
      </c>
      <c r="Z100" s="1391">
        <v>0</v>
      </c>
      <c r="AA100" s="1391">
        <v>0</v>
      </c>
      <c r="AB100" s="1391">
        <v>0</v>
      </c>
      <c r="AC100" s="1391">
        <f t="shared" si="14"/>
        <v>5.2516476948841335</v>
      </c>
      <c r="AD100" s="1281">
        <f t="shared" si="15"/>
        <v>0.76503599897253149</v>
      </c>
      <c r="AE100" s="1391">
        <v>13.240528829792446</v>
      </c>
      <c r="AF100" s="1391">
        <v>13.008819575271078</v>
      </c>
      <c r="AG100" s="1391">
        <v>12.781165232703835</v>
      </c>
      <c r="AH100" s="1560" t="s">
        <v>2775</v>
      </c>
      <c r="AI100" s="1560"/>
      <c r="AJ100" s="1560">
        <v>754</v>
      </c>
      <c r="AK100" s="1560">
        <v>0</v>
      </c>
      <c r="AL100" s="1270"/>
      <c r="AM100" s="1560">
        <v>0</v>
      </c>
      <c r="AN100" s="1560">
        <v>-13.2</v>
      </c>
      <c r="AO100" s="1560">
        <v>-12.97</v>
      </c>
      <c r="AP100" s="1560">
        <v>-12.75</v>
      </c>
      <c r="AQ100" s="1642">
        <f t="shared" si="16"/>
        <v>5.2335893999999996</v>
      </c>
      <c r="AR100" s="1563"/>
    </row>
    <row r="101" spans="1:44" ht="21.75" thickBot="1">
      <c r="A101" s="1521">
        <v>99</v>
      </c>
      <c r="B101" s="1513" t="s">
        <v>2507</v>
      </c>
      <c r="C101" s="1263" t="s">
        <v>29</v>
      </c>
      <c r="D101" s="1458">
        <v>53081</v>
      </c>
      <c r="E101" s="1458" t="s">
        <v>2532</v>
      </c>
      <c r="F101" s="1316" t="s">
        <v>1263</v>
      </c>
      <c r="G101" s="1263" t="s">
        <v>2500</v>
      </c>
      <c r="H101" s="1274">
        <v>69411</v>
      </c>
      <c r="I101" s="1265" t="s">
        <v>35</v>
      </c>
      <c r="J101" s="1265" t="s">
        <v>2467</v>
      </c>
      <c r="K101" s="1283">
        <v>45538</v>
      </c>
      <c r="L101" s="1283">
        <v>45538</v>
      </c>
      <c r="M101" s="1283">
        <v>45548</v>
      </c>
      <c r="N101" s="1283"/>
      <c r="O101" s="1394"/>
      <c r="P101" s="1263" t="s">
        <v>2557</v>
      </c>
      <c r="Q101" s="1383">
        <v>6.2778619416333328</v>
      </c>
      <c r="R101" s="1383">
        <v>4.2284000000000006</v>
      </c>
      <c r="S101" s="1455">
        <f t="shared" si="17"/>
        <v>0.67354141255611677</v>
      </c>
      <c r="T101" s="1384">
        <v>535.87031563186247</v>
      </c>
      <c r="U101" s="1384">
        <v>756.5793257367111</v>
      </c>
      <c r="V101" s="1384">
        <v>47.531553923315698</v>
      </c>
      <c r="W101" s="1384">
        <v>44.300837091010926</v>
      </c>
      <c r="X101" s="1384">
        <v>11.822467125701191</v>
      </c>
      <c r="Y101" s="1405">
        <f t="shared" si="13"/>
        <v>6.7858013155731881E-2</v>
      </c>
      <c r="Z101" s="1384">
        <v>0</v>
      </c>
      <c r="AA101" s="1384">
        <v>0</v>
      </c>
      <c r="AB101" s="1384">
        <v>0</v>
      </c>
      <c r="AC101" s="1384">
        <f t="shared" si="14"/>
        <v>5.2514927578710857</v>
      </c>
      <c r="AD101" s="1284">
        <f t="shared" si="15"/>
        <v>0.76503063599769872</v>
      </c>
      <c r="AE101" s="1384">
        <v>13.240138200392444</v>
      </c>
      <c r="AF101" s="1384">
        <v>13.008435781885575</v>
      </c>
      <c r="AG101" s="1384">
        <v>12.780788155702576</v>
      </c>
      <c r="AH101" s="1561" t="s">
        <v>2775</v>
      </c>
      <c r="AI101" s="1561"/>
      <c r="AJ101" s="1561">
        <v>754</v>
      </c>
      <c r="AK101" s="1561">
        <v>0</v>
      </c>
      <c r="AL101" s="1263">
        <v>0</v>
      </c>
      <c r="AM101" s="1561">
        <v>0</v>
      </c>
      <c r="AN101" s="1561">
        <v>-13.2</v>
      </c>
      <c r="AO101" s="1561">
        <v>-12.97</v>
      </c>
      <c r="AP101" s="1561">
        <v>-12.75</v>
      </c>
      <c r="AQ101" s="1648">
        <f t="shared" si="16"/>
        <v>5.2335893999999996</v>
      </c>
      <c r="AR101" s="1564"/>
    </row>
    <row r="102" spans="1:44">
      <c r="A102" s="1521">
        <v>100</v>
      </c>
      <c r="B102" s="1700" t="s">
        <v>2399</v>
      </c>
      <c r="C102" s="1347" t="s">
        <v>29</v>
      </c>
      <c r="D102" s="1490" t="s">
        <v>2548</v>
      </c>
      <c r="E102" s="1490" t="s">
        <v>2549</v>
      </c>
      <c r="F102" s="1491" t="s">
        <v>2553</v>
      </c>
      <c r="G102" s="1347" t="s">
        <v>2555</v>
      </c>
      <c r="H102" s="1726">
        <v>103500</v>
      </c>
      <c r="I102" s="1348" t="s">
        <v>35</v>
      </c>
      <c r="J102" s="1348" t="s">
        <v>2306</v>
      </c>
      <c r="K102" s="1493">
        <v>45538</v>
      </c>
      <c r="L102" s="1493">
        <v>45538</v>
      </c>
      <c r="M102" s="1493">
        <v>45545</v>
      </c>
      <c r="N102" s="1493"/>
      <c r="O102" s="1540"/>
      <c r="P102" s="1347" t="s">
        <v>2557</v>
      </c>
      <c r="Q102" s="1623">
        <v>9.6258206668860549</v>
      </c>
      <c r="R102" s="1623">
        <v>5.4249999999999998</v>
      </c>
      <c r="S102" s="1495">
        <f t="shared" si="17"/>
        <v>0.56358830979083496</v>
      </c>
      <c r="T102" s="1496">
        <v>571.10445984387718</v>
      </c>
      <c r="U102" s="1496">
        <v>908.14143885890473</v>
      </c>
      <c r="V102" s="1496">
        <v>69.434005484807216</v>
      </c>
      <c r="W102" s="1496">
        <v>58.619046871219993</v>
      </c>
      <c r="X102" s="1496">
        <v>18.055924755621991</v>
      </c>
      <c r="Y102" s="1694">
        <f t="shared" si="13"/>
        <v>8.3507884227672816E-2</v>
      </c>
      <c r="Z102" s="1496">
        <v>607.44083049529684</v>
      </c>
      <c r="AA102" s="1496">
        <v>219.625</v>
      </c>
      <c r="AB102" s="1496">
        <v>73.550048312499996</v>
      </c>
      <c r="AC102" s="1496">
        <f t="shared" ref="AC102:AC112" si="18">U102*H102/10^7</f>
        <v>9.3992638921896638</v>
      </c>
      <c r="AD102" s="1498">
        <f t="shared" ref="AD102:AD112" si="19">T102/(U102-W102-X102)</f>
        <v>0.68686409175955576</v>
      </c>
      <c r="AE102" s="1496">
        <v>18.162828777178099</v>
      </c>
      <c r="AF102" s="1496">
        <v>17.799572201634536</v>
      </c>
      <c r="AG102" s="1496">
        <v>17.443580757601843</v>
      </c>
      <c r="AH102" s="1641" t="s">
        <v>2775</v>
      </c>
      <c r="AI102" s="1641"/>
      <c r="AJ102" s="1641">
        <v>898</v>
      </c>
      <c r="AK102" s="1764">
        <v>789.55</v>
      </c>
      <c r="AL102" s="1641"/>
      <c r="AM102" s="1641">
        <v>73.55</v>
      </c>
      <c r="AN102" s="1641">
        <v>-17.96</v>
      </c>
      <c r="AO102" s="1641">
        <v>-17.600000000000001</v>
      </c>
      <c r="AP102" s="1641">
        <v>-17.25</v>
      </c>
      <c r="AQ102" s="1646">
        <f t="shared" si="16"/>
        <v>9.2942999999999998</v>
      </c>
      <c r="AR102" s="1647"/>
    </row>
    <row r="103" spans="1:44">
      <c r="A103" s="1521">
        <v>101</v>
      </c>
      <c r="B103" s="1515" t="s">
        <v>2399</v>
      </c>
      <c r="C103" s="1270" t="s">
        <v>29</v>
      </c>
      <c r="D103" s="1448" t="s">
        <v>2548</v>
      </c>
      <c r="E103" s="1448" t="s">
        <v>2550</v>
      </c>
      <c r="F103" s="1315" t="s">
        <v>2553</v>
      </c>
      <c r="G103" s="1270" t="s">
        <v>2555</v>
      </c>
      <c r="H103" s="1727">
        <v>96500</v>
      </c>
      <c r="I103" s="1272" t="s">
        <v>35</v>
      </c>
      <c r="J103" s="1272" t="s">
        <v>2306</v>
      </c>
      <c r="K103" s="1280">
        <v>45538</v>
      </c>
      <c r="L103" s="1280">
        <v>45538</v>
      </c>
      <c r="M103" s="1280">
        <v>45545</v>
      </c>
      <c r="N103" s="1280"/>
      <c r="O103" s="1533"/>
      <c r="P103" s="1270" t="s">
        <v>2557</v>
      </c>
      <c r="Q103" s="1390">
        <v>11.971063166937338</v>
      </c>
      <c r="R103" s="1390">
        <v>6.5566999999999984</v>
      </c>
      <c r="S103" s="1286">
        <f t="shared" si="17"/>
        <v>0.54771242190992941</v>
      </c>
      <c r="T103" s="1391">
        <v>844.57116654644278</v>
      </c>
      <c r="U103" s="1391">
        <v>1245.3983527889491</v>
      </c>
      <c r="V103" s="1391">
        <v>85.077819828734761</v>
      </c>
      <c r="W103" s="1391">
        <v>58.619046871219993</v>
      </c>
      <c r="X103" s="1391">
        <v>21.586618089252845</v>
      </c>
      <c r="Y103" s="1409">
        <f t="shared" si="13"/>
        <v>7.3016094863495029E-2</v>
      </c>
      <c r="Z103" s="1391">
        <v>680.32292861970927</v>
      </c>
      <c r="AA103" s="1391">
        <v>24.7</v>
      </c>
      <c r="AB103" s="1391">
        <v>0</v>
      </c>
      <c r="AC103" s="1391">
        <f t="shared" si="18"/>
        <v>12.018094104413359</v>
      </c>
      <c r="AD103" s="1281">
        <f t="shared" si="19"/>
        <v>0.72483390547226734</v>
      </c>
      <c r="AE103" s="1391">
        <v>24.907967055778972</v>
      </c>
      <c r="AF103" s="1391">
        <v>24.409807714663394</v>
      </c>
      <c r="AG103" s="1391">
        <v>23.921611560370124</v>
      </c>
      <c r="AH103" s="1560" t="s">
        <v>2775</v>
      </c>
      <c r="AI103" s="1560"/>
      <c r="AJ103" s="1560">
        <v>1235</v>
      </c>
      <c r="AK103" s="1765">
        <v>703.35</v>
      </c>
      <c r="AL103" s="1560"/>
      <c r="AM103" s="1560">
        <v>0</v>
      </c>
      <c r="AN103" s="1560">
        <v>-24.7</v>
      </c>
      <c r="AO103" s="1560">
        <v>-24.21</v>
      </c>
      <c r="AP103" s="1560">
        <v>-23.72</v>
      </c>
      <c r="AQ103" s="1642">
        <f t="shared" si="16"/>
        <v>11.91775</v>
      </c>
      <c r="AR103" s="1563"/>
    </row>
    <row r="104" spans="1:44">
      <c r="A104" s="1521">
        <v>102</v>
      </c>
      <c r="B104" s="1515" t="s">
        <v>2399</v>
      </c>
      <c r="C104" s="1270" t="s">
        <v>29</v>
      </c>
      <c r="D104" s="1448" t="s">
        <v>2548</v>
      </c>
      <c r="E104" s="1448" t="s">
        <v>2551</v>
      </c>
      <c r="F104" s="1315" t="s">
        <v>2554</v>
      </c>
      <c r="G104" s="1270" t="s">
        <v>2555</v>
      </c>
      <c r="H104" s="1728">
        <v>103500</v>
      </c>
      <c r="I104" s="1272" t="s">
        <v>35</v>
      </c>
      <c r="J104" s="1272" t="s">
        <v>2306</v>
      </c>
      <c r="K104" s="1280">
        <v>45538</v>
      </c>
      <c r="L104" s="1280">
        <v>45538</v>
      </c>
      <c r="M104" s="1280">
        <v>45545</v>
      </c>
      <c r="N104" s="1280"/>
      <c r="O104" s="1533"/>
      <c r="P104" s="1270" t="s">
        <v>2557</v>
      </c>
      <c r="Q104" s="1390">
        <v>10.113428402886056</v>
      </c>
      <c r="R104" s="1390">
        <v>5.630300000000001</v>
      </c>
      <c r="S104" s="1286">
        <f t="shared" si="17"/>
        <v>0.55671526763301049</v>
      </c>
      <c r="T104" s="1391">
        <v>568.05823810983725</v>
      </c>
      <c r="U104" s="1391">
        <v>987.89272601682535</v>
      </c>
      <c r="V104" s="1391">
        <v>85.474191169457825</v>
      </c>
      <c r="W104" s="1391">
        <v>58.619046871219993</v>
      </c>
      <c r="X104" s="1391">
        <v>22.728050258940517</v>
      </c>
      <c r="Y104" s="1409">
        <f t="shared" si="13"/>
        <v>9.4285591861966486E-2</v>
      </c>
      <c r="Z104" s="1391">
        <v>577.25097194067177</v>
      </c>
      <c r="AA104" s="1391">
        <v>219.125</v>
      </c>
      <c r="AB104" s="1391">
        <v>73.550048312499996</v>
      </c>
      <c r="AC104" s="1391">
        <f t="shared" si="18"/>
        <v>10.224689714274144</v>
      </c>
      <c r="AD104" s="1281">
        <f t="shared" si="19"/>
        <v>0.62661847347659005</v>
      </c>
      <c r="AE104" s="1391">
        <v>19.757854520336508</v>
      </c>
      <c r="AF104" s="1391">
        <v>19.362697429929778</v>
      </c>
      <c r="AG104" s="1391">
        <v>18.975443481331183</v>
      </c>
      <c r="AH104" s="1560" t="s">
        <v>2775</v>
      </c>
      <c r="AI104" s="1560"/>
      <c r="AJ104" s="1560">
        <v>905</v>
      </c>
      <c r="AK104" s="1765">
        <v>756.27</v>
      </c>
      <c r="AL104" s="1560"/>
      <c r="AM104" s="1560">
        <v>73.55</v>
      </c>
      <c r="AN104" s="1560">
        <v>-18.100000000000001</v>
      </c>
      <c r="AO104" s="1560">
        <v>-17.739999999999998</v>
      </c>
      <c r="AP104" s="1560">
        <v>-17.38</v>
      </c>
      <c r="AQ104" s="1642">
        <f t="shared" si="16"/>
        <v>9.3667499999999997</v>
      </c>
      <c r="AR104" s="1563"/>
    </row>
    <row r="105" spans="1:44" ht="21.75" thickBot="1">
      <c r="A105" s="1521">
        <v>103</v>
      </c>
      <c r="B105" s="1513" t="s">
        <v>2399</v>
      </c>
      <c r="C105" s="1263" t="s">
        <v>29</v>
      </c>
      <c r="D105" s="1458" t="s">
        <v>2548</v>
      </c>
      <c r="E105" s="1458" t="s">
        <v>2552</v>
      </c>
      <c r="F105" s="1316" t="s">
        <v>2554</v>
      </c>
      <c r="G105" s="1263" t="s">
        <v>2555</v>
      </c>
      <c r="H105" s="1296">
        <v>96500</v>
      </c>
      <c r="I105" s="1265" t="s">
        <v>35</v>
      </c>
      <c r="J105" s="1265" t="s">
        <v>2306</v>
      </c>
      <c r="K105" s="1283">
        <v>45538</v>
      </c>
      <c r="L105" s="1283">
        <v>45538</v>
      </c>
      <c r="M105" s="1283">
        <v>45545</v>
      </c>
      <c r="N105" s="1283"/>
      <c r="O105" s="1394"/>
      <c r="P105" s="1263" t="s">
        <v>2557</v>
      </c>
      <c r="Q105" s="1383">
        <v>12.458670902937335</v>
      </c>
      <c r="R105" s="1383">
        <v>6.7640000000000002</v>
      </c>
      <c r="S105" s="1455">
        <f t="shared" si="17"/>
        <v>0.54291505512078952</v>
      </c>
      <c r="T105" s="1384">
        <v>835.83814481240279</v>
      </c>
      <c r="U105" s="1384">
        <v>1317.9068346668691</v>
      </c>
      <c r="V105" s="1384">
        <v>100.74176951338536</v>
      </c>
      <c r="W105" s="1384">
        <v>58.619046871219993</v>
      </c>
      <c r="X105" s="1384">
        <v>26.170526312571372</v>
      </c>
      <c r="Y105" s="1405">
        <f t="shared" si="13"/>
        <v>8.1696828566184057E-2</v>
      </c>
      <c r="Z105" s="1384">
        <v>680.32292861970927</v>
      </c>
      <c r="AA105" s="1384">
        <v>24.7</v>
      </c>
      <c r="AB105" s="1384">
        <v>0</v>
      </c>
      <c r="AC105" s="1384">
        <f t="shared" si="18"/>
        <v>12.717800954535287</v>
      </c>
      <c r="AD105" s="1284">
        <f t="shared" si="19"/>
        <v>0.67782535442504077</v>
      </c>
      <c r="AE105" s="1384">
        <v>26.358136693337389</v>
      </c>
      <c r="AF105" s="1384">
        <v>25.83097395947064</v>
      </c>
      <c r="AG105" s="1384">
        <v>25.314354480281228</v>
      </c>
      <c r="AH105" s="1561" t="s">
        <v>2775</v>
      </c>
      <c r="AI105" s="1561"/>
      <c r="AJ105" s="1561">
        <v>1235</v>
      </c>
      <c r="AK105" s="1766">
        <v>703.35</v>
      </c>
      <c r="AL105" s="1561"/>
      <c r="AM105" s="1561">
        <v>0</v>
      </c>
      <c r="AN105" s="1561">
        <v>-24.7</v>
      </c>
      <c r="AO105" s="1561">
        <v>-24.21</v>
      </c>
      <c r="AP105" s="1561">
        <v>-23.72</v>
      </c>
      <c r="AQ105" s="1648">
        <f t="shared" si="16"/>
        <v>11.91775</v>
      </c>
      <c r="AR105" s="1564"/>
    </row>
    <row r="106" spans="1:44" ht="21.75" thickBot="1">
      <c r="A106" s="1521">
        <v>104</v>
      </c>
      <c r="B106" s="1719" t="s">
        <v>2736</v>
      </c>
      <c r="C106" s="1311" t="s">
        <v>29</v>
      </c>
      <c r="D106" s="1720">
        <v>53282</v>
      </c>
      <c r="E106" s="1721" t="s">
        <v>2558</v>
      </c>
      <c r="F106" s="1722" t="s">
        <v>2559</v>
      </c>
      <c r="G106" s="1723" t="s">
        <v>2743</v>
      </c>
      <c r="H106" s="1724">
        <v>22000</v>
      </c>
      <c r="I106" s="1311" t="s">
        <v>35</v>
      </c>
      <c r="J106" s="1311" t="s">
        <v>2306</v>
      </c>
      <c r="K106" s="1725">
        <v>45553</v>
      </c>
      <c r="L106" s="1725">
        <v>45553</v>
      </c>
      <c r="M106" s="1725">
        <v>45558</v>
      </c>
      <c r="N106" s="1430"/>
      <c r="O106" s="1537"/>
      <c r="P106" s="1311" t="s">
        <v>2777</v>
      </c>
      <c r="Q106" s="1431"/>
      <c r="R106" s="1431"/>
      <c r="S106" s="1434"/>
      <c r="T106" s="1432"/>
      <c r="U106" s="1432"/>
      <c r="V106" s="1432"/>
      <c r="W106" s="1432"/>
      <c r="X106" s="1432"/>
      <c r="Y106" s="1433"/>
      <c r="Z106" s="1432"/>
      <c r="AA106" s="1432"/>
      <c r="AB106" s="1432"/>
      <c r="AC106" s="1432"/>
      <c r="AD106" s="1434"/>
      <c r="AE106" s="1432"/>
      <c r="AF106" s="1432"/>
      <c r="AG106" s="1432"/>
      <c r="AH106" s="1311"/>
      <c r="AI106" s="1311"/>
      <c r="AJ106" s="1311"/>
      <c r="AK106" s="1311"/>
      <c r="AL106" s="1311"/>
      <c r="AM106" s="1311"/>
      <c r="AN106" s="1311"/>
      <c r="AO106" s="1311"/>
      <c r="AP106" s="1580"/>
      <c r="AQ106" s="1431">
        <f t="shared" si="16"/>
        <v>0</v>
      </c>
      <c r="AR106" s="1620"/>
    </row>
    <row r="107" spans="1:44">
      <c r="A107" s="1521">
        <v>105</v>
      </c>
      <c r="B107" s="1755" t="s">
        <v>2737</v>
      </c>
      <c r="C107" s="1347" t="s">
        <v>29</v>
      </c>
      <c r="D107" s="1729">
        <v>53512</v>
      </c>
      <c r="E107" s="1729" t="s">
        <v>2560</v>
      </c>
      <c r="F107" s="1730" t="s">
        <v>2910</v>
      </c>
      <c r="G107" s="1353" t="s">
        <v>2401</v>
      </c>
      <c r="H107" s="1731">
        <v>124525</v>
      </c>
      <c r="I107" s="1348" t="s">
        <v>35</v>
      </c>
      <c r="J107" s="1348" t="s">
        <v>2742</v>
      </c>
      <c r="K107" s="1732">
        <v>45553</v>
      </c>
      <c r="L107" s="1732">
        <v>45553</v>
      </c>
      <c r="M107" s="1493">
        <v>45555</v>
      </c>
      <c r="N107" s="1493"/>
      <c r="O107" s="1540"/>
      <c r="P107" s="1347" t="s">
        <v>2557</v>
      </c>
      <c r="Q107" s="1623">
        <v>4.5054169133217385</v>
      </c>
      <c r="R107" s="1623">
        <v>3.3760000000000003</v>
      </c>
      <c r="S107" s="1495">
        <f t="shared" si="17"/>
        <v>0.74932022162427459</v>
      </c>
      <c r="T107" s="1496">
        <v>274.93249278159061</v>
      </c>
      <c r="U107" s="1496">
        <v>399.29469122965958</v>
      </c>
      <c r="V107" s="1496">
        <v>25.29312759121818</v>
      </c>
      <c r="W107" s="1496">
        <v>26.924311690813578</v>
      </c>
      <c r="X107" s="1496">
        <v>6.3290679082960075</v>
      </c>
      <c r="Y107" s="1694">
        <f t="shared" si="13"/>
        <v>6.9099106542233252E-2</v>
      </c>
      <c r="Z107" s="1496">
        <v>299.0842123785863</v>
      </c>
      <c r="AA107" s="1496">
        <v>57.75</v>
      </c>
      <c r="AB107" s="1496">
        <v>14.088659149999998</v>
      </c>
      <c r="AC107" s="1496">
        <f t="shared" si="18"/>
        <v>4.9722171425373363</v>
      </c>
      <c r="AD107" s="1498">
        <f t="shared" si="19"/>
        <v>0.7510968954757854</v>
      </c>
      <c r="AE107" s="1496">
        <v>4.9911836403707452</v>
      </c>
      <c r="AF107" s="1496">
        <v>4.9287938448661102</v>
      </c>
      <c r="AG107" s="1496">
        <v>4.8671839218052844</v>
      </c>
      <c r="AH107" s="1641" t="s">
        <v>2775</v>
      </c>
      <c r="AI107" s="1641"/>
      <c r="AJ107" s="1641">
        <f>399.29-1</f>
        <v>398.29</v>
      </c>
      <c r="AK107" s="1641">
        <v>354.33</v>
      </c>
      <c r="AL107" s="1641"/>
      <c r="AM107" s="1641">
        <v>14.09</v>
      </c>
      <c r="AN107" s="1641">
        <v>-4.99</v>
      </c>
      <c r="AO107" s="1641">
        <v>-4.93</v>
      </c>
      <c r="AP107" s="1641">
        <v>-4.87</v>
      </c>
      <c r="AQ107" s="1646">
        <f t="shared" si="16"/>
        <v>4.9597062249999997</v>
      </c>
      <c r="AR107" s="1647"/>
    </row>
    <row r="108" spans="1:44" ht="21.75" thickBot="1">
      <c r="A108" s="1521">
        <v>106</v>
      </c>
      <c r="B108" s="1756" t="s">
        <v>2737</v>
      </c>
      <c r="C108" s="1263" t="s">
        <v>29</v>
      </c>
      <c r="D108" s="1530">
        <v>53512</v>
      </c>
      <c r="E108" s="1530" t="s">
        <v>2561</v>
      </c>
      <c r="F108" s="1531" t="s">
        <v>2911</v>
      </c>
      <c r="G108" s="1298" t="s">
        <v>2401</v>
      </c>
      <c r="H108" s="1733">
        <v>124525</v>
      </c>
      <c r="I108" s="1265" t="s">
        <v>35</v>
      </c>
      <c r="J108" s="1265" t="s">
        <v>2742</v>
      </c>
      <c r="K108" s="1419">
        <v>45553</v>
      </c>
      <c r="L108" s="1419">
        <v>45553</v>
      </c>
      <c r="M108" s="1283">
        <v>45555</v>
      </c>
      <c r="N108" s="1283"/>
      <c r="O108" s="1394"/>
      <c r="P108" s="1263" t="s">
        <v>2557</v>
      </c>
      <c r="Q108" s="1383">
        <v>4.5054169133217385</v>
      </c>
      <c r="R108" s="1383">
        <v>3.3770000000000002</v>
      </c>
      <c r="S108" s="1455">
        <f t="shared" si="17"/>
        <v>0.74954217666622491</v>
      </c>
      <c r="T108" s="1384">
        <v>274.96870278159059</v>
      </c>
      <c r="U108" s="1384">
        <v>399.3342446206596</v>
      </c>
      <c r="V108" s="1384">
        <v>25.293851791218181</v>
      </c>
      <c r="W108" s="1384">
        <v>26.924311690813578</v>
      </c>
      <c r="X108" s="1384">
        <v>6.3291439492960082</v>
      </c>
      <c r="Y108" s="1405">
        <f t="shared" si="13"/>
        <v>6.9093633297873075E-2</v>
      </c>
      <c r="Z108" s="1384">
        <v>272.52572533696122</v>
      </c>
      <c r="AA108" s="1384">
        <v>57.75</v>
      </c>
      <c r="AB108" s="1384">
        <v>14.088659149999998</v>
      </c>
      <c r="AC108" s="1384">
        <f t="shared" si="18"/>
        <v>4.9727096811387632</v>
      </c>
      <c r="AD108" s="1284">
        <f t="shared" si="19"/>
        <v>0.75111481142540848</v>
      </c>
      <c r="AE108" s="1384">
        <v>4.9916780577582447</v>
      </c>
      <c r="AF108" s="1384">
        <v>4.9292820820362664</v>
      </c>
      <c r="AG108" s="1384">
        <v>4.8676660560108136</v>
      </c>
      <c r="AH108" s="1561" t="s">
        <v>2775</v>
      </c>
      <c r="AI108" s="1561"/>
      <c r="AJ108" s="1561">
        <f>399.33-1</f>
        <v>398.33</v>
      </c>
      <c r="AK108" s="1561">
        <v>327.78</v>
      </c>
      <c r="AL108" s="1561"/>
      <c r="AM108" s="1561">
        <v>14.09</v>
      </c>
      <c r="AN108" s="1561">
        <v>-4.99</v>
      </c>
      <c r="AO108" s="1561">
        <v>-4.93</v>
      </c>
      <c r="AP108" s="1561">
        <v>-4.87</v>
      </c>
      <c r="AQ108" s="1648">
        <f t="shared" si="16"/>
        <v>4.9602043250000003</v>
      </c>
      <c r="AR108" s="1564"/>
    </row>
    <row r="109" spans="1:44" ht="21.75" thickBot="1">
      <c r="A109" s="1521">
        <v>107</v>
      </c>
      <c r="B109" s="1757" t="s">
        <v>2738</v>
      </c>
      <c r="C109" s="1267" t="s">
        <v>29</v>
      </c>
      <c r="D109" s="1734">
        <v>51207</v>
      </c>
      <c r="E109" s="1734" t="s">
        <v>2562</v>
      </c>
      <c r="F109" s="1735" t="s">
        <v>2563</v>
      </c>
      <c r="G109" s="1297" t="s">
        <v>2741</v>
      </c>
      <c r="H109" s="1290">
        <v>138500</v>
      </c>
      <c r="I109" s="1269" t="s">
        <v>35</v>
      </c>
      <c r="J109" s="1269" t="s">
        <v>2306</v>
      </c>
      <c r="K109" s="1418">
        <v>45553</v>
      </c>
      <c r="L109" s="1418">
        <v>45553</v>
      </c>
      <c r="M109" s="1386">
        <v>45555</v>
      </c>
      <c r="N109" s="1386"/>
      <c r="O109" s="1408"/>
      <c r="P109" s="1267" t="s">
        <v>2557</v>
      </c>
      <c r="Q109" s="1387">
        <v>4.4895079524166661</v>
      </c>
      <c r="R109" s="1387">
        <v>2.8166000000000002</v>
      </c>
      <c r="S109" s="1502">
        <f t="shared" si="17"/>
        <v>0.62737387478818185</v>
      </c>
      <c r="T109" s="1388">
        <v>345.51797631397915</v>
      </c>
      <c r="U109" s="1388">
        <v>515.02741251861266</v>
      </c>
      <c r="V109" s="1388">
        <v>35.796498074862441</v>
      </c>
      <c r="W109" s="1388">
        <v>27.331139388715421</v>
      </c>
      <c r="X109" s="1388">
        <v>9.1190742942332879</v>
      </c>
      <c r="Y109" s="1402">
        <f t="shared" si="13"/>
        <v>7.4797750837173521E-2</v>
      </c>
      <c r="Z109" s="1388">
        <v>224.66381227030124</v>
      </c>
      <c r="AA109" s="1388">
        <v>87.15</v>
      </c>
      <c r="AB109" s="1736">
        <v>18.496668209999999</v>
      </c>
      <c r="AC109" s="1388">
        <f t="shared" si="18"/>
        <v>7.1331296633827854</v>
      </c>
      <c r="AD109" s="1275">
        <f t="shared" si="19"/>
        <v>0.7219691559785838</v>
      </c>
      <c r="AE109" s="1388">
        <v>7.7254111877791898</v>
      </c>
      <c r="AF109" s="1388">
        <v>7.6095300199625022</v>
      </c>
      <c r="AG109" s="1388">
        <v>7.4953870696630647</v>
      </c>
      <c r="AH109" s="1568" t="s">
        <v>2775</v>
      </c>
      <c r="AI109" s="1568"/>
      <c r="AJ109" s="1568">
        <v>500</v>
      </c>
      <c r="AK109" s="1568">
        <v>300</v>
      </c>
      <c r="AL109" s="1267"/>
      <c r="AM109" s="1568">
        <v>17.5</v>
      </c>
      <c r="AN109" s="1568">
        <v>-7.5</v>
      </c>
      <c r="AO109" s="1568">
        <v>-7.5</v>
      </c>
      <c r="AP109" s="1568">
        <v>-7.5</v>
      </c>
      <c r="AQ109" s="1717">
        <f t="shared" si="16"/>
        <v>6.9249999999999998</v>
      </c>
      <c r="AR109" s="1718"/>
    </row>
    <row r="110" spans="1:44" ht="21.75" thickBot="1">
      <c r="A110" s="1521">
        <v>108</v>
      </c>
      <c r="B110" s="1757" t="s">
        <v>2738</v>
      </c>
      <c r="C110" s="1267" t="s">
        <v>29</v>
      </c>
      <c r="D110" s="1734">
        <v>51205</v>
      </c>
      <c r="E110" s="1734" t="s">
        <v>2564</v>
      </c>
      <c r="F110" s="1735" t="s">
        <v>2565</v>
      </c>
      <c r="G110" s="1297" t="s">
        <v>2741</v>
      </c>
      <c r="H110" s="1290">
        <v>138500</v>
      </c>
      <c r="I110" s="1269" t="s">
        <v>35</v>
      </c>
      <c r="J110" s="1269" t="s">
        <v>2306</v>
      </c>
      <c r="K110" s="1418">
        <v>45553</v>
      </c>
      <c r="L110" s="1418">
        <v>45553</v>
      </c>
      <c r="M110" s="1386">
        <v>45555</v>
      </c>
      <c r="N110" s="1386"/>
      <c r="O110" s="1408"/>
      <c r="P110" s="1267" t="s">
        <v>2557</v>
      </c>
      <c r="Q110" s="1387">
        <v>3.2456813170833332</v>
      </c>
      <c r="R110" s="1387">
        <v>2.0108999999999999</v>
      </c>
      <c r="S110" s="1502">
        <f t="shared" si="17"/>
        <v>0.61956175099995803</v>
      </c>
      <c r="T110" s="1388">
        <v>234.94613726070415</v>
      </c>
      <c r="U110" s="1388">
        <v>330.9056061158683</v>
      </c>
      <c r="V110" s="1388">
        <v>20.318450922402658</v>
      </c>
      <c r="W110" s="1388">
        <v>9.0583204831171056</v>
      </c>
      <c r="X110" s="1388">
        <v>5.0319755043048442</v>
      </c>
      <c r="Y110" s="1402">
        <f t="shared" si="13"/>
        <v>6.4133424972943873E-2</v>
      </c>
      <c r="Z110" s="1388">
        <v>198.37805532467999</v>
      </c>
      <c r="AA110" s="1388">
        <v>42</v>
      </c>
      <c r="AB110" s="1388">
        <v>14.667582090000002</v>
      </c>
      <c r="AC110" s="1388">
        <f t="shared" si="18"/>
        <v>4.5830426447047765</v>
      </c>
      <c r="AD110" s="1275">
        <f t="shared" si="19"/>
        <v>0.74158706902595706</v>
      </c>
      <c r="AE110" s="1388">
        <v>3.309056061158683</v>
      </c>
      <c r="AF110" s="1388">
        <v>3.275965500547096</v>
      </c>
      <c r="AG110" s="1388">
        <v>3.2432058455416253</v>
      </c>
      <c r="AH110" s="1568" t="s">
        <v>2775</v>
      </c>
      <c r="AI110" s="1568"/>
      <c r="AJ110" s="1568">
        <v>324.44</v>
      </c>
      <c r="AK110" s="1568">
        <v>229.85</v>
      </c>
      <c r="AL110" s="1267"/>
      <c r="AM110" s="1568">
        <v>13.67</v>
      </c>
      <c r="AN110" s="1568">
        <v>-4.0599999999999996</v>
      </c>
      <c r="AO110" s="1568">
        <v>-4.0599999999999996</v>
      </c>
      <c r="AP110" s="1568">
        <v>-4.0599999999999996</v>
      </c>
      <c r="AQ110" s="1717">
        <f t="shared" si="16"/>
        <v>4.4934940000000001</v>
      </c>
      <c r="AR110" s="1718"/>
    </row>
    <row r="111" spans="1:44">
      <c r="A111" s="1521">
        <v>109</v>
      </c>
      <c r="B111" s="1755" t="s">
        <v>2738</v>
      </c>
      <c r="C111" s="1347" t="s">
        <v>29</v>
      </c>
      <c r="D111" s="1729">
        <v>51065</v>
      </c>
      <c r="E111" s="1729" t="s">
        <v>2566</v>
      </c>
      <c r="F111" s="1730" t="s">
        <v>2567</v>
      </c>
      <c r="G111" s="1353" t="s">
        <v>2741</v>
      </c>
      <c r="H111" s="1711">
        <v>138500</v>
      </c>
      <c r="I111" s="1348" t="s">
        <v>35</v>
      </c>
      <c r="J111" s="1348" t="s">
        <v>2306</v>
      </c>
      <c r="K111" s="1732">
        <v>45553</v>
      </c>
      <c r="L111" s="1732">
        <v>45553</v>
      </c>
      <c r="M111" s="1493">
        <v>45555</v>
      </c>
      <c r="N111" s="1493"/>
      <c r="O111" s="1540"/>
      <c r="P111" s="1347" t="s">
        <v>2557</v>
      </c>
      <c r="Q111" s="1623">
        <v>0.64192208080000013</v>
      </c>
      <c r="R111" s="1623">
        <v>0.4617</v>
      </c>
      <c r="S111" s="1495">
        <f t="shared" si="17"/>
        <v>0.7192461730317844</v>
      </c>
      <c r="T111" s="1496">
        <v>54.592176889608005</v>
      </c>
      <c r="U111" s="1496">
        <v>109.77021338290069</v>
      </c>
      <c r="V111" s="1496">
        <v>11.123063972503186</v>
      </c>
      <c r="W111" s="1496">
        <v>18.272818905598307</v>
      </c>
      <c r="X111" s="1496">
        <v>3.0294296234970655</v>
      </c>
      <c r="Y111" s="1694">
        <f t="shared" si="13"/>
        <v>0.12572985024448366</v>
      </c>
      <c r="Z111" s="1496">
        <v>20.166543738495001</v>
      </c>
      <c r="AA111" s="1496">
        <v>28.75</v>
      </c>
      <c r="AB111" s="1496">
        <v>5.93513321</v>
      </c>
      <c r="AC111" s="1496">
        <f t="shared" si="18"/>
        <v>1.5203174553531746</v>
      </c>
      <c r="AD111" s="1498">
        <f t="shared" si="19"/>
        <v>0.61708412734284579</v>
      </c>
      <c r="AE111" s="1496">
        <v>1.6465532007435102</v>
      </c>
      <c r="AF111" s="1496">
        <v>1.6218549027323574</v>
      </c>
      <c r="AG111" s="1496">
        <v>1.5975270791913723</v>
      </c>
      <c r="AH111" s="1347"/>
      <c r="AI111" s="1347"/>
      <c r="AJ111" s="1347"/>
      <c r="AK111" s="1347"/>
      <c r="AL111" s="1347"/>
      <c r="AM111" s="1347"/>
      <c r="AN111" s="1347"/>
      <c r="AO111" s="1347"/>
      <c r="AP111" s="1347"/>
      <c r="AQ111" s="1623">
        <f t="shared" si="16"/>
        <v>0</v>
      </c>
      <c r="AR111" s="1350"/>
    </row>
    <row r="112" spans="1:44" ht="21.75" thickBot="1">
      <c r="A112" s="1521">
        <v>110</v>
      </c>
      <c r="B112" s="1756" t="s">
        <v>2738</v>
      </c>
      <c r="C112" s="1263" t="s">
        <v>29</v>
      </c>
      <c r="D112" s="1530">
        <v>51065</v>
      </c>
      <c r="E112" s="1530" t="s">
        <v>2566</v>
      </c>
      <c r="F112" s="1531" t="s">
        <v>2568</v>
      </c>
      <c r="G112" s="1298" t="s">
        <v>2741</v>
      </c>
      <c r="H112" s="1291">
        <v>138500</v>
      </c>
      <c r="I112" s="1265" t="s">
        <v>35</v>
      </c>
      <c r="J112" s="1265" t="s">
        <v>2306</v>
      </c>
      <c r="K112" s="1419">
        <v>45553</v>
      </c>
      <c r="L112" s="1419">
        <v>45553</v>
      </c>
      <c r="M112" s="1283">
        <v>45555</v>
      </c>
      <c r="N112" s="1283"/>
      <c r="O112" s="1394"/>
      <c r="P112" s="1263" t="s">
        <v>2557</v>
      </c>
      <c r="Q112" s="1383">
        <v>0.64192208080000013</v>
      </c>
      <c r="R112" s="1383">
        <v>0.4617</v>
      </c>
      <c r="S112" s="1455">
        <f t="shared" si="17"/>
        <v>0.7192461730317844</v>
      </c>
      <c r="T112" s="1384">
        <v>54.592176889608005</v>
      </c>
      <c r="U112" s="1384">
        <v>109.77021338290069</v>
      </c>
      <c r="V112" s="1384">
        <v>11.123063972503186</v>
      </c>
      <c r="W112" s="1384">
        <v>18.272818905598307</v>
      </c>
      <c r="X112" s="1384">
        <v>3.0294296234970655</v>
      </c>
      <c r="Y112" s="1405">
        <f t="shared" si="13"/>
        <v>0.12572985024448366</v>
      </c>
      <c r="Z112" s="1384">
        <v>20.166543738495001</v>
      </c>
      <c r="AA112" s="1384">
        <v>28.75</v>
      </c>
      <c r="AB112" s="1384">
        <v>5.93513321</v>
      </c>
      <c r="AC112" s="1384">
        <f t="shared" si="18"/>
        <v>1.5203174553531746</v>
      </c>
      <c r="AD112" s="1284">
        <f t="shared" si="19"/>
        <v>0.61708412734284579</v>
      </c>
      <c r="AE112" s="1384">
        <v>1.6465532007435102</v>
      </c>
      <c r="AF112" s="1384">
        <v>1.6218549027323574</v>
      </c>
      <c r="AG112" s="1384">
        <v>1.5975270791913723</v>
      </c>
      <c r="AH112" s="1263"/>
      <c r="AI112" s="1263"/>
      <c r="AJ112" s="1263"/>
      <c r="AK112" s="1263"/>
      <c r="AL112" s="1263"/>
      <c r="AM112" s="1263"/>
      <c r="AN112" s="1263"/>
      <c r="AO112" s="1263"/>
      <c r="AP112" s="1263"/>
      <c r="AQ112" s="1383">
        <f t="shared" si="16"/>
        <v>0</v>
      </c>
      <c r="AR112" s="1266"/>
    </row>
    <row r="113" spans="1:44">
      <c r="A113" s="1521">
        <v>111</v>
      </c>
      <c r="B113" s="1700" t="s">
        <v>2737</v>
      </c>
      <c r="C113" s="1347" t="s">
        <v>29</v>
      </c>
      <c r="D113" s="1490">
        <v>53205</v>
      </c>
      <c r="E113" s="1737" t="s">
        <v>2569</v>
      </c>
      <c r="F113" s="1738" t="s">
        <v>2570</v>
      </c>
      <c r="G113" s="1347" t="s">
        <v>2741</v>
      </c>
      <c r="H113" s="1739">
        <v>101500</v>
      </c>
      <c r="I113" s="1348" t="s">
        <v>35</v>
      </c>
      <c r="J113" s="1348" t="s">
        <v>2742</v>
      </c>
      <c r="K113" s="1493">
        <v>45551</v>
      </c>
      <c r="L113" s="1493">
        <v>45551</v>
      </c>
      <c r="M113" s="1493">
        <v>45555</v>
      </c>
      <c r="N113" s="1493"/>
      <c r="O113" s="1540"/>
      <c r="P113" s="1347" t="s">
        <v>2557</v>
      </c>
      <c r="Q113" s="1623">
        <v>9.4095477444999993</v>
      </c>
      <c r="R113" s="1623">
        <v>5.4915999999999991</v>
      </c>
      <c r="S113" s="1495">
        <f t="shared" si="17"/>
        <v>0.5836199729375845</v>
      </c>
      <c r="T113" s="1496">
        <v>578.01635777999991</v>
      </c>
      <c r="U113" s="1496">
        <v>911.94338971223056</v>
      </c>
      <c r="V113" s="1496">
        <v>68.077972470617809</v>
      </c>
      <c r="W113" s="1496">
        <v>44.294835362306209</v>
      </c>
      <c r="X113" s="1496">
        <v>17.636247290016037</v>
      </c>
      <c r="Y113" s="1694">
        <f t="shared" si="13"/>
        <v>8.009057269546066E-2</v>
      </c>
      <c r="Z113" s="1496">
        <v>572.86461317243811</v>
      </c>
      <c r="AA113" s="1496">
        <v>150</v>
      </c>
      <c r="AB113" s="1496">
        <v>40.115058009999998</v>
      </c>
      <c r="AC113" s="1496">
        <f t="shared" ref="AC113:AC127" si="20">U113*H113/10^7</f>
        <v>9.2562254055791406</v>
      </c>
      <c r="AD113" s="1498">
        <f t="shared" ref="AD113:AD127" si="21">T113/(U113-W113-X113)</f>
        <v>0.68000939866304988</v>
      </c>
      <c r="AE113" s="1496">
        <v>15.959009319964036</v>
      </c>
      <c r="AF113" s="1496">
        <v>15.679726656864666</v>
      </c>
      <c r="AG113" s="1496">
        <v>15.405331440369535</v>
      </c>
      <c r="AH113" s="1347"/>
      <c r="AI113" s="1347"/>
      <c r="AJ113" s="1347"/>
      <c r="AK113" s="1347"/>
      <c r="AL113" s="1347"/>
      <c r="AM113" s="1347"/>
      <c r="AN113" s="1347"/>
      <c r="AO113" s="1347"/>
      <c r="AP113" s="1347"/>
      <c r="AQ113" s="1623">
        <f t="shared" si="16"/>
        <v>0</v>
      </c>
      <c r="AR113" s="1350"/>
    </row>
    <row r="114" spans="1:44">
      <c r="A114" s="1521">
        <v>112</v>
      </c>
      <c r="B114" s="1515" t="s">
        <v>2737</v>
      </c>
      <c r="C114" s="1270" t="s">
        <v>29</v>
      </c>
      <c r="D114" s="1448">
        <v>53205</v>
      </c>
      <c r="E114" s="1465" t="s">
        <v>2571</v>
      </c>
      <c r="F114" s="1740" t="s">
        <v>2570</v>
      </c>
      <c r="G114" s="1270" t="s">
        <v>2741</v>
      </c>
      <c r="H114" s="1301">
        <v>18500</v>
      </c>
      <c r="I114" s="1272" t="s">
        <v>35</v>
      </c>
      <c r="J114" s="1272" t="s">
        <v>2742</v>
      </c>
      <c r="K114" s="1280">
        <v>45551</v>
      </c>
      <c r="L114" s="1280">
        <v>45551</v>
      </c>
      <c r="M114" s="1280">
        <v>45555</v>
      </c>
      <c r="N114" s="1280"/>
      <c r="O114" s="1533"/>
      <c r="P114" s="1270" t="s">
        <v>2557</v>
      </c>
      <c r="Q114" s="1390">
        <v>11.615625157961537</v>
      </c>
      <c r="R114" s="1390">
        <v>6.9564999999999992</v>
      </c>
      <c r="S114" s="1286">
        <f t="shared" si="17"/>
        <v>0.59889157108620206</v>
      </c>
      <c r="T114" s="1391">
        <v>755.66511355088596</v>
      </c>
      <c r="U114" s="1391">
        <v>1210.2810251717701</v>
      </c>
      <c r="V114" s="1391">
        <v>93.286710260574282</v>
      </c>
      <c r="W114" s="1391">
        <v>44.294835362306209</v>
      </c>
      <c r="X114" s="1391">
        <v>24.301855574279436</v>
      </c>
      <c r="Y114" s="1409">
        <f t="shared" si="13"/>
        <v>8.1709722611782304E-2</v>
      </c>
      <c r="Z114" s="1391">
        <v>132.96379701008249</v>
      </c>
      <c r="AA114" s="1391">
        <v>8.5</v>
      </c>
      <c r="AB114" s="1391">
        <v>0</v>
      </c>
      <c r="AC114" s="1391">
        <f t="shared" si="20"/>
        <v>2.2390198965677746</v>
      </c>
      <c r="AD114" s="1281">
        <f t="shared" si="21"/>
        <v>0.66188620697603495</v>
      </c>
      <c r="AE114" s="1391">
        <v>21.17991794050598</v>
      </c>
      <c r="AF114" s="1391">
        <v>20.809269376547125</v>
      </c>
      <c r="AG114" s="1391">
        <v>20.445107162457553</v>
      </c>
      <c r="AH114" s="1270"/>
      <c r="AI114" s="1270"/>
      <c r="AJ114" s="1270"/>
      <c r="AK114" s="1270"/>
      <c r="AL114" s="1270"/>
      <c r="AM114" s="1270"/>
      <c r="AN114" s="1270"/>
      <c r="AO114" s="1270"/>
      <c r="AP114" s="1270"/>
      <c r="AQ114" s="1390">
        <f t="shared" si="16"/>
        <v>0</v>
      </c>
      <c r="AR114" s="1624"/>
    </row>
    <row r="115" spans="1:44">
      <c r="A115" s="1521">
        <v>113</v>
      </c>
      <c r="B115" s="1515" t="s">
        <v>2737</v>
      </c>
      <c r="C115" s="1270" t="s">
        <v>29</v>
      </c>
      <c r="D115" s="1448">
        <v>53205</v>
      </c>
      <c r="E115" s="1465" t="s">
        <v>2572</v>
      </c>
      <c r="F115" s="1740" t="s">
        <v>2570</v>
      </c>
      <c r="G115" s="1270" t="s">
        <v>2741</v>
      </c>
      <c r="H115" s="1301">
        <v>4525</v>
      </c>
      <c r="I115" s="1272" t="s">
        <v>35</v>
      </c>
      <c r="J115" s="1272" t="s">
        <v>2742</v>
      </c>
      <c r="K115" s="1280">
        <v>45551</v>
      </c>
      <c r="L115" s="1280">
        <v>45551</v>
      </c>
      <c r="M115" s="1280">
        <v>45555</v>
      </c>
      <c r="N115" s="1280"/>
      <c r="O115" s="1533"/>
      <c r="P115" s="1270" t="s">
        <v>2557</v>
      </c>
      <c r="Q115" s="1390">
        <v>9.5002364544999995</v>
      </c>
      <c r="R115" s="1390">
        <v>5.54</v>
      </c>
      <c r="S115" s="1286">
        <f t="shared" si="17"/>
        <v>0.58314338032879753</v>
      </c>
      <c r="T115" s="1391">
        <v>584.10474900509985</v>
      </c>
      <c r="U115" s="1391">
        <v>921.72439927591108</v>
      </c>
      <c r="V115" s="1391">
        <v>68.856209743800889</v>
      </c>
      <c r="W115" s="1391">
        <v>44.294835362306209</v>
      </c>
      <c r="X115" s="1391">
        <v>17.839784177105503</v>
      </c>
      <c r="Y115" s="1409">
        <f t="shared" si="13"/>
        <v>8.0103569594450308E-2</v>
      </c>
      <c r="Z115" s="1391">
        <v>10.578512151899998</v>
      </c>
      <c r="AA115" s="1391">
        <v>1</v>
      </c>
      <c r="AB115" s="1391">
        <v>0</v>
      </c>
      <c r="AC115" s="1391">
        <f t="shared" si="20"/>
        <v>0.41708029067234975</v>
      </c>
      <c r="AD115" s="1281">
        <f t="shared" si="21"/>
        <v>0.6795156978066359</v>
      </c>
      <c r="AE115" s="1391">
        <v>16.130176987328447</v>
      </c>
      <c r="AF115" s="1391">
        <v>15.847898890050198</v>
      </c>
      <c r="AG115" s="1391">
        <v>15.570560659474319</v>
      </c>
      <c r="AH115" s="1270"/>
      <c r="AI115" s="1270"/>
      <c r="AJ115" s="1270"/>
      <c r="AK115" s="1270"/>
      <c r="AL115" s="1270"/>
      <c r="AM115" s="1270"/>
      <c r="AN115" s="1270"/>
      <c r="AO115" s="1270"/>
      <c r="AP115" s="1270"/>
      <c r="AQ115" s="1390">
        <f t="shared" si="16"/>
        <v>0</v>
      </c>
      <c r="AR115" s="1624"/>
    </row>
    <row r="116" spans="1:44">
      <c r="A116" s="1521">
        <v>114</v>
      </c>
      <c r="B116" s="1515" t="s">
        <v>2737</v>
      </c>
      <c r="C116" s="1270" t="s">
        <v>29</v>
      </c>
      <c r="D116" s="1448">
        <v>53205</v>
      </c>
      <c r="E116" s="1465" t="s">
        <v>2573</v>
      </c>
      <c r="F116" s="1740" t="s">
        <v>2574</v>
      </c>
      <c r="G116" s="1270" t="s">
        <v>2741</v>
      </c>
      <c r="H116" s="1302">
        <v>101500</v>
      </c>
      <c r="I116" s="1272" t="s">
        <v>35</v>
      </c>
      <c r="J116" s="1272" t="s">
        <v>2742</v>
      </c>
      <c r="K116" s="1280">
        <v>45551</v>
      </c>
      <c r="L116" s="1280">
        <v>45551</v>
      </c>
      <c r="M116" s="1280">
        <v>45555</v>
      </c>
      <c r="N116" s="1280"/>
      <c r="O116" s="1533"/>
      <c r="P116" s="1270" t="s">
        <v>2557</v>
      </c>
      <c r="Q116" s="1390">
        <v>9.4717527708999985</v>
      </c>
      <c r="R116" s="1390">
        <v>5.4647999999999994</v>
      </c>
      <c r="S116" s="1286">
        <f t="shared" si="17"/>
        <v>0.57695762676465412</v>
      </c>
      <c r="T116" s="1391">
        <v>565.75598393001701</v>
      </c>
      <c r="U116" s="1391">
        <v>887.89237782350722</v>
      </c>
      <c r="V116" s="1391">
        <v>65.63497885285058</v>
      </c>
      <c r="W116" s="1391">
        <v>44.294835362306209</v>
      </c>
      <c r="X116" s="1391">
        <v>16.971886646313752</v>
      </c>
      <c r="Y116" s="1409">
        <f t="shared" si="13"/>
        <v>7.9401090918412937E-2</v>
      </c>
      <c r="Z116" s="1391">
        <v>540.2797255217381</v>
      </c>
      <c r="AA116" s="1391">
        <v>146.75</v>
      </c>
      <c r="AB116" s="1391">
        <v>40.115058009999998</v>
      </c>
      <c r="AC116" s="1391">
        <f t="shared" si="20"/>
        <v>9.0121076349085989</v>
      </c>
      <c r="AD116" s="1281">
        <f t="shared" si="21"/>
        <v>0.68441619244480745</v>
      </c>
      <c r="AE116" s="1391">
        <v>15.538116611911377</v>
      </c>
      <c r="AF116" s="1391">
        <v>15.266199571202929</v>
      </c>
      <c r="AG116" s="1391">
        <v>14.999041078706878</v>
      </c>
      <c r="AH116" s="1270"/>
      <c r="AI116" s="1270"/>
      <c r="AJ116" s="1270"/>
      <c r="AK116" s="1270"/>
      <c r="AL116" s="1270"/>
      <c r="AM116" s="1270"/>
      <c r="AN116" s="1270"/>
      <c r="AO116" s="1270"/>
      <c r="AP116" s="1270"/>
      <c r="AQ116" s="1390">
        <f t="shared" si="16"/>
        <v>0</v>
      </c>
      <c r="AR116" s="1624"/>
    </row>
    <row r="117" spans="1:44" ht="21.75" thickBot="1">
      <c r="A117" s="1521">
        <v>115</v>
      </c>
      <c r="B117" s="1513" t="s">
        <v>2737</v>
      </c>
      <c r="C117" s="1263" t="s">
        <v>29</v>
      </c>
      <c r="D117" s="1458">
        <v>53205</v>
      </c>
      <c r="E117" s="1466" t="s">
        <v>2575</v>
      </c>
      <c r="F117" s="1651" t="s">
        <v>2574</v>
      </c>
      <c r="G117" s="1263" t="s">
        <v>2741</v>
      </c>
      <c r="H117" s="1303">
        <v>18500</v>
      </c>
      <c r="I117" s="1265" t="s">
        <v>35</v>
      </c>
      <c r="J117" s="1265" t="s">
        <v>2742</v>
      </c>
      <c r="K117" s="1283">
        <v>45551</v>
      </c>
      <c r="L117" s="1283">
        <v>45551</v>
      </c>
      <c r="M117" s="1283">
        <v>45555</v>
      </c>
      <c r="N117" s="1283"/>
      <c r="O117" s="1394"/>
      <c r="P117" s="1263" t="s">
        <v>2557</v>
      </c>
      <c r="Q117" s="1383">
        <v>11.677830184361538</v>
      </c>
      <c r="R117" s="1383">
        <v>6.9229000000000003</v>
      </c>
      <c r="S117" s="1455">
        <f t="shared" si="17"/>
        <v>0.59282417116074004</v>
      </c>
      <c r="T117" s="1384">
        <v>749.14851170090299</v>
      </c>
      <c r="U117" s="1384">
        <v>1191.8521262725055</v>
      </c>
      <c r="V117" s="1384">
        <v>90.896030980169215</v>
      </c>
      <c r="W117" s="1384">
        <v>44.294835362306209</v>
      </c>
      <c r="X117" s="1384">
        <v>23.631378382810674</v>
      </c>
      <c r="Y117" s="1405">
        <f t="shared" si="13"/>
        <v>8.0873685682510854E-2</v>
      </c>
      <c r="Z117" s="1384">
        <v>114.99674006811375</v>
      </c>
      <c r="AA117" s="1384">
        <v>8.5</v>
      </c>
      <c r="AB117" s="1384">
        <v>0</v>
      </c>
      <c r="AC117" s="1384">
        <f t="shared" si="20"/>
        <v>2.2049264336041352</v>
      </c>
      <c r="AD117" s="1284">
        <f t="shared" si="21"/>
        <v>0.66654616941456735</v>
      </c>
      <c r="AE117" s="1384">
        <v>20.857412209768849</v>
      </c>
      <c r="AF117" s="1384">
        <v>20.492407496097893</v>
      </c>
      <c r="AG117" s="1384">
        <v>20.13379036491618</v>
      </c>
      <c r="AH117" s="1263"/>
      <c r="AI117" s="1263"/>
      <c r="AJ117" s="1263"/>
      <c r="AK117" s="1263"/>
      <c r="AL117" s="1263"/>
      <c r="AM117" s="1263"/>
      <c r="AN117" s="1263"/>
      <c r="AO117" s="1263"/>
      <c r="AP117" s="1263"/>
      <c r="AQ117" s="1383">
        <f t="shared" si="16"/>
        <v>0</v>
      </c>
      <c r="AR117" s="1266"/>
    </row>
    <row r="118" spans="1:44" ht="21.75" thickBot="1">
      <c r="A118" s="1521">
        <v>116</v>
      </c>
      <c r="B118" s="1514" t="s">
        <v>2737</v>
      </c>
      <c r="C118" s="1267" t="s">
        <v>29</v>
      </c>
      <c r="D118" s="1459">
        <v>53205</v>
      </c>
      <c r="E118" s="1468" t="s">
        <v>2576</v>
      </c>
      <c r="F118" s="1654" t="s">
        <v>2574</v>
      </c>
      <c r="G118" s="1267" t="s">
        <v>2741</v>
      </c>
      <c r="H118" s="1741">
        <v>4525</v>
      </c>
      <c r="I118" s="1269" t="s">
        <v>35</v>
      </c>
      <c r="J118" s="1269" t="s">
        <v>2742</v>
      </c>
      <c r="K118" s="1386">
        <v>45551</v>
      </c>
      <c r="L118" s="1386">
        <v>45551</v>
      </c>
      <c r="M118" s="1386">
        <v>45555</v>
      </c>
      <c r="N118" s="1386"/>
      <c r="O118" s="1408"/>
      <c r="P118" s="1267" t="s">
        <v>2557</v>
      </c>
      <c r="Q118" s="1387">
        <v>9.5624414808999987</v>
      </c>
      <c r="R118" s="1387">
        <v>5.5131999999999994</v>
      </c>
      <c r="S118" s="1502">
        <f t="shared" si="17"/>
        <v>0.57654731911427159</v>
      </c>
      <c r="T118" s="1388">
        <v>571.84437515511695</v>
      </c>
      <c r="U118" s="1388">
        <v>897.1343773871879</v>
      </c>
      <c r="V118" s="1388">
        <v>66.30821612603367</v>
      </c>
      <c r="W118" s="1388">
        <v>44.294835362306209</v>
      </c>
      <c r="X118" s="1388">
        <v>17.144913533403219</v>
      </c>
      <c r="Y118" s="1402">
        <f t="shared" si="13"/>
        <v>7.9345030906477598E-2</v>
      </c>
      <c r="Z118" s="1388">
        <v>0</v>
      </c>
      <c r="AA118" s="1388">
        <v>0</v>
      </c>
      <c r="AB118" s="1388">
        <v>0</v>
      </c>
      <c r="AC118" s="1388">
        <f t="shared" si="20"/>
        <v>0.40595330576770255</v>
      </c>
      <c r="AD118" s="1275">
        <f t="shared" si="21"/>
        <v>0.68427432181460779</v>
      </c>
      <c r="AE118" s="1388">
        <v>15.699851604275786</v>
      </c>
      <c r="AF118" s="1388">
        <v>15.425104201200961</v>
      </c>
      <c r="AG118" s="1388">
        <v>15.155164877679944</v>
      </c>
      <c r="AH118" s="1267"/>
      <c r="AI118" s="1267"/>
      <c r="AJ118" s="1267"/>
      <c r="AK118" s="1267"/>
      <c r="AL118" s="1267"/>
      <c r="AM118" s="1267"/>
      <c r="AN118" s="1267"/>
      <c r="AO118" s="1267"/>
      <c r="AP118" s="1267"/>
      <c r="AQ118" s="1387">
        <f t="shared" si="16"/>
        <v>0</v>
      </c>
      <c r="AR118" s="1640"/>
    </row>
    <row r="119" spans="1:44" ht="21.75" thickBot="1">
      <c r="A119" s="1521">
        <v>117</v>
      </c>
      <c r="B119" s="1514" t="s">
        <v>2300</v>
      </c>
      <c r="C119" s="1267" t="s">
        <v>29</v>
      </c>
      <c r="D119" s="1459">
        <v>51255</v>
      </c>
      <c r="E119" s="1468" t="s">
        <v>2577</v>
      </c>
      <c r="F119" s="1654" t="s">
        <v>2578</v>
      </c>
      <c r="G119" s="1267" t="s">
        <v>2222</v>
      </c>
      <c r="H119" s="1304">
        <v>172211</v>
      </c>
      <c r="I119" s="1269" t="s">
        <v>35</v>
      </c>
      <c r="J119" s="1269" t="s">
        <v>2306</v>
      </c>
      <c r="K119" s="1386">
        <v>45551</v>
      </c>
      <c r="L119" s="1386">
        <v>45551</v>
      </c>
      <c r="M119" s="1386">
        <v>45555</v>
      </c>
      <c r="N119" s="1386"/>
      <c r="O119" s="1408"/>
      <c r="P119" s="1267" t="s">
        <v>2557</v>
      </c>
      <c r="Q119" s="1387">
        <v>0.94429034699999992</v>
      </c>
      <c r="R119" s="1387">
        <v>0.58820000000000006</v>
      </c>
      <c r="S119" s="1502">
        <f t="shared" si="17"/>
        <v>0.62290163387638664</v>
      </c>
      <c r="T119" s="1388">
        <v>62.515254502110004</v>
      </c>
      <c r="U119" s="1388">
        <v>112.90963012964657</v>
      </c>
      <c r="V119" s="1388">
        <v>9.9431584606205305</v>
      </c>
      <c r="W119" s="1388">
        <v>6.1546683167415779</v>
      </c>
      <c r="X119" s="1388">
        <v>2.6571768567053344</v>
      </c>
      <c r="Y119" s="1276">
        <f t="shared" ref="Y119:Y127" si="22">V119/(U119-W119-X119)</f>
        <v>9.5517483535353123E-2</v>
      </c>
      <c r="Z119" s="1388">
        <v>56.574941980094991</v>
      </c>
      <c r="AA119" s="1388">
        <v>32.5</v>
      </c>
      <c r="AB119" s="1388">
        <v>6.8077342599999993</v>
      </c>
      <c r="AC119" s="1388">
        <f t="shared" si="20"/>
        <v>1.9444280314256568</v>
      </c>
      <c r="AD119" s="1275">
        <f t="shared" si="21"/>
        <v>0.60054356131030084</v>
      </c>
      <c r="AE119" s="1388">
        <v>1.6936444519446987</v>
      </c>
      <c r="AF119" s="1388">
        <v>1.6682397851655284</v>
      </c>
      <c r="AG119" s="1388">
        <v>1.6432161883880454</v>
      </c>
      <c r="AH119" s="1267"/>
      <c r="AI119" s="1267"/>
      <c r="AJ119" s="1267"/>
      <c r="AK119" s="1267"/>
      <c r="AL119" s="1267"/>
      <c r="AM119" s="1267"/>
      <c r="AN119" s="1267"/>
      <c r="AO119" s="1267"/>
      <c r="AP119" s="1267"/>
      <c r="AQ119" s="1387">
        <f t="shared" si="16"/>
        <v>0</v>
      </c>
      <c r="AR119" s="1640"/>
    </row>
    <row r="120" spans="1:44" ht="21.75" thickBot="1">
      <c r="A120" s="1521">
        <v>118</v>
      </c>
      <c r="B120" s="1514" t="s">
        <v>2300</v>
      </c>
      <c r="C120" s="1267" t="s">
        <v>29</v>
      </c>
      <c r="D120" s="1459">
        <v>51259</v>
      </c>
      <c r="E120" s="1468" t="s">
        <v>2579</v>
      </c>
      <c r="F120" s="1654" t="s">
        <v>2580</v>
      </c>
      <c r="G120" s="1267" t="s">
        <v>2222</v>
      </c>
      <c r="H120" s="1304">
        <v>172211</v>
      </c>
      <c r="I120" s="1269" t="s">
        <v>35</v>
      </c>
      <c r="J120" s="1269" t="s">
        <v>2306</v>
      </c>
      <c r="K120" s="1386">
        <v>45551</v>
      </c>
      <c r="L120" s="1386">
        <v>45551</v>
      </c>
      <c r="M120" s="1386">
        <v>45555</v>
      </c>
      <c r="N120" s="1386"/>
      <c r="O120" s="1408"/>
      <c r="P120" s="1267" t="s">
        <v>2557</v>
      </c>
      <c r="Q120" s="1387">
        <v>3.6200197119999995</v>
      </c>
      <c r="R120" s="1387">
        <v>2.3875999999999995</v>
      </c>
      <c r="S120" s="1502">
        <f t="shared" si="17"/>
        <v>0.65955441957549199</v>
      </c>
      <c r="T120" s="1388">
        <v>184.12274896912001</v>
      </c>
      <c r="U120" s="1388">
        <v>332.41325643652272</v>
      </c>
      <c r="V120" s="1388">
        <v>30.00420687140933</v>
      </c>
      <c r="W120" s="1388">
        <v>19.468848757039684</v>
      </c>
      <c r="X120" s="1388">
        <v>8.0350068226041209</v>
      </c>
      <c r="Y120" s="1276">
        <f t="shared" si="22"/>
        <v>9.8403679214511902E-2</v>
      </c>
      <c r="Z120" s="1388">
        <v>214.03509669753751</v>
      </c>
      <c r="AA120" s="1388">
        <v>82.5</v>
      </c>
      <c r="AB120" s="1388">
        <v>16.766277609999999</v>
      </c>
      <c r="AC120" s="1388">
        <f t="shared" si="20"/>
        <v>5.7245219304190007</v>
      </c>
      <c r="AD120" s="1275">
        <f t="shared" si="21"/>
        <v>0.60386051873666302</v>
      </c>
      <c r="AE120" s="1388">
        <v>5.8172319876391478</v>
      </c>
      <c r="AF120" s="1388">
        <v>5.7154304278554626</v>
      </c>
      <c r="AG120" s="1388">
        <v>5.6154103953679924</v>
      </c>
      <c r="AH120" s="1568" t="s">
        <v>2775</v>
      </c>
      <c r="AI120" s="1568"/>
      <c r="AJ120" s="1568">
        <v>327.23</v>
      </c>
      <c r="AK120" s="1568">
        <v>290</v>
      </c>
      <c r="AL120" s="1267"/>
      <c r="AM120" s="1568">
        <v>15</v>
      </c>
      <c r="AN120" s="1568">
        <v>-5.73</v>
      </c>
      <c r="AO120" s="1568">
        <v>-5.73</v>
      </c>
      <c r="AP120" s="1568">
        <v>-5.73</v>
      </c>
      <c r="AQ120" s="1717">
        <f t="shared" si="16"/>
        <v>5.6352605530000002</v>
      </c>
      <c r="AR120" s="1718"/>
    </row>
    <row r="121" spans="1:44" ht="21.75" thickBot="1">
      <c r="A121" s="1521">
        <v>119</v>
      </c>
      <c r="B121" s="1719" t="s">
        <v>2738</v>
      </c>
      <c r="C121" s="1311" t="s">
        <v>29</v>
      </c>
      <c r="D121" s="1487">
        <v>51204</v>
      </c>
      <c r="E121" s="1463" t="s">
        <v>2581</v>
      </c>
      <c r="F121" s="1653" t="s">
        <v>2582</v>
      </c>
      <c r="G121" s="1311" t="s">
        <v>2741</v>
      </c>
      <c r="H121" s="1312">
        <v>138500</v>
      </c>
      <c r="I121" s="1313" t="s">
        <v>35</v>
      </c>
      <c r="J121" s="1313" t="s">
        <v>2306</v>
      </c>
      <c r="K121" s="1430">
        <v>45551</v>
      </c>
      <c r="L121" s="1430">
        <v>45551</v>
      </c>
      <c r="M121" s="1430">
        <v>45555</v>
      </c>
      <c r="N121" s="1430"/>
      <c r="O121" s="1537"/>
      <c r="P121" s="1311" t="s">
        <v>2557</v>
      </c>
      <c r="Q121" s="1431">
        <v>2.5566417096</v>
      </c>
      <c r="R121" s="1431">
        <v>1.6903000000000001</v>
      </c>
      <c r="S121" s="1714">
        <f t="shared" si="17"/>
        <v>0.66114074320740723</v>
      </c>
      <c r="T121" s="1432">
        <v>153.11344836100801</v>
      </c>
      <c r="U121" s="1432">
        <v>230.24897266753743</v>
      </c>
      <c r="V121" s="1432">
        <v>15.904792534138462</v>
      </c>
      <c r="W121" s="1432">
        <v>4.0532086608598066</v>
      </c>
      <c r="X121" s="1432">
        <v>9.0583204831171074</v>
      </c>
      <c r="Y121" s="1433">
        <f t="shared" si="22"/>
        <v>7.3247581237239318E-2</v>
      </c>
      <c r="Z121" s="1432">
        <v>117.33734505772125</v>
      </c>
      <c r="AA121" s="1432">
        <v>45.25</v>
      </c>
      <c r="AB121" s="1432">
        <v>13.739330630000001</v>
      </c>
      <c r="AC121" s="1432">
        <f t="shared" si="20"/>
        <v>3.1889482714453936</v>
      </c>
      <c r="AD121" s="1434">
        <f t="shared" si="21"/>
        <v>0.70514530279248877</v>
      </c>
      <c r="AE121" s="1432">
        <v>4.0293570216819052</v>
      </c>
      <c r="AF121" s="1432">
        <v>3.9588432738024717</v>
      </c>
      <c r="AG121" s="1432">
        <v>3.8895635165109281</v>
      </c>
      <c r="AH121" s="1681" t="s">
        <v>2775</v>
      </c>
      <c r="AI121" s="1681"/>
      <c r="AJ121" s="1681">
        <v>227.14</v>
      </c>
      <c r="AK121" s="1681">
        <v>160</v>
      </c>
      <c r="AL121" s="1311"/>
      <c r="AM121" s="1681">
        <v>13.74</v>
      </c>
      <c r="AN121" s="1681">
        <v>-3.97</v>
      </c>
      <c r="AO121" s="1681">
        <v>-3.97</v>
      </c>
      <c r="AP121" s="1682">
        <v>-3.97</v>
      </c>
      <c r="AQ121" s="1716">
        <f t="shared" si="16"/>
        <v>3.1458889999999995</v>
      </c>
      <c r="AR121" s="1684"/>
    </row>
    <row r="122" spans="1:44">
      <c r="A122" s="1521">
        <v>120</v>
      </c>
      <c r="B122" s="1700" t="s">
        <v>2300</v>
      </c>
      <c r="C122" s="1347" t="s">
        <v>29</v>
      </c>
      <c r="D122" s="1490">
        <v>51221</v>
      </c>
      <c r="E122" s="1737" t="s">
        <v>2583</v>
      </c>
      <c r="F122" s="1738" t="s">
        <v>2584</v>
      </c>
      <c r="G122" s="1347" t="s">
        <v>2222</v>
      </c>
      <c r="H122" s="1739">
        <v>172211</v>
      </c>
      <c r="I122" s="1348" t="s">
        <v>35</v>
      </c>
      <c r="J122" s="1348" t="s">
        <v>2306</v>
      </c>
      <c r="K122" s="1493">
        <v>45551</v>
      </c>
      <c r="L122" s="1493">
        <v>45551</v>
      </c>
      <c r="M122" s="1493">
        <v>45555</v>
      </c>
      <c r="N122" s="1493"/>
      <c r="O122" s="1540"/>
      <c r="P122" s="1347" t="s">
        <v>2557</v>
      </c>
      <c r="Q122" s="1623">
        <v>1.4967489537000001</v>
      </c>
      <c r="R122" s="1623">
        <v>0.70930000000000004</v>
      </c>
      <c r="S122" s="1495">
        <f t="shared" si="17"/>
        <v>0.47389376705197828</v>
      </c>
      <c r="T122" s="1496">
        <v>61.088339390367011</v>
      </c>
      <c r="U122" s="1496">
        <v>125.84355617307313</v>
      </c>
      <c r="V122" s="1496">
        <v>12.482678128140236</v>
      </c>
      <c r="W122" s="1496">
        <v>7.2851175994083972</v>
      </c>
      <c r="X122" s="1496">
        <v>3.400384607896501</v>
      </c>
      <c r="Y122" s="1497">
        <f t="shared" si="22"/>
        <v>0.10839604958808026</v>
      </c>
      <c r="Z122" s="1496">
        <v>129.7082767035825</v>
      </c>
      <c r="AA122" s="1496">
        <v>29.25</v>
      </c>
      <c r="AB122" s="1496">
        <v>7.4996196557142856</v>
      </c>
      <c r="AC122" s="1496">
        <f t="shared" si="20"/>
        <v>2.1671644652121098</v>
      </c>
      <c r="AD122" s="1498">
        <f t="shared" si="21"/>
        <v>0.53047387730714923</v>
      </c>
      <c r="AE122" s="1496">
        <v>2.20226223302878</v>
      </c>
      <c r="AF122" s="1496">
        <v>2.1637226439507762</v>
      </c>
      <c r="AG122" s="1496">
        <v>2.1258574976816376</v>
      </c>
      <c r="AH122" s="1347"/>
      <c r="AI122" s="1347"/>
      <c r="AJ122" s="1347"/>
      <c r="AK122" s="1347"/>
      <c r="AL122" s="1347"/>
      <c r="AM122" s="1347"/>
      <c r="AN122" s="1347"/>
      <c r="AO122" s="1347"/>
      <c r="AP122" s="1347"/>
      <c r="AQ122" s="1623">
        <f t="shared" si="16"/>
        <v>0</v>
      </c>
      <c r="AR122" s="1350"/>
    </row>
    <row r="123" spans="1:44" ht="21.75" thickBot="1">
      <c r="A123" s="1521">
        <v>121</v>
      </c>
      <c r="B123" s="1513" t="s">
        <v>2300</v>
      </c>
      <c r="C123" s="1263" t="s">
        <v>29</v>
      </c>
      <c r="D123" s="1458">
        <v>51221</v>
      </c>
      <c r="E123" s="1466" t="s">
        <v>2585</v>
      </c>
      <c r="F123" s="1651" t="s">
        <v>2586</v>
      </c>
      <c r="G123" s="1263" t="s">
        <v>2222</v>
      </c>
      <c r="H123" s="1310">
        <v>172211</v>
      </c>
      <c r="I123" s="1265" t="s">
        <v>35</v>
      </c>
      <c r="J123" s="1265" t="s">
        <v>2306</v>
      </c>
      <c r="K123" s="1283">
        <v>45551</v>
      </c>
      <c r="L123" s="1283">
        <v>45551</v>
      </c>
      <c r="M123" s="1283">
        <v>45555</v>
      </c>
      <c r="N123" s="1283"/>
      <c r="O123" s="1394"/>
      <c r="P123" s="1263" t="s">
        <v>2557</v>
      </c>
      <c r="Q123" s="1383">
        <v>1.4967489537000001</v>
      </c>
      <c r="R123" s="1383">
        <v>0.70889999999999997</v>
      </c>
      <c r="S123" s="1455">
        <f t="shared" si="17"/>
        <v>0.47362652116614601</v>
      </c>
      <c r="T123" s="1384">
        <v>61.071067390367013</v>
      </c>
      <c r="U123" s="1384">
        <v>125.82514338187313</v>
      </c>
      <c r="V123" s="1384">
        <v>12.482332688140236</v>
      </c>
      <c r="W123" s="1384">
        <v>7.2851175994083972</v>
      </c>
      <c r="X123" s="1384">
        <v>3.4003483366965006</v>
      </c>
      <c r="Y123" s="1285">
        <f t="shared" si="22"/>
        <v>0.10841034962964456</v>
      </c>
      <c r="Z123" s="1384">
        <v>129.7082767035825</v>
      </c>
      <c r="AA123" s="1384">
        <v>29.25</v>
      </c>
      <c r="AB123" s="1384">
        <v>7.4996196557142856</v>
      </c>
      <c r="AC123" s="1384">
        <f t="shared" si="20"/>
        <v>2.1668473766935756</v>
      </c>
      <c r="AD123" s="1284">
        <f t="shared" si="21"/>
        <v>0.53040853288070045</v>
      </c>
      <c r="AE123" s="1384">
        <v>2.2019400091827799</v>
      </c>
      <c r="AF123" s="1384">
        <v>2.1634060590220816</v>
      </c>
      <c r="AG123" s="1384">
        <v>2.125546452989195</v>
      </c>
      <c r="AH123" s="1263"/>
      <c r="AI123" s="1263"/>
      <c r="AJ123" s="1263"/>
      <c r="AK123" s="1263"/>
      <c r="AL123" s="1263"/>
      <c r="AM123" s="1263"/>
      <c r="AN123" s="1263"/>
      <c r="AO123" s="1263"/>
      <c r="AP123" s="1263"/>
      <c r="AQ123" s="1383">
        <f t="shared" si="16"/>
        <v>0</v>
      </c>
      <c r="AR123" s="1266"/>
    </row>
    <row r="124" spans="1:44">
      <c r="A124" s="1521">
        <v>122</v>
      </c>
      <c r="B124" s="1700" t="s">
        <v>2300</v>
      </c>
      <c r="C124" s="1347" t="s">
        <v>29</v>
      </c>
      <c r="D124" s="1490">
        <v>51580</v>
      </c>
      <c r="E124" s="1737" t="s">
        <v>2587</v>
      </c>
      <c r="F124" s="1738" t="s">
        <v>2588</v>
      </c>
      <c r="G124" s="1347" t="s">
        <v>2222</v>
      </c>
      <c r="H124" s="1739">
        <v>128531</v>
      </c>
      <c r="I124" s="1348" t="s">
        <v>35</v>
      </c>
      <c r="J124" s="1348" t="s">
        <v>2306</v>
      </c>
      <c r="K124" s="1493">
        <v>45551</v>
      </c>
      <c r="L124" s="1493">
        <v>45551</v>
      </c>
      <c r="M124" s="1493">
        <v>45555</v>
      </c>
      <c r="N124" s="1493"/>
      <c r="O124" s="1540"/>
      <c r="P124" s="1347" t="s">
        <v>2557</v>
      </c>
      <c r="Q124" s="1623">
        <v>9.5479751716506076</v>
      </c>
      <c r="R124" s="1623">
        <v>4.2429999999999994</v>
      </c>
      <c r="S124" s="1495">
        <f t="shared" si="17"/>
        <v>0.44438741447486296</v>
      </c>
      <c r="T124" s="1496">
        <v>359.35296662408143</v>
      </c>
      <c r="U124" s="1496">
        <v>653.84558796656063</v>
      </c>
      <c r="V124" s="1496">
        <v>59.574062146888281</v>
      </c>
      <c r="W124" s="1496">
        <v>91.189575468456837</v>
      </c>
      <c r="X124" s="1496">
        <v>15.97680747626816</v>
      </c>
      <c r="Y124" s="1497">
        <f t="shared" si="22"/>
        <v>0.10897444351209364</v>
      </c>
      <c r="Z124" s="1496">
        <v>273.69665570016002</v>
      </c>
      <c r="AA124" s="1496">
        <v>138</v>
      </c>
      <c r="AB124" s="1496">
        <v>20.18651985</v>
      </c>
      <c r="AC124" s="1496">
        <f t="shared" si="20"/>
        <v>8.4039427266929998</v>
      </c>
      <c r="AD124" s="1498">
        <f t="shared" si="21"/>
        <v>0.65733791101442762</v>
      </c>
      <c r="AE124" s="1496">
        <v>9.8076838194984095</v>
      </c>
      <c r="AF124" s="1496">
        <v>9.660568562205933</v>
      </c>
      <c r="AG124" s="1496">
        <v>9.5156600337728445</v>
      </c>
      <c r="AH124" s="1347"/>
      <c r="AI124" s="1347"/>
      <c r="AJ124" s="1347"/>
      <c r="AK124" s="1347"/>
      <c r="AL124" s="1347"/>
      <c r="AM124" s="1347"/>
      <c r="AN124" s="1347"/>
      <c r="AO124" s="1347"/>
      <c r="AP124" s="1347"/>
      <c r="AQ124" s="1623">
        <f t="shared" si="16"/>
        <v>0</v>
      </c>
      <c r="AR124" s="1350"/>
    </row>
    <row r="125" spans="1:44">
      <c r="A125" s="1521">
        <v>123</v>
      </c>
      <c r="B125" s="1515" t="s">
        <v>2300</v>
      </c>
      <c r="C125" s="1270" t="s">
        <v>29</v>
      </c>
      <c r="D125" s="1448">
        <v>51580</v>
      </c>
      <c r="E125" s="1465" t="s">
        <v>2589</v>
      </c>
      <c r="F125" s="1740" t="s">
        <v>2588</v>
      </c>
      <c r="G125" s="1270" t="s">
        <v>2222</v>
      </c>
      <c r="H125" s="1301">
        <v>43680</v>
      </c>
      <c r="I125" s="1272" t="s">
        <v>35</v>
      </c>
      <c r="J125" s="1272" t="s">
        <v>2306</v>
      </c>
      <c r="K125" s="1280">
        <v>45551</v>
      </c>
      <c r="L125" s="1280">
        <v>45551</v>
      </c>
      <c r="M125" s="1280">
        <v>45555</v>
      </c>
      <c r="N125" s="1280"/>
      <c r="O125" s="1533"/>
      <c r="P125" s="1270" t="s">
        <v>2557</v>
      </c>
      <c r="Q125" s="1390">
        <v>9.5479751716506076</v>
      </c>
      <c r="R125" s="1390">
        <v>4.2409999999999997</v>
      </c>
      <c r="S125" s="1286">
        <f t="shared" si="17"/>
        <v>0.44417794597876359</v>
      </c>
      <c r="T125" s="1391">
        <v>359.26660662408142</v>
      </c>
      <c r="U125" s="1391">
        <v>653.75352401056068</v>
      </c>
      <c r="V125" s="1391">
        <v>59.572334946888276</v>
      </c>
      <c r="W125" s="1391">
        <v>91.189575468456837</v>
      </c>
      <c r="X125" s="1391">
        <v>15.976626120268159</v>
      </c>
      <c r="Y125" s="1282">
        <f t="shared" si="22"/>
        <v>0.10898960239863115</v>
      </c>
      <c r="Z125" s="1391">
        <v>0</v>
      </c>
      <c r="AA125" s="1391">
        <v>0</v>
      </c>
      <c r="AB125" s="1391">
        <v>0</v>
      </c>
      <c r="AC125" s="1391">
        <f t="shared" si="20"/>
        <v>2.8555953928781288</v>
      </c>
      <c r="AD125" s="1281">
        <f t="shared" si="21"/>
        <v>0.65729041250395648</v>
      </c>
      <c r="AE125" s="1391">
        <v>9.806302860158409</v>
      </c>
      <c r="AF125" s="1391">
        <v>9.6592083172560308</v>
      </c>
      <c r="AG125" s="1391">
        <v>9.5143201924971912</v>
      </c>
      <c r="AH125" s="1270"/>
      <c r="AI125" s="1270"/>
      <c r="AJ125" s="1270"/>
      <c r="AK125" s="1270"/>
      <c r="AL125" s="1270"/>
      <c r="AM125" s="1270"/>
      <c r="AN125" s="1270"/>
      <c r="AO125" s="1270"/>
      <c r="AP125" s="1270"/>
      <c r="AQ125" s="1390">
        <f t="shared" si="16"/>
        <v>0</v>
      </c>
      <c r="AR125" s="1624"/>
    </row>
    <row r="126" spans="1:44">
      <c r="A126" s="1521">
        <v>124</v>
      </c>
      <c r="B126" s="1515" t="s">
        <v>2300</v>
      </c>
      <c r="C126" s="1270" t="s">
        <v>29</v>
      </c>
      <c r="D126" s="1448">
        <v>51580</v>
      </c>
      <c r="E126" s="1465" t="s">
        <v>2590</v>
      </c>
      <c r="F126" s="1740" t="s">
        <v>2591</v>
      </c>
      <c r="G126" s="1270" t="s">
        <v>2222</v>
      </c>
      <c r="H126" s="1302">
        <v>128531</v>
      </c>
      <c r="I126" s="1272" t="s">
        <v>35</v>
      </c>
      <c r="J126" s="1272" t="s">
        <v>2306</v>
      </c>
      <c r="K126" s="1280">
        <v>45551</v>
      </c>
      <c r="L126" s="1280">
        <v>45551</v>
      </c>
      <c r="M126" s="1280">
        <v>45555</v>
      </c>
      <c r="N126" s="1280"/>
      <c r="O126" s="1533"/>
      <c r="P126" s="1270" t="s">
        <v>2557</v>
      </c>
      <c r="Q126" s="1390">
        <v>9.7464962012181751</v>
      </c>
      <c r="R126" s="1390">
        <v>4.7359999999999998</v>
      </c>
      <c r="S126" s="1286">
        <f t="shared" si="17"/>
        <v>0.48591821124478213</v>
      </c>
      <c r="T126" s="1391">
        <v>385.74894797855546</v>
      </c>
      <c r="U126" s="1391">
        <v>685.38314094241764</v>
      </c>
      <c r="V126" s="1391">
        <v>60.792754162020415</v>
      </c>
      <c r="W126" s="1391">
        <v>91.189575468456837</v>
      </c>
      <c r="X126" s="1391">
        <v>16.232957756723806</v>
      </c>
      <c r="Y126" s="1282">
        <f t="shared" si="22"/>
        <v>0.1051849440087841</v>
      </c>
      <c r="Z126" s="1391">
        <v>278.07345176688</v>
      </c>
      <c r="AA126" s="1391">
        <v>138.5</v>
      </c>
      <c r="AB126" s="1391">
        <v>20.18651985</v>
      </c>
      <c r="AC126" s="1391">
        <f t="shared" si="20"/>
        <v>8.8092980488469887</v>
      </c>
      <c r="AD126" s="1281">
        <f t="shared" si="21"/>
        <v>0.66743121041093567</v>
      </c>
      <c r="AE126" s="1391">
        <v>10.280747114136267</v>
      </c>
      <c r="AF126" s="1391">
        <v>10.126535907424222</v>
      </c>
      <c r="AG126" s="1391">
        <v>9.9746378688128594</v>
      </c>
      <c r="AH126" s="1270"/>
      <c r="AI126" s="1270"/>
      <c r="AJ126" s="1270"/>
      <c r="AK126" s="1270"/>
      <c r="AL126" s="1270"/>
      <c r="AM126" s="1270"/>
      <c r="AN126" s="1270"/>
      <c r="AO126" s="1270"/>
      <c r="AP126" s="1270"/>
      <c r="AQ126" s="1390">
        <f t="shared" si="16"/>
        <v>0</v>
      </c>
      <c r="AR126" s="1624"/>
    </row>
    <row r="127" spans="1:44" ht="21.75" thickBot="1">
      <c r="A127" s="1521">
        <v>125</v>
      </c>
      <c r="B127" s="1513" t="s">
        <v>2300</v>
      </c>
      <c r="C127" s="1263" t="s">
        <v>29</v>
      </c>
      <c r="D127" s="1458">
        <v>51580</v>
      </c>
      <c r="E127" s="1466" t="s">
        <v>2592</v>
      </c>
      <c r="F127" s="1651" t="s">
        <v>2591</v>
      </c>
      <c r="G127" s="1263" t="s">
        <v>2222</v>
      </c>
      <c r="H127" s="1303">
        <v>43680</v>
      </c>
      <c r="I127" s="1265" t="s">
        <v>35</v>
      </c>
      <c r="J127" s="1265" t="s">
        <v>2306</v>
      </c>
      <c r="K127" s="1283">
        <v>45551</v>
      </c>
      <c r="L127" s="1283">
        <v>45551</v>
      </c>
      <c r="M127" s="1283">
        <v>45555</v>
      </c>
      <c r="N127" s="1283"/>
      <c r="O127" s="1394"/>
      <c r="P127" s="1263" t="s">
        <v>2557</v>
      </c>
      <c r="Q127" s="1383">
        <v>9.7464962012181751</v>
      </c>
      <c r="R127" s="1383">
        <v>4.7359999999999998</v>
      </c>
      <c r="S127" s="1455">
        <f t="shared" si="17"/>
        <v>0.48591821124478213</v>
      </c>
      <c r="T127" s="1384">
        <v>385.74894797855546</v>
      </c>
      <c r="U127" s="1384">
        <v>685.38314094241764</v>
      </c>
      <c r="V127" s="1384">
        <v>60.792754162020415</v>
      </c>
      <c r="W127" s="1384">
        <v>91.189575468456837</v>
      </c>
      <c r="X127" s="1384">
        <v>16.232957756723806</v>
      </c>
      <c r="Y127" s="1285">
        <f t="shared" si="22"/>
        <v>0.1051849440087841</v>
      </c>
      <c r="Z127" s="1384">
        <v>0</v>
      </c>
      <c r="AA127" s="1384">
        <v>0</v>
      </c>
      <c r="AB127" s="1384">
        <v>0</v>
      </c>
      <c r="AC127" s="1384">
        <f t="shared" si="20"/>
        <v>2.9937535596364802</v>
      </c>
      <c r="AD127" s="1284">
        <f t="shared" si="21"/>
        <v>0.66743121041093567</v>
      </c>
      <c r="AE127" s="1384">
        <v>10.280747114136267</v>
      </c>
      <c r="AF127" s="1384">
        <v>10.126535907424222</v>
      </c>
      <c r="AG127" s="1384">
        <v>9.9746378688128594</v>
      </c>
      <c r="AH127" s="1263"/>
      <c r="AI127" s="1263"/>
      <c r="AJ127" s="1263"/>
      <c r="AK127" s="1263"/>
      <c r="AL127" s="1263"/>
      <c r="AM127" s="1263"/>
      <c r="AN127" s="1263"/>
      <c r="AO127" s="1263"/>
      <c r="AP127" s="1263"/>
      <c r="AQ127" s="1383">
        <f t="shared" si="16"/>
        <v>0</v>
      </c>
      <c r="AR127" s="1266"/>
    </row>
    <row r="128" spans="1:44" ht="21.75" thickBot="1">
      <c r="A128" s="1521">
        <v>126</v>
      </c>
      <c r="B128" s="1517" t="s">
        <v>2738</v>
      </c>
      <c r="C128" s="1307" t="s">
        <v>29</v>
      </c>
      <c r="D128" s="1486">
        <v>53166</v>
      </c>
      <c r="E128" s="1462" t="s">
        <v>2593</v>
      </c>
      <c r="F128" s="1649" t="s">
        <v>2594</v>
      </c>
      <c r="G128" s="1307" t="s">
        <v>2741</v>
      </c>
      <c r="H128" s="1308">
        <v>138500</v>
      </c>
      <c r="I128" s="1309" t="s">
        <v>35</v>
      </c>
      <c r="J128" s="1309" t="s">
        <v>2306</v>
      </c>
      <c r="K128" s="1421">
        <v>45551</v>
      </c>
      <c r="L128" s="1421">
        <v>45551</v>
      </c>
      <c r="M128" s="1421">
        <v>45555</v>
      </c>
      <c r="N128" s="1421"/>
      <c r="O128" s="1536"/>
      <c r="P128" s="1307" t="s">
        <v>2557</v>
      </c>
      <c r="Q128" s="1422">
        <v>8.8991388485999998</v>
      </c>
      <c r="R128" s="1422">
        <v>6.2807999999999993</v>
      </c>
      <c r="S128" s="1453">
        <f t="shared" si="17"/>
        <v>0.70577615507011515</v>
      </c>
      <c r="T128" s="1423">
        <v>495.11619428193194</v>
      </c>
      <c r="U128" s="1423">
        <v>642.59353634974968</v>
      </c>
      <c r="V128" s="1423">
        <v>30.948265302256388</v>
      </c>
      <c r="W128" s="1423">
        <v>9.0583204831171074</v>
      </c>
      <c r="X128" s="1423">
        <v>7.1550932710492718</v>
      </c>
      <c r="Y128" s="1335">
        <f t="shared" ref="Y128:Y178" si="23">V128/(U128-W128-X128)</f>
        <v>4.9408121659438191E-2</v>
      </c>
      <c r="Z128" s="1423">
        <v>342.573722204175</v>
      </c>
      <c r="AA128" s="1423">
        <v>54.75</v>
      </c>
      <c r="AB128" s="1423">
        <v>25.675362099999994</v>
      </c>
      <c r="AC128" s="1423">
        <f t="shared" ref="AC128:AC178" si="24">U128*H128/10^7</f>
        <v>8.8999204784440344</v>
      </c>
      <c r="AD128" s="1334">
        <f t="shared" ref="AD128:AD178" si="25">T128/(U128-W128-X128)</f>
        <v>0.79044046326099537</v>
      </c>
      <c r="AE128" s="1423">
        <v>6.4259353634974969</v>
      </c>
      <c r="AF128" s="1423">
        <v>6.3616760098625216</v>
      </c>
      <c r="AG128" s="1423">
        <v>6.2980592497638961</v>
      </c>
      <c r="AH128" s="1569" t="s">
        <v>2775</v>
      </c>
      <c r="AI128" s="1569"/>
      <c r="AJ128" s="1569">
        <v>634.82000000000005</v>
      </c>
      <c r="AK128" s="1569">
        <v>385</v>
      </c>
      <c r="AL128" s="1307"/>
      <c r="AM128" s="1569">
        <v>23</v>
      </c>
      <c r="AN128" s="1569">
        <v>-6.35</v>
      </c>
      <c r="AO128" s="1569">
        <v>-6.35</v>
      </c>
      <c r="AP128" s="1578">
        <v>-6.35</v>
      </c>
      <c r="AQ128" s="1699">
        <f t="shared" si="16"/>
        <v>8.7922569999999993</v>
      </c>
      <c r="AR128" s="1619"/>
    </row>
    <row r="129" spans="1:44" ht="21.75" thickBot="1">
      <c r="A129" s="1521">
        <v>127</v>
      </c>
      <c r="B129" s="1516" t="s">
        <v>2435</v>
      </c>
      <c r="C129" s="1471" t="s">
        <v>29</v>
      </c>
      <c r="D129" s="1585">
        <v>52365</v>
      </c>
      <c r="E129" s="1690" t="s">
        <v>2595</v>
      </c>
      <c r="F129" s="1691" t="s">
        <v>2594</v>
      </c>
      <c r="G129" s="1471" t="s">
        <v>2741</v>
      </c>
      <c r="H129" s="1742">
        <v>68600</v>
      </c>
      <c r="I129" s="1474" t="s">
        <v>35</v>
      </c>
      <c r="J129" s="1474" t="s">
        <v>2467</v>
      </c>
      <c r="K129" s="1475">
        <v>45551</v>
      </c>
      <c r="L129" s="1475">
        <v>45551</v>
      </c>
      <c r="M129" s="1475">
        <v>45555</v>
      </c>
      <c r="N129" s="1475"/>
      <c r="O129" s="1539"/>
      <c r="P129" s="1471" t="s">
        <v>2379</v>
      </c>
      <c r="Q129" s="1476">
        <v>7.9749201839999992</v>
      </c>
      <c r="R129" s="1476">
        <v>6.1406000000000001</v>
      </c>
      <c r="S129" s="1499">
        <f t="shared" si="17"/>
        <v>0.76998889748386734</v>
      </c>
      <c r="T129" s="1478">
        <v>462.44920939927999</v>
      </c>
      <c r="U129" s="1478">
        <v>635.04118037600131</v>
      </c>
      <c r="V129" s="1478">
        <v>35.398488908111545</v>
      </c>
      <c r="W129" s="1478">
        <v>18.288300100753926</v>
      </c>
      <c r="X129" s="1478">
        <v>8.5694422827007983</v>
      </c>
      <c r="Y129" s="1482">
        <f t="shared" si="23"/>
        <v>5.8203638403822103E-2</v>
      </c>
      <c r="Z129" s="1478">
        <v>301.43569947298499</v>
      </c>
      <c r="AA129" s="1478">
        <v>42.5</v>
      </c>
      <c r="AB129" s="1478">
        <v>28.897963139999998</v>
      </c>
      <c r="AC129" s="1478">
        <f t="shared" si="24"/>
        <v>4.3563824973793697</v>
      </c>
      <c r="AD129" s="1477">
        <f t="shared" si="25"/>
        <v>0.76037784081346094</v>
      </c>
      <c r="AE129" s="1478">
        <v>9.5256177056400233</v>
      </c>
      <c r="AF129" s="1478">
        <v>9.3827334400554232</v>
      </c>
      <c r="AG129" s="1478">
        <v>9.2419924384545915</v>
      </c>
      <c r="AH129" s="1471"/>
      <c r="AI129" s="1471"/>
      <c r="AJ129" s="1471"/>
      <c r="AK129" s="1471"/>
      <c r="AL129" s="1471"/>
      <c r="AM129" s="1471"/>
      <c r="AN129" s="1471"/>
      <c r="AO129" s="1471"/>
      <c r="AP129" s="1574"/>
      <c r="AQ129" s="1414">
        <f t="shared" si="16"/>
        <v>0</v>
      </c>
      <c r="AR129" s="1613"/>
    </row>
    <row r="130" spans="1:44">
      <c r="A130" s="1521">
        <v>128</v>
      </c>
      <c r="B130" s="1700" t="s">
        <v>2300</v>
      </c>
      <c r="C130" s="1347" t="s">
        <v>29</v>
      </c>
      <c r="D130" s="1490">
        <v>51161</v>
      </c>
      <c r="E130" s="1737" t="s">
        <v>2596</v>
      </c>
      <c r="F130" s="1738" t="s">
        <v>2597</v>
      </c>
      <c r="G130" s="1347" t="s">
        <v>2222</v>
      </c>
      <c r="H130" s="1739">
        <v>172211</v>
      </c>
      <c r="I130" s="1348" t="s">
        <v>35</v>
      </c>
      <c r="J130" s="1348" t="s">
        <v>2306</v>
      </c>
      <c r="K130" s="1493">
        <v>45551</v>
      </c>
      <c r="L130" s="1493">
        <v>45551</v>
      </c>
      <c r="M130" s="1493">
        <v>45555</v>
      </c>
      <c r="N130" s="1493"/>
      <c r="O130" s="1540"/>
      <c r="P130" s="1347" t="s">
        <v>2557</v>
      </c>
      <c r="Q130" s="1623">
        <v>3.1101035229622642</v>
      </c>
      <c r="R130" s="1623">
        <v>2.0135000000000001</v>
      </c>
      <c r="S130" s="1495">
        <f t="shared" si="17"/>
        <v>0.64740610244452956</v>
      </c>
      <c r="T130" s="1496">
        <v>162.16265639121221</v>
      </c>
      <c r="U130" s="1496">
        <v>281.61542671698027</v>
      </c>
      <c r="V130" s="1496">
        <v>23.857972044849362</v>
      </c>
      <c r="W130" s="1496">
        <v>30.522130632004139</v>
      </c>
      <c r="X130" s="1496">
        <v>6.3305899037399866</v>
      </c>
      <c r="Y130" s="1497">
        <f t="shared" si="23"/>
        <v>9.7473885695574761E-2</v>
      </c>
      <c r="Z130" s="1496">
        <v>93.841479630359999</v>
      </c>
      <c r="AA130" s="1496">
        <v>49.25</v>
      </c>
      <c r="AB130" s="1496">
        <v>11.937007569999999</v>
      </c>
      <c r="AC130" s="1496">
        <f t="shared" si="24"/>
        <v>4.8497274250357885</v>
      </c>
      <c r="AD130" s="1498">
        <f t="shared" si="25"/>
        <v>0.66253008442853967</v>
      </c>
      <c r="AE130" s="1496">
        <v>4.2242314007547046</v>
      </c>
      <c r="AF130" s="1496">
        <v>4.1608679297433842</v>
      </c>
      <c r="AG130" s="1496">
        <v>4.0984549107972326</v>
      </c>
      <c r="AH130" s="1347"/>
      <c r="AI130" s="1347"/>
      <c r="AJ130" s="1347"/>
      <c r="AK130" s="1347"/>
      <c r="AL130" s="1347"/>
      <c r="AM130" s="1347"/>
      <c r="AN130" s="1347"/>
      <c r="AO130" s="1347"/>
      <c r="AP130" s="1347"/>
      <c r="AQ130" s="1623">
        <f t="shared" si="16"/>
        <v>0</v>
      </c>
      <c r="AR130" s="1350"/>
    </row>
    <row r="131" spans="1:44">
      <c r="A131" s="1521">
        <v>129</v>
      </c>
      <c r="B131" s="1515" t="s">
        <v>2300</v>
      </c>
      <c r="C131" s="1270" t="s">
        <v>29</v>
      </c>
      <c r="D131" s="1448">
        <v>51161</v>
      </c>
      <c r="E131" s="1465" t="s">
        <v>2747</v>
      </c>
      <c r="F131" s="1740" t="s">
        <v>2599</v>
      </c>
      <c r="G131" s="1270" t="s">
        <v>2222</v>
      </c>
      <c r="H131" s="1302">
        <v>172211</v>
      </c>
      <c r="I131" s="1272" t="s">
        <v>35</v>
      </c>
      <c r="J131" s="1272" t="s">
        <v>2306</v>
      </c>
      <c r="K131" s="1280">
        <v>45551</v>
      </c>
      <c r="L131" s="1280">
        <v>45551</v>
      </c>
      <c r="M131" s="1280">
        <v>45555</v>
      </c>
      <c r="N131" s="1280"/>
      <c r="O131" s="1533"/>
      <c r="P131" s="1270" t="s">
        <v>2557</v>
      </c>
      <c r="Q131" s="1390">
        <v>3.1101035229622642</v>
      </c>
      <c r="R131" s="1390">
        <v>2.0133000000000001</v>
      </c>
      <c r="S131" s="1286">
        <f t="shared" si="17"/>
        <v>0.64734179590343754</v>
      </c>
      <c r="T131" s="1391">
        <v>162.15402039121219</v>
      </c>
      <c r="U131" s="1391">
        <v>281.60622032138031</v>
      </c>
      <c r="V131" s="1391">
        <v>23.857799324849363</v>
      </c>
      <c r="W131" s="1391">
        <v>30.522130632004139</v>
      </c>
      <c r="X131" s="1391">
        <v>6.3305717681399871</v>
      </c>
      <c r="Y131" s="1282">
        <f t="shared" si="23"/>
        <v>9.7476839260496398E-2</v>
      </c>
      <c r="Z131" s="1391">
        <v>83.495652242310001</v>
      </c>
      <c r="AA131" s="1391">
        <v>49.25</v>
      </c>
      <c r="AB131" s="1391">
        <v>11.937007569999999</v>
      </c>
      <c r="AC131" s="1391">
        <f t="shared" si="24"/>
        <v>4.8495688807765225</v>
      </c>
      <c r="AD131" s="1281">
        <f t="shared" si="25"/>
        <v>0.66251967190679872</v>
      </c>
      <c r="AE131" s="1391">
        <v>4.2240933048207046</v>
      </c>
      <c r="AF131" s="1391">
        <v>4.1607319052483938</v>
      </c>
      <c r="AG131" s="1391">
        <v>4.0983209266696683</v>
      </c>
      <c r="AH131" s="1270"/>
      <c r="AI131" s="1270"/>
      <c r="AJ131" s="1270"/>
      <c r="AK131" s="1270"/>
      <c r="AL131" s="1270"/>
      <c r="AM131" s="1270"/>
      <c r="AN131" s="1270"/>
      <c r="AO131" s="1270"/>
      <c r="AP131" s="1270"/>
      <c r="AQ131" s="1390">
        <f t="shared" si="16"/>
        <v>0</v>
      </c>
      <c r="AR131" s="1624"/>
    </row>
    <row r="132" spans="1:44">
      <c r="A132" s="1521">
        <v>130</v>
      </c>
      <c r="B132" s="1515" t="s">
        <v>2300</v>
      </c>
      <c r="C132" s="1270" t="s">
        <v>29</v>
      </c>
      <c r="D132" s="1448">
        <v>51161</v>
      </c>
      <c r="E132" s="1465" t="s">
        <v>2598</v>
      </c>
      <c r="F132" s="1740" t="s">
        <v>2597</v>
      </c>
      <c r="G132" s="1270" t="s">
        <v>2222</v>
      </c>
      <c r="H132" s="1302">
        <v>172211</v>
      </c>
      <c r="I132" s="1272" t="s">
        <v>35</v>
      </c>
      <c r="J132" s="1272" t="s">
        <v>2306</v>
      </c>
      <c r="K132" s="1280">
        <v>45551</v>
      </c>
      <c r="L132" s="1280">
        <v>45551</v>
      </c>
      <c r="M132" s="1280">
        <v>45555</v>
      </c>
      <c r="N132" s="1280"/>
      <c r="O132" s="1533"/>
      <c r="P132" s="1270" t="s">
        <v>2557</v>
      </c>
      <c r="Q132" s="1390">
        <v>3.1801486365622638</v>
      </c>
      <c r="R132" s="1390">
        <v>2.0135000000000001</v>
      </c>
      <c r="S132" s="1286">
        <f t="shared" si="17"/>
        <v>0.6331465066917723</v>
      </c>
      <c r="T132" s="1391">
        <v>251.80233449156415</v>
      </c>
      <c r="U132" s="1391">
        <v>381.55193287485537</v>
      </c>
      <c r="V132" s="1391">
        <v>27.0087656068564</v>
      </c>
      <c r="W132" s="1391">
        <v>30.522130632004139</v>
      </c>
      <c r="X132" s="1391">
        <v>6.9134292277507265</v>
      </c>
      <c r="Y132" s="1282">
        <f t="shared" si="23"/>
        <v>7.8487301752628899E-2</v>
      </c>
      <c r="Z132" s="1391">
        <v>111.41692707568501</v>
      </c>
      <c r="AA132" s="1391">
        <v>49.25</v>
      </c>
      <c r="AB132" s="1391">
        <v>11.937007569999999</v>
      </c>
      <c r="AC132" s="1391">
        <f t="shared" si="24"/>
        <v>6.570743991231172</v>
      </c>
      <c r="AD132" s="1281">
        <f t="shared" si="25"/>
        <v>0.73173598886128721</v>
      </c>
      <c r="AE132" s="1391">
        <v>6.6771588253099692</v>
      </c>
      <c r="AF132" s="1391">
        <v>6.5603085458670449</v>
      </c>
      <c r="AG132" s="1391">
        <v>6.4455031463143726</v>
      </c>
      <c r="AH132" s="1270"/>
      <c r="AI132" s="1270"/>
      <c r="AJ132" s="1270"/>
      <c r="AK132" s="1270"/>
      <c r="AL132" s="1270"/>
      <c r="AM132" s="1270"/>
      <c r="AN132" s="1270"/>
      <c r="AO132" s="1270"/>
      <c r="AP132" s="1270"/>
      <c r="AQ132" s="1390">
        <f t="shared" ref="AQ132:AQ195" si="26">AJ132*H132/10^7</f>
        <v>0</v>
      </c>
      <c r="AR132" s="1624"/>
    </row>
    <row r="133" spans="1:44" ht="21.75" thickBot="1">
      <c r="A133" s="1521">
        <v>131</v>
      </c>
      <c r="B133" s="1513" t="s">
        <v>2300</v>
      </c>
      <c r="C133" s="1263" t="s">
        <v>29</v>
      </c>
      <c r="D133" s="1458">
        <v>51161</v>
      </c>
      <c r="E133" s="1466" t="s">
        <v>2748</v>
      </c>
      <c r="F133" s="1651" t="s">
        <v>2599</v>
      </c>
      <c r="G133" s="1263" t="s">
        <v>2222</v>
      </c>
      <c r="H133" s="1310">
        <v>172211</v>
      </c>
      <c r="I133" s="1265" t="s">
        <v>35</v>
      </c>
      <c r="J133" s="1265" t="s">
        <v>2306</v>
      </c>
      <c r="K133" s="1283">
        <v>45551</v>
      </c>
      <c r="L133" s="1283">
        <v>45551</v>
      </c>
      <c r="M133" s="1283">
        <v>45555</v>
      </c>
      <c r="N133" s="1283"/>
      <c r="O133" s="1394"/>
      <c r="P133" s="1263" t="s">
        <v>2557</v>
      </c>
      <c r="Q133" s="1383">
        <v>3.1801486365622642</v>
      </c>
      <c r="R133" s="1383">
        <v>2.0133000000000001</v>
      </c>
      <c r="S133" s="1455">
        <f t="shared" si="17"/>
        <v>0.63308361654956302</v>
      </c>
      <c r="T133" s="1384">
        <v>251.79369849156413</v>
      </c>
      <c r="U133" s="1384">
        <v>381.54272647925529</v>
      </c>
      <c r="V133" s="1384">
        <v>27.008592886856398</v>
      </c>
      <c r="W133" s="1384">
        <v>30.522130632004139</v>
      </c>
      <c r="X133" s="1384">
        <v>6.9134110921507244</v>
      </c>
      <c r="Y133" s="1285">
        <f t="shared" si="23"/>
        <v>7.8488895563393404E-2</v>
      </c>
      <c r="Z133" s="1384">
        <v>101.07109968763501</v>
      </c>
      <c r="AA133" s="1384">
        <v>49.25</v>
      </c>
      <c r="AB133" s="1384">
        <v>11.937007569999999</v>
      </c>
      <c r="AC133" s="1384">
        <f t="shared" si="24"/>
        <v>6.5705854469719034</v>
      </c>
      <c r="AD133" s="1284">
        <f t="shared" si="25"/>
        <v>0.73173043065277643</v>
      </c>
      <c r="AE133" s="1384">
        <v>6.6769977133869682</v>
      </c>
      <c r="AF133" s="1384">
        <v>6.5601502534026963</v>
      </c>
      <c r="AG133" s="1384">
        <v>6.4453476239681491</v>
      </c>
      <c r="AH133" s="1263"/>
      <c r="AI133" s="1263"/>
      <c r="AJ133" s="1263"/>
      <c r="AK133" s="1263"/>
      <c r="AL133" s="1263"/>
      <c r="AM133" s="1263"/>
      <c r="AN133" s="1263"/>
      <c r="AO133" s="1263"/>
      <c r="AP133" s="1263"/>
      <c r="AQ133" s="1383">
        <f t="shared" si="26"/>
        <v>0</v>
      </c>
      <c r="AR133" s="1266"/>
    </row>
    <row r="134" spans="1:44" ht="21.75" thickBot="1">
      <c r="A134" s="1521">
        <v>132</v>
      </c>
      <c r="B134" s="1518" t="s">
        <v>2300</v>
      </c>
      <c r="C134" s="1311" t="s">
        <v>29</v>
      </c>
      <c r="D134" s="1487">
        <v>51238</v>
      </c>
      <c r="E134" s="1463" t="s">
        <v>2603</v>
      </c>
      <c r="F134" s="1653" t="s">
        <v>2604</v>
      </c>
      <c r="G134" s="1311" t="s">
        <v>2222</v>
      </c>
      <c r="H134" s="1312">
        <v>43680</v>
      </c>
      <c r="I134" s="1313" t="s">
        <v>35</v>
      </c>
      <c r="J134" s="1313" t="s">
        <v>2306</v>
      </c>
      <c r="K134" s="1430">
        <v>45551</v>
      </c>
      <c r="L134" s="1430">
        <v>45551</v>
      </c>
      <c r="M134" s="1430">
        <v>45555</v>
      </c>
      <c r="N134" s="1430"/>
      <c r="O134" s="1537"/>
      <c r="P134" s="1311" t="s">
        <v>2557</v>
      </c>
      <c r="Q134" s="1431">
        <v>7.7530918079999989</v>
      </c>
      <c r="R134" s="1431">
        <v>3.9489999999999994</v>
      </c>
      <c r="S134" s="1714">
        <f t="shared" si="17"/>
        <v>0.50934518741610135</v>
      </c>
      <c r="T134" s="1432">
        <v>350.43943500223992</v>
      </c>
      <c r="U134" s="1432">
        <v>533.31051342373701</v>
      </c>
      <c r="V134" s="1432">
        <v>34.248184157300713</v>
      </c>
      <c r="W134" s="1432">
        <v>8.6509128649416365</v>
      </c>
      <c r="X134" s="1432">
        <v>31.693252163994426</v>
      </c>
      <c r="Y134" s="1433">
        <f t="shared" si="23"/>
        <v>6.9473675574042312E-2</v>
      </c>
      <c r="Z134" s="1432">
        <v>194.10603620940003</v>
      </c>
      <c r="AA134" s="1432">
        <v>71</v>
      </c>
      <c r="AB134" s="1432">
        <v>22.07894525</v>
      </c>
      <c r="AC134" s="1432">
        <f t="shared" si="24"/>
        <v>2.3295003226348832</v>
      </c>
      <c r="AD134" s="1434">
        <f t="shared" si="25"/>
        <v>0.71087902073507103</v>
      </c>
      <c r="AE134" s="1432">
        <v>7.9996577013560533</v>
      </c>
      <c r="AF134" s="1432">
        <v>7.8796628358357133</v>
      </c>
      <c r="AG134" s="1432">
        <v>7.7614678932981782</v>
      </c>
      <c r="AH134" s="1681" t="s">
        <v>2775</v>
      </c>
      <c r="AI134" s="1681"/>
      <c r="AJ134" s="1681">
        <v>522</v>
      </c>
      <c r="AK134" s="1681">
        <v>262</v>
      </c>
      <c r="AL134" s="1311"/>
      <c r="AM134" s="1681">
        <v>20.83</v>
      </c>
      <c r="AN134" s="1681">
        <v>-7.83</v>
      </c>
      <c r="AO134" s="1681">
        <v>-7.83</v>
      </c>
      <c r="AP134" s="1682">
        <v>-7.83</v>
      </c>
      <c r="AQ134" s="1716">
        <f t="shared" si="26"/>
        <v>2.2800959999999999</v>
      </c>
      <c r="AR134" s="1684"/>
    </row>
    <row r="135" spans="1:44" ht="18.600000000000001" customHeight="1">
      <c r="A135" s="1521">
        <v>133</v>
      </c>
      <c r="B135" s="1700" t="s">
        <v>2300</v>
      </c>
      <c r="C135" s="1347" t="s">
        <v>29</v>
      </c>
      <c r="D135" s="1490">
        <v>51159</v>
      </c>
      <c r="E135" s="1737" t="s">
        <v>2605</v>
      </c>
      <c r="F135" s="1738" t="s">
        <v>2606</v>
      </c>
      <c r="G135" s="1347" t="s">
        <v>2222</v>
      </c>
      <c r="H135" s="1739">
        <v>172211</v>
      </c>
      <c r="I135" s="1348" t="s">
        <v>35</v>
      </c>
      <c r="J135" s="1348" t="s">
        <v>2306</v>
      </c>
      <c r="K135" s="1493">
        <v>45551</v>
      </c>
      <c r="L135" s="1493">
        <v>45551</v>
      </c>
      <c r="M135" s="1493">
        <v>45555</v>
      </c>
      <c r="N135" s="1493"/>
      <c r="O135" s="1540"/>
      <c r="P135" s="1347" t="s">
        <v>2557</v>
      </c>
      <c r="Q135" s="1494">
        <v>1.9423759719774858</v>
      </c>
      <c r="R135" s="1494">
        <v>1.4393</v>
      </c>
      <c r="S135" s="1495">
        <f t="shared" si="17"/>
        <v>0.74099969355298589</v>
      </c>
      <c r="T135" s="1496">
        <v>122.96157082595575</v>
      </c>
      <c r="U135" s="1496">
        <v>231.10344911003418</v>
      </c>
      <c r="V135" s="1496">
        <v>21.021228416942719</v>
      </c>
      <c r="W135" s="1496">
        <v>9.7344243785198419</v>
      </c>
      <c r="X135" s="1496">
        <v>5.6518052842861657</v>
      </c>
      <c r="Y135" s="1497">
        <f t="shared" si="23"/>
        <v>9.7448077955062051E-2</v>
      </c>
      <c r="Z135" s="1743">
        <v>207.17413923764249</v>
      </c>
      <c r="AA135" s="1496">
        <v>46</v>
      </c>
      <c r="AB135" s="1496">
        <v>9.8901575600000005</v>
      </c>
      <c r="AC135" s="1496">
        <f t="shared" si="24"/>
        <v>3.9798556074688101</v>
      </c>
      <c r="AD135" s="1498">
        <f t="shared" si="25"/>
        <v>0.57001277478470536</v>
      </c>
      <c r="AE135" s="1496">
        <v>4.0443103594255989</v>
      </c>
      <c r="AF135" s="1496">
        <v>3.9735349281356509</v>
      </c>
      <c r="AG135" s="1496">
        <v>3.9039980668932772</v>
      </c>
      <c r="AH135" s="1641" t="s">
        <v>2775</v>
      </c>
      <c r="AI135" s="1641"/>
      <c r="AJ135" s="1641">
        <v>226.96</v>
      </c>
      <c r="AK135" s="1641">
        <v>238.17</v>
      </c>
      <c r="AL135" s="1641"/>
      <c r="AM135" s="1641">
        <v>9.39</v>
      </c>
      <c r="AN135" s="1641">
        <v>-3.97</v>
      </c>
      <c r="AO135" s="1641">
        <v>-3.97</v>
      </c>
      <c r="AP135" s="1641">
        <v>-3.97</v>
      </c>
      <c r="AQ135" s="1646">
        <f t="shared" si="26"/>
        <v>3.9085008560000003</v>
      </c>
      <c r="AR135" s="1647"/>
    </row>
    <row r="136" spans="1:44" ht="17.100000000000001" customHeight="1" thickBot="1">
      <c r="A136" s="1521">
        <v>134</v>
      </c>
      <c r="B136" s="1513" t="s">
        <v>2300</v>
      </c>
      <c r="C136" s="1263" t="s">
        <v>29</v>
      </c>
      <c r="D136" s="1458">
        <v>51159</v>
      </c>
      <c r="E136" s="1466" t="s">
        <v>2607</v>
      </c>
      <c r="F136" s="1651" t="s">
        <v>2608</v>
      </c>
      <c r="G136" s="1263" t="s">
        <v>2222</v>
      </c>
      <c r="H136" s="1310">
        <v>172211</v>
      </c>
      <c r="I136" s="1265" t="s">
        <v>35</v>
      </c>
      <c r="J136" s="1265" t="s">
        <v>2306</v>
      </c>
      <c r="K136" s="1283">
        <v>45551</v>
      </c>
      <c r="L136" s="1283">
        <v>45551</v>
      </c>
      <c r="M136" s="1283">
        <v>45555</v>
      </c>
      <c r="N136" s="1283"/>
      <c r="O136" s="1394"/>
      <c r="P136" s="1263" t="s">
        <v>2557</v>
      </c>
      <c r="Q136" s="1426">
        <v>1.9423759719774858</v>
      </c>
      <c r="R136" s="1426">
        <v>1.4395</v>
      </c>
      <c r="S136" s="1455">
        <f t="shared" si="17"/>
        <v>0.74110266023033633</v>
      </c>
      <c r="T136" s="1384">
        <v>123.53020682595573</v>
      </c>
      <c r="U136" s="1384">
        <v>232.14260650563423</v>
      </c>
      <c r="V136" s="1384">
        <v>21.120101136942715</v>
      </c>
      <c r="W136" s="1384">
        <v>9.7344243785198419</v>
      </c>
      <c r="X136" s="1384">
        <v>5.6784244198861655</v>
      </c>
      <c r="Y136" s="1285">
        <f t="shared" si="23"/>
        <v>9.7449013741218851E-2</v>
      </c>
      <c r="Z136" s="1407">
        <v>81.991428214657489</v>
      </c>
      <c r="AA136" s="1384">
        <v>45</v>
      </c>
      <c r="AB136" s="1384">
        <v>9.8901575600000005</v>
      </c>
      <c r="AC136" s="1384">
        <f t="shared" si="24"/>
        <v>3.9977510408941774</v>
      </c>
      <c r="AD136" s="1284">
        <f t="shared" si="25"/>
        <v>0.5699734458838267</v>
      </c>
      <c r="AE136" s="1384">
        <v>4.0624956138485988</v>
      </c>
      <c r="AF136" s="1384">
        <v>3.9914019406062482</v>
      </c>
      <c r="AG136" s="1384">
        <v>3.9215524066456386</v>
      </c>
      <c r="AH136" s="1561" t="s">
        <v>2775</v>
      </c>
      <c r="AI136" s="1561"/>
      <c r="AJ136" s="1561">
        <v>227.96</v>
      </c>
      <c r="AK136" s="1561">
        <v>121.99</v>
      </c>
      <c r="AL136" s="1561"/>
      <c r="AM136" s="1561">
        <v>9.39</v>
      </c>
      <c r="AN136" s="1561">
        <v>-3.99</v>
      </c>
      <c r="AO136" s="1561">
        <v>-3.99</v>
      </c>
      <c r="AP136" s="1561">
        <v>-3.99</v>
      </c>
      <c r="AQ136" s="1648">
        <f t="shared" si="26"/>
        <v>3.9257219560000003</v>
      </c>
      <c r="AR136" s="1564"/>
    </row>
    <row r="137" spans="1:44">
      <c r="A137" s="1521">
        <v>135</v>
      </c>
      <c r="B137" s="1700" t="s">
        <v>2300</v>
      </c>
      <c r="C137" s="1347" t="s">
        <v>29</v>
      </c>
      <c r="D137" s="1490">
        <v>51239</v>
      </c>
      <c r="E137" s="1737" t="s">
        <v>2609</v>
      </c>
      <c r="F137" s="1738" t="s">
        <v>2610</v>
      </c>
      <c r="G137" s="1347" t="s">
        <v>2222</v>
      </c>
      <c r="H137" s="1739">
        <v>130221</v>
      </c>
      <c r="I137" s="1348" t="s">
        <v>35</v>
      </c>
      <c r="J137" s="1348" t="s">
        <v>2306</v>
      </c>
      <c r="K137" s="1493">
        <v>45551</v>
      </c>
      <c r="L137" s="1493">
        <v>45551</v>
      </c>
      <c r="M137" s="1493">
        <v>45555</v>
      </c>
      <c r="N137" s="1493"/>
      <c r="O137" s="1540"/>
      <c r="P137" s="1347" t="s">
        <v>2557</v>
      </c>
      <c r="Q137" s="1623">
        <v>8.0849475722289483</v>
      </c>
      <c r="R137" s="1623">
        <v>4.5262000000000002</v>
      </c>
      <c r="S137" s="1495">
        <f t="shared" si="17"/>
        <v>0.55983047008827624</v>
      </c>
      <c r="T137" s="1496">
        <v>380.61424645995999</v>
      </c>
      <c r="U137" s="1496">
        <v>626.73425001929479</v>
      </c>
      <c r="V137" s="1496">
        <v>48.241564767241407</v>
      </c>
      <c r="W137" s="1496">
        <v>27.381993735707418</v>
      </c>
      <c r="X137" s="1496">
        <v>12.604997801934182</v>
      </c>
      <c r="Y137" s="1497">
        <f t="shared" si="23"/>
        <v>8.2218645370543048E-2</v>
      </c>
      <c r="Z137" s="1496">
        <v>348.04480122719997</v>
      </c>
      <c r="AA137" s="1496">
        <v>93.25</v>
      </c>
      <c r="AB137" s="1496">
        <v>27.657005830000006</v>
      </c>
      <c r="AC137" s="1496">
        <f t="shared" si="24"/>
        <v>8.1613960771762581</v>
      </c>
      <c r="AD137" s="1498">
        <f t="shared" si="25"/>
        <v>0.64868517229188083</v>
      </c>
      <c r="AE137" s="1496">
        <v>10.967849375337661</v>
      </c>
      <c r="AF137" s="1496">
        <v>10.77591201126925</v>
      </c>
      <c r="AG137" s="1496">
        <v>10.587333551072039</v>
      </c>
      <c r="AH137" s="1641" t="s">
        <v>2775</v>
      </c>
      <c r="AI137" s="1641"/>
      <c r="AJ137" s="1641">
        <v>611.17999999999995</v>
      </c>
      <c r="AK137" s="1641">
        <v>428.79</v>
      </c>
      <c r="AL137" s="1347"/>
      <c r="AM137" s="1641">
        <v>25</v>
      </c>
      <c r="AN137" s="1641">
        <v>-10.7</v>
      </c>
      <c r="AO137" s="1641">
        <v>-10.7</v>
      </c>
      <c r="AP137" s="1641">
        <v>-10.7</v>
      </c>
      <c r="AQ137" s="1646">
        <f t="shared" si="26"/>
        <v>7.9588470779999989</v>
      </c>
      <c r="AR137" s="1647"/>
    </row>
    <row r="138" spans="1:44" ht="21.75" thickBot="1">
      <c r="A138" s="1521">
        <v>136</v>
      </c>
      <c r="B138" s="1513" t="s">
        <v>2300</v>
      </c>
      <c r="C138" s="1263" t="s">
        <v>29</v>
      </c>
      <c r="D138" s="1458">
        <v>51239</v>
      </c>
      <c r="E138" s="1466" t="s">
        <v>2611</v>
      </c>
      <c r="F138" s="1651" t="s">
        <v>2610</v>
      </c>
      <c r="G138" s="1263" t="s">
        <v>2222</v>
      </c>
      <c r="H138" s="1303">
        <v>42000</v>
      </c>
      <c r="I138" s="1265" t="s">
        <v>35</v>
      </c>
      <c r="J138" s="1265" t="s">
        <v>2306</v>
      </c>
      <c r="K138" s="1283">
        <v>45551</v>
      </c>
      <c r="L138" s="1283">
        <v>45551</v>
      </c>
      <c r="M138" s="1283">
        <v>45555</v>
      </c>
      <c r="N138" s="1283"/>
      <c r="O138" s="1394"/>
      <c r="P138" s="1263" t="s">
        <v>2557</v>
      </c>
      <c r="Q138" s="1383">
        <v>8.7115281999789485</v>
      </c>
      <c r="R138" s="1383">
        <v>5.0541000000000009</v>
      </c>
      <c r="S138" s="1455">
        <f t="shared" si="17"/>
        <v>0.58016227279298871</v>
      </c>
      <c r="T138" s="1384">
        <v>421.21939105901248</v>
      </c>
      <c r="U138" s="1384">
        <v>676.16542934083191</v>
      </c>
      <c r="V138" s="1384">
        <v>50.350989471573357</v>
      </c>
      <c r="W138" s="1384">
        <v>27.381993735707418</v>
      </c>
      <c r="X138" s="1384">
        <v>13.067233257923863</v>
      </c>
      <c r="Y138" s="1285">
        <f t="shared" si="23"/>
        <v>7.9203564870089352E-2</v>
      </c>
      <c r="Z138" s="1384">
        <v>20.016060371999998</v>
      </c>
      <c r="AA138" s="1384">
        <v>3</v>
      </c>
      <c r="AB138" s="1384">
        <v>0</v>
      </c>
      <c r="AC138" s="1384">
        <f t="shared" si="24"/>
        <v>2.8398948032314943</v>
      </c>
      <c r="AD138" s="1284">
        <f t="shared" si="25"/>
        <v>0.66259030288009035</v>
      </c>
      <c r="AE138" s="1384">
        <v>11.832895013464558</v>
      </c>
      <c r="AF138" s="1384">
        <v>11.625819350728928</v>
      </c>
      <c r="AG138" s="1384">
        <v>11.422367512091173</v>
      </c>
      <c r="AH138" s="1561" t="s">
        <v>2775</v>
      </c>
      <c r="AI138" s="1561"/>
      <c r="AJ138" s="1561">
        <v>660.61</v>
      </c>
      <c r="AK138" s="1561">
        <v>21.52</v>
      </c>
      <c r="AL138" s="1263"/>
      <c r="AM138" s="1561">
        <v>0</v>
      </c>
      <c r="AN138" s="1561">
        <v>-11.56</v>
      </c>
      <c r="AO138" s="1561">
        <v>-11.56</v>
      </c>
      <c r="AP138" s="1561">
        <v>-11.56</v>
      </c>
      <c r="AQ138" s="1648">
        <f t="shared" si="26"/>
        <v>2.774562</v>
      </c>
      <c r="AR138" s="1564"/>
    </row>
    <row r="139" spans="1:44">
      <c r="A139" s="1521">
        <v>137</v>
      </c>
      <c r="B139" s="1700" t="s">
        <v>2300</v>
      </c>
      <c r="C139" s="1347" t="s">
        <v>29</v>
      </c>
      <c r="D139" s="1490">
        <v>51317</v>
      </c>
      <c r="E139" s="1737" t="s">
        <v>2612</v>
      </c>
      <c r="F139" s="1738" t="s">
        <v>2613</v>
      </c>
      <c r="G139" s="1347" t="s">
        <v>2222</v>
      </c>
      <c r="H139" s="1739">
        <v>172211</v>
      </c>
      <c r="I139" s="1348" t="s">
        <v>35</v>
      </c>
      <c r="J139" s="1348" t="s">
        <v>2306</v>
      </c>
      <c r="K139" s="1493">
        <v>45551</v>
      </c>
      <c r="L139" s="1493">
        <v>45551</v>
      </c>
      <c r="M139" s="1493">
        <v>45555</v>
      </c>
      <c r="N139" s="1493"/>
      <c r="O139" s="1540"/>
      <c r="P139" s="1347" t="s">
        <v>2557</v>
      </c>
      <c r="Q139" s="1623">
        <v>3.276338226</v>
      </c>
      <c r="R139" s="1623">
        <v>2.0125999999999999</v>
      </c>
      <c r="S139" s="1495">
        <f t="shared" si="17"/>
        <v>0.61428334352925862</v>
      </c>
      <c r="T139" s="1496">
        <v>177.97140482076003</v>
      </c>
      <c r="U139" s="1496">
        <v>279.85699712256559</v>
      </c>
      <c r="V139" s="1496">
        <v>20.606975028140688</v>
      </c>
      <c r="W139" s="1496">
        <v>29.140470397633589</v>
      </c>
      <c r="X139" s="1496">
        <v>5.3272700157135446</v>
      </c>
      <c r="Y139" s="1497">
        <f t="shared" si="23"/>
        <v>8.3976679763774487E-2</v>
      </c>
      <c r="Z139" s="1496">
        <v>138.43937214867375</v>
      </c>
      <c r="AA139" s="1496">
        <v>52.5</v>
      </c>
      <c r="AB139" s="1496">
        <v>10.738797620000001</v>
      </c>
      <c r="AC139" s="1496">
        <f t="shared" si="24"/>
        <v>4.8194453331474136</v>
      </c>
      <c r="AD139" s="1498">
        <f t="shared" si="25"/>
        <v>0.72526159949884317</v>
      </c>
      <c r="AE139" s="1496">
        <v>4.1978549568384844</v>
      </c>
      <c r="AF139" s="1496">
        <v>4.1348871324859067</v>
      </c>
      <c r="AG139" s="1496">
        <v>4.0728638254986178</v>
      </c>
      <c r="AH139" s="1641" t="s">
        <v>2775</v>
      </c>
      <c r="AI139" s="1641"/>
      <c r="AJ139" s="1641">
        <v>273.63</v>
      </c>
      <c r="AK139" s="1641">
        <v>187.44</v>
      </c>
      <c r="AL139" s="1347"/>
      <c r="AM139" s="1641">
        <v>10</v>
      </c>
      <c r="AN139" s="1641">
        <v>-4.0999999999999996</v>
      </c>
      <c r="AO139" s="1641">
        <v>-4.0999999999999996</v>
      </c>
      <c r="AP139" s="1641">
        <v>-4.0999999999999996</v>
      </c>
      <c r="AQ139" s="1646">
        <f t="shared" si="26"/>
        <v>4.7122095929999999</v>
      </c>
      <c r="AR139" s="1647"/>
    </row>
    <row r="140" spans="1:44" ht="21.75" thickBot="1">
      <c r="A140" s="1521">
        <v>138</v>
      </c>
      <c r="B140" s="1513" t="s">
        <v>2300</v>
      </c>
      <c r="C140" s="1263" t="s">
        <v>29</v>
      </c>
      <c r="D140" s="1458">
        <v>51317</v>
      </c>
      <c r="E140" s="1466" t="s">
        <v>2612</v>
      </c>
      <c r="F140" s="1651" t="s">
        <v>2614</v>
      </c>
      <c r="G140" s="1263" t="s">
        <v>2222</v>
      </c>
      <c r="H140" s="1310">
        <v>172211</v>
      </c>
      <c r="I140" s="1265" t="s">
        <v>35</v>
      </c>
      <c r="J140" s="1265" t="s">
        <v>2306</v>
      </c>
      <c r="K140" s="1283">
        <v>45551</v>
      </c>
      <c r="L140" s="1283">
        <v>45551</v>
      </c>
      <c r="M140" s="1283">
        <v>45555</v>
      </c>
      <c r="N140" s="1283"/>
      <c r="O140" s="1394"/>
      <c r="P140" s="1263" t="s">
        <v>2557</v>
      </c>
      <c r="Q140" s="1383">
        <v>2.8182740963999997</v>
      </c>
      <c r="R140" s="1383">
        <v>1.8586</v>
      </c>
      <c r="S140" s="1455">
        <f t="shared" si="17"/>
        <v>0.65948163181648445</v>
      </c>
      <c r="T140" s="1384">
        <v>163.83732522543201</v>
      </c>
      <c r="U140" s="1384">
        <v>266.07249175995548</v>
      </c>
      <c r="V140" s="1384">
        <v>20.53203930643873</v>
      </c>
      <c r="W140" s="1384">
        <v>29.140470397633589</v>
      </c>
      <c r="X140" s="1384">
        <v>5.3579534628485215</v>
      </c>
      <c r="Y140" s="1285">
        <f t="shared" si="23"/>
        <v>8.8662946990039126E-2</v>
      </c>
      <c r="Z140" s="1384">
        <v>164.83191008043374</v>
      </c>
      <c r="AA140" s="1384">
        <v>52.5</v>
      </c>
      <c r="AB140" s="1384">
        <v>10.738797620000001</v>
      </c>
      <c r="AC140" s="1384">
        <f t="shared" si="24"/>
        <v>4.5820609878473695</v>
      </c>
      <c r="AD140" s="1284">
        <f t="shared" si="25"/>
        <v>0.7074942661393071</v>
      </c>
      <c r="AE140" s="1384">
        <v>3.9910873763993311</v>
      </c>
      <c r="AF140" s="1384">
        <v>3.9312210657533413</v>
      </c>
      <c r="AG140" s="1384">
        <v>3.8722527497670414</v>
      </c>
      <c r="AH140" s="1561" t="s">
        <v>2775</v>
      </c>
      <c r="AI140" s="1561"/>
      <c r="AJ140" s="1561">
        <v>259.85000000000002</v>
      </c>
      <c r="AK140" s="1561">
        <v>212.83</v>
      </c>
      <c r="AL140" s="1263"/>
      <c r="AM140" s="1561">
        <v>10</v>
      </c>
      <c r="AN140" s="1561">
        <v>-3.9</v>
      </c>
      <c r="AO140" s="1561">
        <v>-3.9</v>
      </c>
      <c r="AP140" s="1561">
        <v>-3.9</v>
      </c>
      <c r="AQ140" s="1648">
        <f t="shared" si="26"/>
        <v>4.474902835</v>
      </c>
      <c r="AR140" s="1564"/>
    </row>
    <row r="141" spans="1:44">
      <c r="A141" s="1521">
        <v>139</v>
      </c>
      <c r="B141" s="1700" t="s">
        <v>2300</v>
      </c>
      <c r="C141" s="1347" t="s">
        <v>29</v>
      </c>
      <c r="D141" s="1490">
        <v>51167</v>
      </c>
      <c r="E141" s="1737" t="s">
        <v>2615</v>
      </c>
      <c r="F141" s="1738" t="s">
        <v>2616</v>
      </c>
      <c r="G141" s="1347" t="s">
        <v>2222</v>
      </c>
      <c r="H141" s="1739">
        <v>172211</v>
      </c>
      <c r="I141" s="1348" t="s">
        <v>35</v>
      </c>
      <c r="J141" s="1348" t="s">
        <v>2306</v>
      </c>
      <c r="K141" s="1493">
        <v>45551</v>
      </c>
      <c r="L141" s="1493">
        <v>45551</v>
      </c>
      <c r="M141" s="1493">
        <v>45555</v>
      </c>
      <c r="N141" s="1493"/>
      <c r="O141" s="1540"/>
      <c r="P141" s="1347" t="s">
        <v>2557</v>
      </c>
      <c r="Q141" s="1623">
        <v>0.82906038599999998</v>
      </c>
      <c r="R141" s="1623">
        <v>0.56740000000000002</v>
      </c>
      <c r="S141" s="1495">
        <f t="shared" si="17"/>
        <v>0.68438923096730864</v>
      </c>
      <c r="T141" s="1496">
        <v>46.293182129680012</v>
      </c>
      <c r="U141" s="1496">
        <v>76.176181796076492</v>
      </c>
      <c r="V141" s="1496">
        <v>5.8891595255723237</v>
      </c>
      <c r="W141" s="1496">
        <v>3.0145314204448543</v>
      </c>
      <c r="X141" s="1496">
        <v>1.5394076576121456</v>
      </c>
      <c r="Y141" s="1497">
        <f t="shared" si="23"/>
        <v>8.2225287872627117E-2</v>
      </c>
      <c r="Z141" s="1496">
        <v>52.913560760156237</v>
      </c>
      <c r="AA141" s="1496">
        <v>9.5</v>
      </c>
      <c r="AB141" s="1496">
        <v>4.35684234</v>
      </c>
      <c r="AC141" s="1496">
        <f t="shared" si="24"/>
        <v>1.3118376443284128</v>
      </c>
      <c r="AD141" s="1498">
        <f t="shared" si="25"/>
        <v>0.64635203217439985</v>
      </c>
      <c r="AE141" s="1496">
        <v>1.1426427269411474</v>
      </c>
      <c r="AF141" s="1496">
        <v>1.1255030860370301</v>
      </c>
      <c r="AG141" s="1496">
        <v>1.1086205397464748</v>
      </c>
      <c r="AH141" s="1641" t="s">
        <v>2775</v>
      </c>
      <c r="AI141" s="1641"/>
      <c r="AJ141" s="1641">
        <v>75.59</v>
      </c>
      <c r="AK141" s="1641">
        <v>61.41</v>
      </c>
      <c r="AL141" s="1347"/>
      <c r="AM141" s="1641">
        <v>4.3600000000000003</v>
      </c>
      <c r="AN141" s="1641">
        <v>-1.1299999999999999</v>
      </c>
      <c r="AO141" s="1641">
        <v>-1.1299999999999999</v>
      </c>
      <c r="AP141" s="1641">
        <v>-1.1299999999999999</v>
      </c>
      <c r="AQ141" s="1646">
        <f t="shared" si="26"/>
        <v>1.3017429490000001</v>
      </c>
      <c r="AR141" s="1647"/>
    </row>
    <row r="142" spans="1:44" ht="21.75" thickBot="1">
      <c r="A142" s="1521">
        <v>140</v>
      </c>
      <c r="B142" s="1513" t="s">
        <v>2300</v>
      </c>
      <c r="C142" s="1263" t="s">
        <v>29</v>
      </c>
      <c r="D142" s="1458">
        <v>51167</v>
      </c>
      <c r="E142" s="1466" t="s">
        <v>2617</v>
      </c>
      <c r="F142" s="1651" t="s">
        <v>2618</v>
      </c>
      <c r="G142" s="1263" t="s">
        <v>2222</v>
      </c>
      <c r="H142" s="1310">
        <v>172211</v>
      </c>
      <c r="I142" s="1265" t="s">
        <v>35</v>
      </c>
      <c r="J142" s="1265" t="s">
        <v>2306</v>
      </c>
      <c r="K142" s="1283">
        <v>45551</v>
      </c>
      <c r="L142" s="1283">
        <v>45551</v>
      </c>
      <c r="M142" s="1283">
        <v>45555</v>
      </c>
      <c r="N142" s="1283"/>
      <c r="O142" s="1394"/>
      <c r="P142" s="1263" t="s">
        <v>2557</v>
      </c>
      <c r="Q142" s="1383">
        <v>0.82906038599999998</v>
      </c>
      <c r="R142" s="1383">
        <v>0.56759999999999999</v>
      </c>
      <c r="S142" s="1455">
        <f t="shared" si="17"/>
        <v>0.68463046791865412</v>
      </c>
      <c r="T142" s="1384">
        <v>45.741818129680006</v>
      </c>
      <c r="U142" s="1384">
        <v>74.38389750462332</v>
      </c>
      <c r="V142" s="1384">
        <v>5.640335094980343</v>
      </c>
      <c r="W142" s="1384">
        <v>3.0145314204448543</v>
      </c>
      <c r="X142" s="1384">
        <v>1.4691527354544189</v>
      </c>
      <c r="Y142" s="1285">
        <f t="shared" si="23"/>
        <v>8.0691242912827255E-2</v>
      </c>
      <c r="Z142" s="1384">
        <v>52.913560760156237</v>
      </c>
      <c r="AA142" s="1384">
        <v>9.5</v>
      </c>
      <c r="AB142" s="1384">
        <v>4.35684234</v>
      </c>
      <c r="AC142" s="1384">
        <f t="shared" si="24"/>
        <v>1.2809725373168686</v>
      </c>
      <c r="AD142" s="1284">
        <f t="shared" si="25"/>
        <v>0.65438738937003504</v>
      </c>
      <c r="AE142" s="1384">
        <v>1.1157584625693497</v>
      </c>
      <c r="AF142" s="1384">
        <v>1.0990220856308095</v>
      </c>
      <c r="AG142" s="1384">
        <v>1.0825367543463476</v>
      </c>
      <c r="AH142" s="1561" t="s">
        <v>2775</v>
      </c>
      <c r="AI142" s="1561"/>
      <c r="AJ142" s="1561">
        <v>73.8</v>
      </c>
      <c r="AK142" s="1561">
        <v>61.41</v>
      </c>
      <c r="AL142" s="1263"/>
      <c r="AM142" s="1561">
        <v>4.3600000000000003</v>
      </c>
      <c r="AN142" s="1561">
        <v>-1.1299999999999999</v>
      </c>
      <c r="AO142" s="1561">
        <v>-1.1299999999999999</v>
      </c>
      <c r="AP142" s="1561">
        <v>-1.1299999999999999</v>
      </c>
      <c r="AQ142" s="1648">
        <f t="shared" si="26"/>
        <v>1.2709171799999999</v>
      </c>
      <c r="AR142" s="1564"/>
    </row>
    <row r="143" spans="1:44">
      <c r="A143" s="1521">
        <v>141</v>
      </c>
      <c r="B143" s="1700" t="s">
        <v>1879</v>
      </c>
      <c r="C143" s="1347" t="s">
        <v>29</v>
      </c>
      <c r="D143" s="1490">
        <v>53248</v>
      </c>
      <c r="E143" s="1737" t="s">
        <v>2619</v>
      </c>
      <c r="F143" s="1738" t="s">
        <v>2620</v>
      </c>
      <c r="G143" s="1347" t="s">
        <v>2741</v>
      </c>
      <c r="H143" s="1739">
        <v>103500</v>
      </c>
      <c r="I143" s="1348" t="s">
        <v>35</v>
      </c>
      <c r="J143" s="1348" t="s">
        <v>2306</v>
      </c>
      <c r="K143" s="1493">
        <v>45551</v>
      </c>
      <c r="L143" s="1493">
        <v>45551</v>
      </c>
      <c r="M143" s="1493">
        <v>45555</v>
      </c>
      <c r="N143" s="1493"/>
      <c r="O143" s="1540"/>
      <c r="P143" s="1347" t="s">
        <v>2557</v>
      </c>
      <c r="Q143" s="1623">
        <v>0.82256463195789464</v>
      </c>
      <c r="R143" s="1623">
        <v>0.52949999999999997</v>
      </c>
      <c r="S143" s="1495">
        <f t="shared" si="17"/>
        <v>0.64371841363962745</v>
      </c>
      <c r="T143" s="1496">
        <v>54.442679542768836</v>
      </c>
      <c r="U143" s="1496">
        <v>87.550903293426273</v>
      </c>
      <c r="V143" s="1496">
        <v>6.5139043173489206</v>
      </c>
      <c r="W143" s="1496">
        <v>3.1364434672792987</v>
      </c>
      <c r="X143" s="1496">
        <v>1.6906943667095105</v>
      </c>
      <c r="Y143" s="1497">
        <f t="shared" si="23"/>
        <v>7.8742841082867887E-2</v>
      </c>
      <c r="Z143" s="1496">
        <v>53.4580108344975</v>
      </c>
      <c r="AA143" s="1496">
        <v>25.5</v>
      </c>
      <c r="AB143" s="1496">
        <v>7.1101431800000006</v>
      </c>
      <c r="AC143" s="1496">
        <f t="shared" si="24"/>
        <v>0.90615184908696189</v>
      </c>
      <c r="AD143" s="1498">
        <f t="shared" si="25"/>
        <v>0.65812622576355162</v>
      </c>
      <c r="AE143" s="1496">
        <v>1.5321408076349601</v>
      </c>
      <c r="AF143" s="1496">
        <v>1.5053283435013485</v>
      </c>
      <c r="AG143" s="1496">
        <v>1.4789850974900749</v>
      </c>
      <c r="AH143" s="1347"/>
      <c r="AI143" s="1347"/>
      <c r="AJ143" s="1347"/>
      <c r="AK143" s="1347"/>
      <c r="AL143" s="1347"/>
      <c r="AM143" s="1347"/>
      <c r="AN143" s="1347"/>
      <c r="AO143" s="1347"/>
      <c r="AP143" s="1347"/>
      <c r="AQ143" s="1623">
        <f t="shared" si="26"/>
        <v>0</v>
      </c>
      <c r="AR143" s="1350"/>
    </row>
    <row r="144" spans="1:44">
      <c r="A144" s="1521">
        <v>142</v>
      </c>
      <c r="B144" s="1515" t="s">
        <v>1879</v>
      </c>
      <c r="C144" s="1270" t="s">
        <v>29</v>
      </c>
      <c r="D144" s="1448">
        <v>53248</v>
      </c>
      <c r="E144" s="1465" t="s">
        <v>2621</v>
      </c>
      <c r="F144" s="1740" t="s">
        <v>2620</v>
      </c>
      <c r="G144" s="1270" t="s">
        <v>2741</v>
      </c>
      <c r="H144" s="1301">
        <v>96500</v>
      </c>
      <c r="I144" s="1272" t="s">
        <v>35</v>
      </c>
      <c r="J144" s="1272" t="s">
        <v>2306</v>
      </c>
      <c r="K144" s="1280">
        <v>45551</v>
      </c>
      <c r="L144" s="1280">
        <v>45551</v>
      </c>
      <c r="M144" s="1280">
        <v>45555</v>
      </c>
      <c r="N144" s="1280"/>
      <c r="O144" s="1533"/>
      <c r="P144" s="1270" t="s">
        <v>2557</v>
      </c>
      <c r="Q144" s="1390">
        <v>0.7120023031578947</v>
      </c>
      <c r="R144" s="1390">
        <v>0.4531</v>
      </c>
      <c r="S144" s="1286">
        <f t="shared" si="17"/>
        <v>0.63637434596825992</v>
      </c>
      <c r="T144" s="1391">
        <v>47.182982500336834</v>
      </c>
      <c r="U144" s="1391">
        <v>79.926371490720044</v>
      </c>
      <c r="V144" s="1391">
        <v>6.3687103765002808</v>
      </c>
      <c r="W144" s="1391">
        <v>3.1364434672792987</v>
      </c>
      <c r="X144" s="1391">
        <v>1.6754490029204032</v>
      </c>
      <c r="Y144" s="1282">
        <f t="shared" si="23"/>
        <v>8.4786721009679475E-2</v>
      </c>
      <c r="Z144" s="1391">
        <v>46.556792572867494</v>
      </c>
      <c r="AA144" s="1391">
        <v>4</v>
      </c>
      <c r="AB144" s="1391">
        <v>0</v>
      </c>
      <c r="AC144" s="1391">
        <f t="shared" si="24"/>
        <v>0.77128948488544835</v>
      </c>
      <c r="AD144" s="1281">
        <f t="shared" si="25"/>
        <v>0.62814763698816345</v>
      </c>
      <c r="AE144" s="1391">
        <v>1.398711501087601</v>
      </c>
      <c r="AF144" s="1391">
        <v>1.3742340498185679</v>
      </c>
      <c r="AG144" s="1391">
        <v>1.350184953946743</v>
      </c>
      <c r="AH144" s="1270"/>
      <c r="AI144" s="1270"/>
      <c r="AJ144" s="1270"/>
      <c r="AK144" s="1270"/>
      <c r="AL144" s="1270"/>
      <c r="AM144" s="1270"/>
      <c r="AN144" s="1270"/>
      <c r="AO144" s="1270"/>
      <c r="AP144" s="1270"/>
      <c r="AQ144" s="1390">
        <f t="shared" si="26"/>
        <v>0</v>
      </c>
      <c r="AR144" s="1624"/>
    </row>
    <row r="145" spans="1:44">
      <c r="A145" s="1521">
        <v>143</v>
      </c>
      <c r="B145" s="1515" t="s">
        <v>1879</v>
      </c>
      <c r="C145" s="1270" t="s">
        <v>29</v>
      </c>
      <c r="D145" s="1448">
        <v>53248</v>
      </c>
      <c r="E145" s="1465" t="s">
        <v>2622</v>
      </c>
      <c r="F145" s="1740" t="s">
        <v>2623</v>
      </c>
      <c r="G145" s="1270" t="s">
        <v>2741</v>
      </c>
      <c r="H145" s="1302">
        <v>103500</v>
      </c>
      <c r="I145" s="1272" t="s">
        <v>35</v>
      </c>
      <c r="J145" s="1272" t="s">
        <v>2306</v>
      </c>
      <c r="K145" s="1280">
        <v>45551</v>
      </c>
      <c r="L145" s="1280">
        <v>45551</v>
      </c>
      <c r="M145" s="1280">
        <v>45555</v>
      </c>
      <c r="N145" s="1280"/>
      <c r="O145" s="1533"/>
      <c r="P145" s="1270" t="s">
        <v>2557</v>
      </c>
      <c r="Q145" s="1390">
        <v>0.81472600926315786</v>
      </c>
      <c r="R145" s="1390">
        <v>0.52439999999999998</v>
      </c>
      <c r="S145" s="1286">
        <f t="shared" si="17"/>
        <v>0.64365196892912491</v>
      </c>
      <c r="T145" s="1391">
        <v>52.018844016454736</v>
      </c>
      <c r="U145" s="1391">
        <v>85.030768469085928</v>
      </c>
      <c r="V145" s="1391">
        <v>6.4654276068226384</v>
      </c>
      <c r="W145" s="1391">
        <v>3.1364434672792987</v>
      </c>
      <c r="X145" s="1391">
        <v>1.6856043121042503</v>
      </c>
      <c r="Y145" s="1282">
        <f t="shared" si="23"/>
        <v>8.0607539320256272E-2</v>
      </c>
      <c r="Z145" s="1391">
        <v>53.4580108344975</v>
      </c>
      <c r="AA145" s="1391">
        <v>25.5</v>
      </c>
      <c r="AB145" s="1391">
        <v>7.1101431800000006</v>
      </c>
      <c r="AC145" s="1391">
        <f t="shared" si="24"/>
        <v>0.88006845365503938</v>
      </c>
      <c r="AD145" s="1281">
        <f t="shared" si="25"/>
        <v>0.64854349463690153</v>
      </c>
      <c r="AE145" s="1391">
        <v>1.4880384482090039</v>
      </c>
      <c r="AF145" s="1391">
        <v>1.4619977753653461</v>
      </c>
      <c r="AG145" s="1391">
        <v>1.4364128142964525</v>
      </c>
      <c r="AH145" s="1270"/>
      <c r="AI145" s="1270"/>
      <c r="AJ145" s="1270"/>
      <c r="AK145" s="1270"/>
      <c r="AL145" s="1270"/>
      <c r="AM145" s="1270"/>
      <c r="AN145" s="1270"/>
      <c r="AO145" s="1270"/>
      <c r="AP145" s="1270"/>
      <c r="AQ145" s="1390">
        <f t="shared" si="26"/>
        <v>0</v>
      </c>
      <c r="AR145" s="1624"/>
    </row>
    <row r="146" spans="1:44" ht="21.75" thickBot="1">
      <c r="A146" s="1521">
        <v>144</v>
      </c>
      <c r="B146" s="1513" t="s">
        <v>1879</v>
      </c>
      <c r="C146" s="1263" t="s">
        <v>29</v>
      </c>
      <c r="D146" s="1458">
        <v>53248</v>
      </c>
      <c r="E146" s="1466" t="s">
        <v>2624</v>
      </c>
      <c r="F146" s="1651" t="s">
        <v>2623</v>
      </c>
      <c r="G146" s="1263" t="s">
        <v>2741</v>
      </c>
      <c r="H146" s="1303">
        <v>96500</v>
      </c>
      <c r="I146" s="1265" t="s">
        <v>35</v>
      </c>
      <c r="J146" s="1265" t="s">
        <v>2306</v>
      </c>
      <c r="K146" s="1283">
        <v>45551</v>
      </c>
      <c r="L146" s="1283">
        <v>45551</v>
      </c>
      <c r="M146" s="1283">
        <v>45555</v>
      </c>
      <c r="N146" s="1283"/>
      <c r="O146" s="1394"/>
      <c r="P146" s="1263" t="s">
        <v>2557</v>
      </c>
      <c r="Q146" s="1383">
        <v>0.74282421006315791</v>
      </c>
      <c r="R146" s="1383">
        <v>0.45079999999999998</v>
      </c>
      <c r="S146" s="1455">
        <f t="shared" si="17"/>
        <v>0.60687305811111236</v>
      </c>
      <c r="T146" s="1384">
        <v>46.431698896966736</v>
      </c>
      <c r="U146" s="1384">
        <v>79.144340265664923</v>
      </c>
      <c r="V146" s="1384">
        <v>6.3536847044328786</v>
      </c>
      <c r="W146" s="1384">
        <v>3.1364434672792987</v>
      </c>
      <c r="X146" s="1384">
        <v>1.6738713073533258</v>
      </c>
      <c r="Y146" s="1285">
        <f t="shared" si="23"/>
        <v>8.5474783081664132E-2</v>
      </c>
      <c r="Z146" s="1384">
        <v>47.283559311449999</v>
      </c>
      <c r="AA146" s="1384">
        <v>4</v>
      </c>
      <c r="AB146" s="1384">
        <v>0</v>
      </c>
      <c r="AC146" s="1384">
        <f t="shared" si="24"/>
        <v>0.76374288356366649</v>
      </c>
      <c r="AD146" s="1284">
        <f t="shared" si="25"/>
        <v>0.62463587287585121</v>
      </c>
      <c r="AE146" s="1384">
        <v>1.3850259546491364</v>
      </c>
      <c r="AF146" s="1384">
        <v>1.3607880004427764</v>
      </c>
      <c r="AG146" s="1384">
        <v>1.3369742104350277</v>
      </c>
      <c r="AH146" s="1263"/>
      <c r="AI146" s="1263"/>
      <c r="AJ146" s="1263"/>
      <c r="AK146" s="1263"/>
      <c r="AL146" s="1263"/>
      <c r="AM146" s="1263"/>
      <c r="AN146" s="1263"/>
      <c r="AO146" s="1263"/>
      <c r="AP146" s="1263"/>
      <c r="AQ146" s="1383">
        <f t="shared" si="26"/>
        <v>0</v>
      </c>
      <c r="AR146" s="1266"/>
    </row>
    <row r="147" spans="1:44">
      <c r="A147" s="1521">
        <v>145</v>
      </c>
      <c r="B147" s="1519" t="s">
        <v>2300</v>
      </c>
      <c r="C147" s="1317" t="s">
        <v>29</v>
      </c>
      <c r="D147" s="1488">
        <v>51362</v>
      </c>
      <c r="E147" s="1554" t="s">
        <v>2625</v>
      </c>
      <c r="F147" s="1652" t="s">
        <v>2626</v>
      </c>
      <c r="G147" s="1317" t="s">
        <v>2222</v>
      </c>
      <c r="H147" s="1555">
        <v>172211</v>
      </c>
      <c r="I147" s="1320" t="s">
        <v>35</v>
      </c>
      <c r="J147" s="1320" t="s">
        <v>2306</v>
      </c>
      <c r="K147" s="1325">
        <v>45551</v>
      </c>
      <c r="L147" s="1325">
        <v>45551</v>
      </c>
      <c r="M147" s="1325">
        <v>45555</v>
      </c>
      <c r="N147" s="1325"/>
      <c r="O147" s="1538"/>
      <c r="P147" s="1317" t="s">
        <v>2557</v>
      </c>
      <c r="Q147" s="1436">
        <v>0.86249486400000008</v>
      </c>
      <c r="R147" s="1436">
        <v>0.55359999999999998</v>
      </c>
      <c r="S147" s="1453">
        <f t="shared" si="17"/>
        <v>0.64185889459395085</v>
      </c>
      <c r="T147" s="1437">
        <v>51.861760683360004</v>
      </c>
      <c r="U147" s="1437">
        <v>93.996641653834516</v>
      </c>
      <c r="V147" s="1437">
        <v>6.6995533061869672</v>
      </c>
      <c r="W147" s="1437">
        <v>3.6425587997041986</v>
      </c>
      <c r="X147" s="1437">
        <v>1.7542175546043712</v>
      </c>
      <c r="Y147" s="1339">
        <f t="shared" si="23"/>
        <v>7.5615840763843839E-2</v>
      </c>
      <c r="Z147" s="1437">
        <v>69.221514316185008</v>
      </c>
      <c r="AA147" s="1437">
        <v>25.5</v>
      </c>
      <c r="AB147" s="1437">
        <v>5.7773766800000006</v>
      </c>
      <c r="AC147" s="1437">
        <f t="shared" si="24"/>
        <v>1.6187255655848496</v>
      </c>
      <c r="AD147" s="1338">
        <f t="shared" si="25"/>
        <v>0.58534807595963123</v>
      </c>
      <c r="AE147" s="1437">
        <v>1.4099496248075174</v>
      </c>
      <c r="AF147" s="1437">
        <v>1.3888003804354045</v>
      </c>
      <c r="AG147" s="1437">
        <v>1.3679683747288736</v>
      </c>
      <c r="AH147" s="1317"/>
      <c r="AI147" s="1317"/>
      <c r="AJ147" s="1317"/>
      <c r="AK147" s="1317"/>
      <c r="AL147" s="1317"/>
      <c r="AM147" s="1317"/>
      <c r="AN147" s="1317"/>
      <c r="AO147" s="1317"/>
      <c r="AP147" s="1579"/>
      <c r="AQ147" s="1436">
        <f t="shared" si="26"/>
        <v>0</v>
      </c>
      <c r="AR147" s="1616"/>
    </row>
    <row r="148" spans="1:44" ht="21.75" thickBot="1">
      <c r="A148" s="1521">
        <v>146</v>
      </c>
      <c r="B148" s="1622" t="s">
        <v>2300</v>
      </c>
      <c r="C148" s="1292" t="s">
        <v>29</v>
      </c>
      <c r="D148" s="1485">
        <v>51362</v>
      </c>
      <c r="E148" s="1461" t="s">
        <v>2627</v>
      </c>
      <c r="F148" s="1744" t="s">
        <v>2628</v>
      </c>
      <c r="G148" s="1292" t="s">
        <v>2222</v>
      </c>
      <c r="H148" s="1306">
        <v>172211</v>
      </c>
      <c r="I148" s="1293" t="s">
        <v>35</v>
      </c>
      <c r="J148" s="1293" t="s">
        <v>2306</v>
      </c>
      <c r="K148" s="1413">
        <v>45551</v>
      </c>
      <c r="L148" s="1413">
        <v>45551</v>
      </c>
      <c r="M148" s="1413">
        <v>45555</v>
      </c>
      <c r="N148" s="1413"/>
      <c r="O148" s="1535"/>
      <c r="P148" s="1292" t="s">
        <v>2557</v>
      </c>
      <c r="Q148" s="1414">
        <v>0.86249486400000008</v>
      </c>
      <c r="R148" s="1414">
        <v>0.55359999999999998</v>
      </c>
      <c r="S148" s="1499">
        <f t="shared" si="17"/>
        <v>0.64185889459395085</v>
      </c>
      <c r="T148" s="1415">
        <v>51.861760683360004</v>
      </c>
      <c r="U148" s="1415">
        <v>93.996641653834516</v>
      </c>
      <c r="V148" s="1415">
        <v>6.6995533061869672</v>
      </c>
      <c r="W148" s="1415">
        <v>3.6425587997041986</v>
      </c>
      <c r="X148" s="1415">
        <v>1.7542175546043712</v>
      </c>
      <c r="Y148" s="1420">
        <f t="shared" si="23"/>
        <v>7.5615840763843839E-2</v>
      </c>
      <c r="Z148" s="1415">
        <v>51.389309783542501</v>
      </c>
      <c r="AA148" s="1415">
        <v>25.5</v>
      </c>
      <c r="AB148" s="1415">
        <v>5.7773766800000006</v>
      </c>
      <c r="AC148" s="1415">
        <f t="shared" si="24"/>
        <v>1.6187255655848496</v>
      </c>
      <c r="AD148" s="1416">
        <f t="shared" si="25"/>
        <v>0.58534807595963123</v>
      </c>
      <c r="AE148" s="1415">
        <v>1.4099496248075174</v>
      </c>
      <c r="AF148" s="1415">
        <v>1.3888003804354045</v>
      </c>
      <c r="AG148" s="1415">
        <v>1.3679683747288736</v>
      </c>
      <c r="AH148" s="1292"/>
      <c r="AI148" s="1292"/>
      <c r="AJ148" s="1292"/>
      <c r="AK148" s="1292"/>
      <c r="AL148" s="1292"/>
      <c r="AM148" s="1292"/>
      <c r="AN148" s="1292"/>
      <c r="AO148" s="1292"/>
      <c r="AP148" s="1576"/>
      <c r="AQ148" s="1414">
        <f t="shared" si="26"/>
        <v>0</v>
      </c>
      <c r="AR148" s="1617"/>
    </row>
    <row r="149" spans="1:44">
      <c r="A149" s="1521">
        <v>147</v>
      </c>
      <c r="B149" s="1700" t="s">
        <v>2300</v>
      </c>
      <c r="C149" s="1347" t="s">
        <v>29</v>
      </c>
      <c r="D149" s="1490">
        <v>51145</v>
      </c>
      <c r="E149" s="1737" t="s">
        <v>2629</v>
      </c>
      <c r="F149" s="1738" t="s">
        <v>2630</v>
      </c>
      <c r="G149" s="1347" t="s">
        <v>2222</v>
      </c>
      <c r="H149" s="1739">
        <v>149150</v>
      </c>
      <c r="I149" s="1348" t="s">
        <v>35</v>
      </c>
      <c r="J149" s="1348" t="s">
        <v>2306</v>
      </c>
      <c r="K149" s="1493">
        <v>45551</v>
      </c>
      <c r="L149" s="1493">
        <v>45551</v>
      </c>
      <c r="M149" s="1493">
        <v>45555</v>
      </c>
      <c r="N149" s="1493"/>
      <c r="O149" s="1540"/>
      <c r="P149" s="1347" t="s">
        <v>2557</v>
      </c>
      <c r="Q149" s="1494">
        <v>2.2844137337488375</v>
      </c>
      <c r="R149" s="1494">
        <v>1.3781000000000001</v>
      </c>
      <c r="S149" s="1495">
        <f t="shared" si="17"/>
        <v>0.60326200094168969</v>
      </c>
      <c r="T149" s="1743">
        <v>109.75133463011854</v>
      </c>
      <c r="U149" s="1745">
        <v>207.35819099027003</v>
      </c>
      <c r="V149" s="1496">
        <v>19.739034672885083</v>
      </c>
      <c r="W149" s="1496">
        <v>7.2851175994083972</v>
      </c>
      <c r="X149" s="1496">
        <v>5.3282652644225399</v>
      </c>
      <c r="Y149" s="1497">
        <f t="shared" si="23"/>
        <v>0.10135846425271276</v>
      </c>
      <c r="Z149" s="1496">
        <v>175.62128942358001</v>
      </c>
      <c r="AA149" s="1496">
        <v>73</v>
      </c>
      <c r="AB149" s="1496">
        <v>17.313916725000002</v>
      </c>
      <c r="AC149" s="1496">
        <f t="shared" si="24"/>
        <v>3.0927474186198776</v>
      </c>
      <c r="AD149" s="1498">
        <f t="shared" si="25"/>
        <v>0.56356488106662084</v>
      </c>
      <c r="AE149" s="1496">
        <v>3.1103728648540505</v>
      </c>
      <c r="AF149" s="1496">
        <v>3.0637172718812398</v>
      </c>
      <c r="AG149" s="1496">
        <v>3.0177615128030211</v>
      </c>
      <c r="AH149" s="1347"/>
      <c r="AI149" s="1347"/>
      <c r="AJ149" s="1347"/>
      <c r="AK149" s="1347"/>
      <c r="AL149" s="1347"/>
      <c r="AM149" s="1347"/>
      <c r="AN149" s="1347"/>
      <c r="AO149" s="1347"/>
      <c r="AP149" s="1347"/>
      <c r="AQ149" s="1623">
        <f t="shared" si="26"/>
        <v>0</v>
      </c>
      <c r="AR149" s="1350"/>
    </row>
    <row r="150" spans="1:44" ht="21.75" thickBot="1">
      <c r="A150" s="1521">
        <v>148</v>
      </c>
      <c r="B150" s="1513" t="s">
        <v>2300</v>
      </c>
      <c r="C150" s="1263" t="s">
        <v>29</v>
      </c>
      <c r="D150" s="1458">
        <v>51145</v>
      </c>
      <c r="E150" s="1466" t="s">
        <v>2631</v>
      </c>
      <c r="F150" s="1651" t="s">
        <v>2630</v>
      </c>
      <c r="G150" s="1263" t="s">
        <v>2222</v>
      </c>
      <c r="H150" s="1303">
        <v>23061</v>
      </c>
      <c r="I150" s="1265" t="s">
        <v>35</v>
      </c>
      <c r="J150" s="1265" t="s">
        <v>2306</v>
      </c>
      <c r="K150" s="1283">
        <v>45551</v>
      </c>
      <c r="L150" s="1283">
        <v>45551</v>
      </c>
      <c r="M150" s="1283">
        <v>45555</v>
      </c>
      <c r="N150" s="1283"/>
      <c r="O150" s="1394"/>
      <c r="P150" s="1263" t="s">
        <v>2557</v>
      </c>
      <c r="Q150" s="1426">
        <v>2.3013281081488373</v>
      </c>
      <c r="R150" s="1426">
        <v>1.3714</v>
      </c>
      <c r="S150" s="1455">
        <f t="shared" si="17"/>
        <v>0.59591676438660413</v>
      </c>
      <c r="T150" s="1407">
        <v>118.99915694717451</v>
      </c>
      <c r="U150" s="1428">
        <v>217.21023751528887</v>
      </c>
      <c r="V150" s="1384">
        <v>19.976491119226207</v>
      </c>
      <c r="W150" s="1384">
        <v>7.2851175994083972</v>
      </c>
      <c r="X150" s="1384">
        <v>5.362940691288359</v>
      </c>
      <c r="Y150" s="1285">
        <f t="shared" si="23"/>
        <v>9.7654860712515668E-2</v>
      </c>
      <c r="Z150" s="1384">
        <v>109.48642566159376</v>
      </c>
      <c r="AA150" s="1384">
        <v>6</v>
      </c>
      <c r="AB150" s="1384">
        <v>0</v>
      </c>
      <c r="AC150" s="1384">
        <f t="shared" si="24"/>
        <v>0.50090852873400771</v>
      </c>
      <c r="AD150" s="1284">
        <f t="shared" si="25"/>
        <v>0.58172609129531927</v>
      </c>
      <c r="AE150" s="1384">
        <v>3.2581535627293325</v>
      </c>
      <c r="AF150" s="1384">
        <v>3.2092812592883928</v>
      </c>
      <c r="AG150" s="1384">
        <v>3.1611420403990667</v>
      </c>
      <c r="AH150" s="1263"/>
      <c r="AI150" s="1263"/>
      <c r="AJ150" s="1263"/>
      <c r="AK150" s="1263"/>
      <c r="AL150" s="1263"/>
      <c r="AM150" s="1263"/>
      <c r="AN150" s="1263"/>
      <c r="AO150" s="1263"/>
      <c r="AP150" s="1263"/>
      <c r="AQ150" s="1383">
        <f t="shared" si="26"/>
        <v>0</v>
      </c>
      <c r="AR150" s="1266"/>
    </row>
    <row r="151" spans="1:44">
      <c r="A151" s="1521">
        <v>149</v>
      </c>
      <c r="B151" s="1700" t="s">
        <v>2300</v>
      </c>
      <c r="C151" s="1347" t="s">
        <v>29</v>
      </c>
      <c r="D151" s="1490">
        <v>51586</v>
      </c>
      <c r="E151" s="1737" t="s">
        <v>2632</v>
      </c>
      <c r="F151" s="1738" t="s">
        <v>2633</v>
      </c>
      <c r="G151" s="1347" t="s">
        <v>2222</v>
      </c>
      <c r="H151" s="1739">
        <v>172211</v>
      </c>
      <c r="I151" s="1348" t="s">
        <v>35</v>
      </c>
      <c r="J151" s="1348" t="s">
        <v>2306</v>
      </c>
      <c r="K151" s="1493">
        <v>45551</v>
      </c>
      <c r="L151" s="1493">
        <v>45551</v>
      </c>
      <c r="M151" s="1493">
        <v>45555</v>
      </c>
      <c r="N151" s="1493"/>
      <c r="O151" s="1540"/>
      <c r="P151" s="1347" t="s">
        <v>2557</v>
      </c>
      <c r="Q151" s="1623">
        <v>3.3677742560000006</v>
      </c>
      <c r="R151" s="1623">
        <v>1.7311000000000003</v>
      </c>
      <c r="S151" s="1495">
        <f t="shared" si="17"/>
        <v>0.51401901327438615</v>
      </c>
      <c r="T151" s="1496">
        <v>156.63339665656</v>
      </c>
      <c r="U151" s="1496">
        <v>233.70398510773268</v>
      </c>
      <c r="V151" s="1496">
        <v>15.939129709086439</v>
      </c>
      <c r="W151" s="1496">
        <v>7.2851175994083972</v>
      </c>
      <c r="X151" s="1496">
        <v>4.0501220261634838</v>
      </c>
      <c r="Y151" s="1497">
        <f t="shared" si="23"/>
        <v>7.1678821924932482E-2</v>
      </c>
      <c r="Z151" s="1496">
        <v>222.14126010788249</v>
      </c>
      <c r="AA151" s="1496">
        <v>36.25</v>
      </c>
      <c r="AB151" s="1496">
        <v>9.8669135250000011</v>
      </c>
      <c r="AC151" s="1496">
        <f t="shared" si="24"/>
        <v>4.0246396979387749</v>
      </c>
      <c r="AD151" s="1498">
        <f t="shared" si="25"/>
        <v>0.70438584485842537</v>
      </c>
      <c r="AE151" s="1496">
        <v>4.0898197393853222</v>
      </c>
      <c r="AF151" s="1496">
        <v>4.0182478939460795</v>
      </c>
      <c r="AG151" s="1496">
        <v>3.9479285558020227</v>
      </c>
      <c r="AH151" s="1641" t="s">
        <v>2775</v>
      </c>
      <c r="AI151" s="1641"/>
      <c r="AJ151" s="1641">
        <v>218.15</v>
      </c>
      <c r="AK151" s="1641">
        <v>254.39</v>
      </c>
      <c r="AL151" s="1347"/>
      <c r="AM151" s="1641">
        <v>9.3699999999999992</v>
      </c>
      <c r="AN151" s="1641">
        <v>-3.82</v>
      </c>
      <c r="AO151" s="1641">
        <v>-3.82</v>
      </c>
      <c r="AP151" s="1641">
        <v>-3.82</v>
      </c>
      <c r="AQ151" s="1646">
        <f t="shared" si="26"/>
        <v>3.7567829649999998</v>
      </c>
      <c r="AR151" s="1647"/>
    </row>
    <row r="152" spans="1:44" ht="21.75" thickBot="1">
      <c r="A152" s="1521">
        <v>150</v>
      </c>
      <c r="B152" s="1513" t="s">
        <v>2300</v>
      </c>
      <c r="C152" s="1263" t="s">
        <v>29</v>
      </c>
      <c r="D152" s="1458">
        <v>51586</v>
      </c>
      <c r="E152" s="1466" t="s">
        <v>2634</v>
      </c>
      <c r="F152" s="1651" t="s">
        <v>2635</v>
      </c>
      <c r="G152" s="1263" t="s">
        <v>2222</v>
      </c>
      <c r="H152" s="1310">
        <v>172211</v>
      </c>
      <c r="I152" s="1265" t="s">
        <v>35</v>
      </c>
      <c r="J152" s="1265" t="s">
        <v>2306</v>
      </c>
      <c r="K152" s="1283">
        <v>45551</v>
      </c>
      <c r="L152" s="1283">
        <v>45551</v>
      </c>
      <c r="M152" s="1283">
        <v>45555</v>
      </c>
      <c r="N152" s="1283"/>
      <c r="O152" s="1394"/>
      <c r="P152" s="1263" t="s">
        <v>2557</v>
      </c>
      <c r="Q152" s="1383">
        <v>3.3677742560000006</v>
      </c>
      <c r="R152" s="1383">
        <v>1.7314000000000001</v>
      </c>
      <c r="S152" s="1455">
        <f t="shared" si="17"/>
        <v>0.51410809287925141</v>
      </c>
      <c r="T152" s="1384">
        <v>156.64635065656</v>
      </c>
      <c r="U152" s="1384">
        <v>233.7177947011327</v>
      </c>
      <c r="V152" s="1384">
        <v>15.939388789086438</v>
      </c>
      <c r="W152" s="1384">
        <v>7.2851175994083972</v>
      </c>
      <c r="X152" s="1384">
        <v>4.050149229563484</v>
      </c>
      <c r="Y152" s="1285">
        <f t="shared" si="23"/>
        <v>7.1675544574479264E-2</v>
      </c>
      <c r="Z152" s="1384">
        <v>222.14126010788249</v>
      </c>
      <c r="AA152" s="1384">
        <v>36.25</v>
      </c>
      <c r="AB152" s="1384">
        <v>9.8669135250000011</v>
      </c>
      <c r="AC152" s="1384">
        <f t="shared" si="24"/>
        <v>4.0248775143276765</v>
      </c>
      <c r="AD152" s="1284">
        <f t="shared" si="25"/>
        <v>0.70440044078737152</v>
      </c>
      <c r="AE152" s="1384">
        <v>4.0900614072698227</v>
      </c>
      <c r="AF152" s="1384">
        <v>4.0184853326426007</v>
      </c>
      <c r="AG152" s="1384">
        <v>3.9481618393213553</v>
      </c>
      <c r="AH152" s="1561" t="s">
        <v>2775</v>
      </c>
      <c r="AI152" s="1561"/>
      <c r="AJ152" s="1561">
        <v>218.16</v>
      </c>
      <c r="AK152" s="1561">
        <v>254.39</v>
      </c>
      <c r="AL152" s="1263"/>
      <c r="AM152" s="1561">
        <v>9.3699999999999992</v>
      </c>
      <c r="AN152" s="1561">
        <v>-3.82</v>
      </c>
      <c r="AO152" s="1561">
        <v>-3.82</v>
      </c>
      <c r="AP152" s="1561">
        <v>-3.82</v>
      </c>
      <c r="AQ152" s="1648">
        <f t="shared" si="26"/>
        <v>3.756955176</v>
      </c>
      <c r="AR152" s="1564"/>
    </row>
    <row r="153" spans="1:44">
      <c r="A153" s="1521">
        <v>151</v>
      </c>
      <c r="B153" s="1700" t="s">
        <v>2300</v>
      </c>
      <c r="C153" s="1347" t="s">
        <v>29</v>
      </c>
      <c r="D153" s="1490">
        <v>51336</v>
      </c>
      <c r="E153" s="1737" t="s">
        <v>2636</v>
      </c>
      <c r="F153" s="1738" t="s">
        <v>2637</v>
      </c>
      <c r="G153" s="1347" t="s">
        <v>2222</v>
      </c>
      <c r="H153" s="1739">
        <v>63000</v>
      </c>
      <c r="I153" s="1348" t="s">
        <v>35</v>
      </c>
      <c r="J153" s="1348" t="s">
        <v>2306</v>
      </c>
      <c r="K153" s="1493">
        <v>45551</v>
      </c>
      <c r="L153" s="1493">
        <v>45551</v>
      </c>
      <c r="M153" s="1493">
        <v>45555</v>
      </c>
      <c r="N153" s="1493"/>
      <c r="O153" s="1540"/>
      <c r="P153" s="1347" t="s">
        <v>2557</v>
      </c>
      <c r="Q153" s="1623">
        <v>10.170129027965887</v>
      </c>
      <c r="R153" s="1623">
        <v>6.4206000000000003</v>
      </c>
      <c r="S153" s="1495">
        <f t="shared" si="17"/>
        <v>0.63131942400579111</v>
      </c>
      <c r="T153" s="1496">
        <v>531.74104452837764</v>
      </c>
      <c r="U153" s="1496">
        <v>847.85548383867592</v>
      </c>
      <c r="V153" s="1496">
        <v>64.001172205966867</v>
      </c>
      <c r="W153" s="1496">
        <v>61.421077691563902</v>
      </c>
      <c r="X153" s="1496">
        <v>16.623393132869907</v>
      </c>
      <c r="Y153" s="1497">
        <f t="shared" si="23"/>
        <v>8.3138810856142942E-2</v>
      </c>
      <c r="Z153" s="1496">
        <v>453.46632285390967</v>
      </c>
      <c r="AA153" s="1496">
        <v>227.5</v>
      </c>
      <c r="AB153" s="1496">
        <v>64.53730908</v>
      </c>
      <c r="AC153" s="1496">
        <f t="shared" si="24"/>
        <v>5.3414895481836577</v>
      </c>
      <c r="AD153" s="1498">
        <f t="shared" si="25"/>
        <v>0.6907423192691321</v>
      </c>
      <c r="AE153" s="1496">
        <v>14.837470967176833</v>
      </c>
      <c r="AF153" s="1496">
        <v>14.577815225251237</v>
      </c>
      <c r="AG153" s="1496">
        <v>14.322703458809341</v>
      </c>
      <c r="AH153" s="1641" t="s">
        <v>2775</v>
      </c>
      <c r="AI153" s="1641"/>
      <c r="AJ153" s="1641">
        <v>829</v>
      </c>
      <c r="AK153" s="1641">
        <v>659.97</v>
      </c>
      <c r="AL153" s="1347"/>
      <c r="AM153" s="1641">
        <v>60</v>
      </c>
      <c r="AN153" s="1641">
        <v>-14.51</v>
      </c>
      <c r="AO153" s="1641">
        <v>-14.51</v>
      </c>
      <c r="AP153" s="1641">
        <v>-14.51</v>
      </c>
      <c r="AQ153" s="1646">
        <f t="shared" si="26"/>
        <v>5.2226999999999997</v>
      </c>
      <c r="AR153" s="1647"/>
    </row>
    <row r="154" spans="1:44">
      <c r="A154" s="1521">
        <v>152</v>
      </c>
      <c r="B154" s="1515" t="s">
        <v>2300</v>
      </c>
      <c r="C154" s="1270" t="s">
        <v>29</v>
      </c>
      <c r="D154" s="1448">
        <v>51336</v>
      </c>
      <c r="E154" s="1465" t="s">
        <v>2638</v>
      </c>
      <c r="F154" s="1740" t="s">
        <v>2637</v>
      </c>
      <c r="G154" s="1270" t="s">
        <v>2222</v>
      </c>
      <c r="H154" s="1301">
        <v>26125</v>
      </c>
      <c r="I154" s="1272" t="s">
        <v>35</v>
      </c>
      <c r="J154" s="1272" t="s">
        <v>2306</v>
      </c>
      <c r="K154" s="1280">
        <v>45551</v>
      </c>
      <c r="L154" s="1280">
        <v>45551</v>
      </c>
      <c r="M154" s="1280">
        <v>45555</v>
      </c>
      <c r="N154" s="1280"/>
      <c r="O154" s="1533"/>
      <c r="P154" s="1270" t="s">
        <v>2557</v>
      </c>
      <c r="Q154" s="1390">
        <v>10.170129027965887</v>
      </c>
      <c r="R154" s="1390">
        <v>6.4258000000000006</v>
      </c>
      <c r="S154" s="1286">
        <f t="shared" si="17"/>
        <v>0.63183072528679762</v>
      </c>
      <c r="T154" s="1391">
        <v>529.43558052837773</v>
      </c>
      <c r="U154" s="1391">
        <v>844.84214212427617</v>
      </c>
      <c r="V154" s="1391">
        <v>63.832562925966869</v>
      </c>
      <c r="W154" s="1391">
        <v>61.421077691563902</v>
      </c>
      <c r="X154" s="1391">
        <v>16.582956658469907</v>
      </c>
      <c r="Y154" s="1282">
        <f t="shared" si="23"/>
        <v>8.3241250374530451E-2</v>
      </c>
      <c r="Z154" s="1391">
        <v>2.46939844536</v>
      </c>
      <c r="AA154" s="1391">
        <v>0.5</v>
      </c>
      <c r="AB154" s="1391">
        <v>0</v>
      </c>
      <c r="AC154" s="1391">
        <f t="shared" si="24"/>
        <v>2.2071500962996713</v>
      </c>
      <c r="AD154" s="1281">
        <f t="shared" si="25"/>
        <v>0.69041375899415258</v>
      </c>
      <c r="AE154" s="1391">
        <v>14.784737487174832</v>
      </c>
      <c r="AF154" s="1391">
        <v>14.526004581149271</v>
      </c>
      <c r="AG154" s="1391">
        <v>14.271799500979158</v>
      </c>
      <c r="AH154" s="1560" t="s">
        <v>2775</v>
      </c>
      <c r="AI154" s="1560"/>
      <c r="AJ154" s="1560">
        <v>825.99</v>
      </c>
      <c r="AK154" s="1560">
        <v>2.97</v>
      </c>
      <c r="AL154" s="1270"/>
      <c r="AM154" s="1560">
        <v>0</v>
      </c>
      <c r="AN154" s="1560">
        <v>-14.45</v>
      </c>
      <c r="AO154" s="1560">
        <v>-14.45</v>
      </c>
      <c r="AP154" s="1560">
        <v>-14.45</v>
      </c>
      <c r="AQ154" s="1642">
        <f t="shared" si="26"/>
        <v>2.1578988749999999</v>
      </c>
      <c r="AR154" s="1563"/>
    </row>
    <row r="155" spans="1:44">
      <c r="A155" s="1521">
        <v>153</v>
      </c>
      <c r="B155" s="1515" t="s">
        <v>2300</v>
      </c>
      <c r="C155" s="1270" t="s">
        <v>29</v>
      </c>
      <c r="D155" s="1448">
        <v>51336</v>
      </c>
      <c r="E155" s="1465" t="s">
        <v>2639</v>
      </c>
      <c r="F155" s="1740" t="s">
        <v>2637</v>
      </c>
      <c r="G155" s="1270" t="s">
        <v>2222</v>
      </c>
      <c r="H155" s="1301">
        <v>60025</v>
      </c>
      <c r="I155" s="1272" t="s">
        <v>35</v>
      </c>
      <c r="J155" s="1272" t="s">
        <v>2306</v>
      </c>
      <c r="K155" s="1280">
        <v>45551</v>
      </c>
      <c r="L155" s="1280">
        <v>45551</v>
      </c>
      <c r="M155" s="1280">
        <v>45555</v>
      </c>
      <c r="N155" s="1280"/>
      <c r="O155" s="1533"/>
      <c r="P155" s="1270" t="s">
        <v>2557</v>
      </c>
      <c r="Q155" s="1390">
        <v>10.170129027965887</v>
      </c>
      <c r="R155" s="1390">
        <v>6.4160000000000004</v>
      </c>
      <c r="S155" s="1286">
        <f t="shared" si="17"/>
        <v>0.63086711902643933</v>
      </c>
      <c r="T155" s="1391">
        <v>529.01241652837768</v>
      </c>
      <c r="U155" s="1391">
        <v>844.57069873987609</v>
      </c>
      <c r="V155" s="1391">
        <v>63.859099645966872</v>
      </c>
      <c r="W155" s="1391">
        <v>61.421077691563902</v>
      </c>
      <c r="X155" s="1391">
        <v>16.592238014069906</v>
      </c>
      <c r="Y155" s="1282">
        <f t="shared" si="23"/>
        <v>8.3306352608848694E-2</v>
      </c>
      <c r="Z155" s="1391">
        <v>0</v>
      </c>
      <c r="AA155" s="1391">
        <v>0</v>
      </c>
      <c r="AB155" s="1391">
        <v>0</v>
      </c>
      <c r="AC155" s="1391">
        <f t="shared" si="24"/>
        <v>5.0695356191861061</v>
      </c>
      <c r="AD155" s="1281">
        <f t="shared" si="25"/>
        <v>0.69011456707181262</v>
      </c>
      <c r="AE155" s="1391">
        <v>14.779987227947833</v>
      </c>
      <c r="AF155" s="1391">
        <v>14.521337451458747</v>
      </c>
      <c r="AG155" s="1391">
        <v>14.267214046058218</v>
      </c>
      <c r="AH155" s="1560" t="s">
        <v>2775</v>
      </c>
      <c r="AI155" s="1560"/>
      <c r="AJ155" s="1560">
        <v>825.72</v>
      </c>
      <c r="AK155" s="1560">
        <v>0</v>
      </c>
      <c r="AL155" s="1270"/>
      <c r="AM155" s="1560">
        <v>0</v>
      </c>
      <c r="AN155" s="1560">
        <v>-14.45</v>
      </c>
      <c r="AO155" s="1560">
        <v>-14.45</v>
      </c>
      <c r="AP155" s="1560">
        <v>-14.45</v>
      </c>
      <c r="AQ155" s="1642">
        <f t="shared" si="26"/>
        <v>4.9563842999999999</v>
      </c>
      <c r="AR155" s="1563"/>
    </row>
    <row r="156" spans="1:44">
      <c r="A156" s="1521">
        <v>154</v>
      </c>
      <c r="B156" s="1515" t="s">
        <v>2300</v>
      </c>
      <c r="C156" s="1270" t="s">
        <v>29</v>
      </c>
      <c r="D156" s="1448">
        <v>51336</v>
      </c>
      <c r="E156" s="1465" t="s">
        <v>2640</v>
      </c>
      <c r="F156" s="1740" t="s">
        <v>2637</v>
      </c>
      <c r="G156" s="1270" t="s">
        <v>2222</v>
      </c>
      <c r="H156" s="1301">
        <v>10036</v>
      </c>
      <c r="I156" s="1272" t="s">
        <v>35</v>
      </c>
      <c r="J156" s="1272" t="s">
        <v>2306</v>
      </c>
      <c r="K156" s="1280">
        <v>45551</v>
      </c>
      <c r="L156" s="1280">
        <v>45551</v>
      </c>
      <c r="M156" s="1280">
        <v>45555</v>
      </c>
      <c r="N156" s="1280"/>
      <c r="O156" s="1533"/>
      <c r="P156" s="1270" t="s">
        <v>2557</v>
      </c>
      <c r="Q156" s="1390">
        <v>9.7385788913846145</v>
      </c>
      <c r="R156" s="1390">
        <v>6.357499999999999</v>
      </c>
      <c r="S156" s="1286">
        <f t="shared" si="17"/>
        <v>0.65281598792861451</v>
      </c>
      <c r="T156" s="1391">
        <v>507.6266360028232</v>
      </c>
      <c r="U156" s="1391">
        <v>798.31188375721035</v>
      </c>
      <c r="V156" s="1391">
        <v>58.754880473445091</v>
      </c>
      <c r="W156" s="1391">
        <v>61.421077691563902</v>
      </c>
      <c r="X156" s="1391">
        <v>15.188469554233427</v>
      </c>
      <c r="Y156" s="1282">
        <f t="shared" si="23"/>
        <v>8.1411514832356285E-2</v>
      </c>
      <c r="Z156" s="1391">
        <v>194.44047377774251</v>
      </c>
      <c r="AA156" s="1391">
        <v>17.5</v>
      </c>
      <c r="AB156" s="1391">
        <v>0</v>
      </c>
      <c r="AC156" s="1391">
        <f t="shared" si="24"/>
        <v>0.80118580653873639</v>
      </c>
      <c r="AD156" s="1281">
        <f t="shared" si="25"/>
        <v>0.70337396780035999</v>
      </c>
      <c r="AE156" s="1391">
        <v>13.97045796575118</v>
      </c>
      <c r="AF156" s="1391">
        <v>13.725974951350535</v>
      </c>
      <c r="AG156" s="1391">
        <v>13.485770389701901</v>
      </c>
      <c r="AH156" s="1560" t="s">
        <v>2775</v>
      </c>
      <c r="AI156" s="1560"/>
      <c r="AJ156" s="1560">
        <v>777.38</v>
      </c>
      <c r="AK156" s="1560">
        <v>202.94</v>
      </c>
      <c r="AL156" s="1270"/>
      <c r="AM156" s="1560">
        <v>0</v>
      </c>
      <c r="AN156" s="1560">
        <v>-13.6</v>
      </c>
      <c r="AO156" s="1560">
        <v>-13.6</v>
      </c>
      <c r="AP156" s="1560">
        <v>-13.6</v>
      </c>
      <c r="AQ156" s="1642">
        <f t="shared" si="26"/>
        <v>0.78017856799999996</v>
      </c>
      <c r="AR156" s="1563"/>
    </row>
    <row r="157" spans="1:44" ht="21.75" thickBot="1">
      <c r="A157" s="1521">
        <v>155</v>
      </c>
      <c r="B157" s="1513" t="s">
        <v>2300</v>
      </c>
      <c r="C157" s="1263" t="s">
        <v>29</v>
      </c>
      <c r="D157" s="1458">
        <v>51336</v>
      </c>
      <c r="E157" s="1466" t="s">
        <v>2641</v>
      </c>
      <c r="F157" s="1651" t="s">
        <v>2637</v>
      </c>
      <c r="G157" s="1263" t="s">
        <v>2222</v>
      </c>
      <c r="H157" s="1303">
        <v>13025</v>
      </c>
      <c r="I157" s="1265" t="s">
        <v>35</v>
      </c>
      <c r="J157" s="1265" t="s">
        <v>2306</v>
      </c>
      <c r="K157" s="1283">
        <v>45551</v>
      </c>
      <c r="L157" s="1283">
        <v>45551</v>
      </c>
      <c r="M157" s="1283">
        <v>45555</v>
      </c>
      <c r="N157" s="1283"/>
      <c r="O157" s="1394"/>
      <c r="P157" s="1263" t="s">
        <v>2557</v>
      </c>
      <c r="Q157" s="1383">
        <v>9.7385788913846145</v>
      </c>
      <c r="R157" s="1383">
        <v>6.357499999999999</v>
      </c>
      <c r="S157" s="1455">
        <f t="shared" si="17"/>
        <v>0.65281598792861451</v>
      </c>
      <c r="T157" s="1384">
        <v>507.6266360028232</v>
      </c>
      <c r="U157" s="1384">
        <v>798.31188375721035</v>
      </c>
      <c r="V157" s="1384">
        <v>58.754880473445091</v>
      </c>
      <c r="W157" s="1384">
        <v>61.421077691563902</v>
      </c>
      <c r="X157" s="1384">
        <v>15.188469554233427</v>
      </c>
      <c r="Y157" s="1285">
        <f t="shared" si="23"/>
        <v>8.1411514832356285E-2</v>
      </c>
      <c r="Z157" s="1384">
        <v>7.3995593918400004</v>
      </c>
      <c r="AA157" s="1384">
        <v>1</v>
      </c>
      <c r="AB157" s="1384">
        <v>0</v>
      </c>
      <c r="AC157" s="1384">
        <f t="shared" si="24"/>
        <v>1.0398012285937666</v>
      </c>
      <c r="AD157" s="1284">
        <f t="shared" si="25"/>
        <v>0.70337396780035999</v>
      </c>
      <c r="AE157" s="1384">
        <v>13.97045796575118</v>
      </c>
      <c r="AF157" s="1384">
        <v>13.725974951350535</v>
      </c>
      <c r="AG157" s="1384">
        <v>13.485770389701901</v>
      </c>
      <c r="AH157" s="1561" t="s">
        <v>2775</v>
      </c>
      <c r="AI157" s="1561"/>
      <c r="AJ157" s="1561">
        <v>777.38</v>
      </c>
      <c r="AK157" s="1561">
        <v>8.4</v>
      </c>
      <c r="AL157" s="1263"/>
      <c r="AM157" s="1561">
        <v>0</v>
      </c>
      <c r="AN157" s="1561">
        <v>-13.6</v>
      </c>
      <c r="AO157" s="1561">
        <v>-13.6</v>
      </c>
      <c r="AP157" s="1561">
        <v>-13.6</v>
      </c>
      <c r="AQ157" s="1648">
        <f t="shared" si="26"/>
        <v>1.01253745</v>
      </c>
      <c r="AR157" s="1564"/>
    </row>
    <row r="158" spans="1:44" ht="21.75" thickBot="1">
      <c r="A158" s="1521">
        <v>156</v>
      </c>
      <c r="B158" s="1514" t="s">
        <v>2300</v>
      </c>
      <c r="C158" s="1267" t="s">
        <v>29</v>
      </c>
      <c r="D158" s="1459">
        <v>52778</v>
      </c>
      <c r="E158" s="1468" t="s">
        <v>2746</v>
      </c>
      <c r="F158" s="1654" t="s">
        <v>2642</v>
      </c>
      <c r="G158" s="1267" t="s">
        <v>2222</v>
      </c>
      <c r="H158" s="1304">
        <v>172211</v>
      </c>
      <c r="I158" s="1269" t="s">
        <v>35</v>
      </c>
      <c r="J158" s="1269" t="s">
        <v>2306</v>
      </c>
      <c r="K158" s="1386">
        <v>45551</v>
      </c>
      <c r="L158" s="1386">
        <v>45551</v>
      </c>
      <c r="M158" s="1386">
        <v>45555</v>
      </c>
      <c r="N158" s="1386"/>
      <c r="O158" s="1408"/>
      <c r="P158" s="1267" t="s">
        <v>2557</v>
      </c>
      <c r="Q158" s="1387">
        <v>2.1748140119999997</v>
      </c>
      <c r="R158" s="1387">
        <v>1.2976999999999999</v>
      </c>
      <c r="S158" s="1502">
        <f t="shared" si="17"/>
        <v>0.59669470255371893</v>
      </c>
      <c r="T158" s="1388">
        <v>97.829451829320007</v>
      </c>
      <c r="U158" s="1388">
        <v>173.98510126865628</v>
      </c>
      <c r="V158" s="1388">
        <v>15.291888133052696</v>
      </c>
      <c r="W158" s="1388">
        <v>7.2851175994083972</v>
      </c>
      <c r="X158" s="1388">
        <v>4.0802987577290644</v>
      </c>
      <c r="Y158" s="1276">
        <f t="shared" si="23"/>
        <v>9.4034668320584894E-2</v>
      </c>
      <c r="Z158" s="1388">
        <v>110.0451222537975</v>
      </c>
      <c r="AA158" s="1388">
        <v>41</v>
      </c>
      <c r="AB158" s="1388">
        <v>9.4829769899999992</v>
      </c>
      <c r="AC158" s="1388">
        <f t="shared" si="24"/>
        <v>2.9962148274576568</v>
      </c>
      <c r="AD158" s="1275">
        <f t="shared" si="25"/>
        <v>0.60158431546924285</v>
      </c>
      <c r="AE158" s="1388">
        <v>2.609776519029845</v>
      </c>
      <c r="AF158" s="1388">
        <v>2.5706298712443973</v>
      </c>
      <c r="AG158" s="1388">
        <v>2.5320704231757314</v>
      </c>
      <c r="AH158" s="1568" t="s">
        <v>2775</v>
      </c>
      <c r="AI158" s="1568"/>
      <c r="AJ158" s="1568">
        <v>170.87</v>
      </c>
      <c r="AK158" s="1568">
        <v>149.05000000000001</v>
      </c>
      <c r="AL158" s="1267"/>
      <c r="AM158" s="1568">
        <v>9.48</v>
      </c>
      <c r="AN158" s="1568">
        <v>-2.56</v>
      </c>
      <c r="AO158" s="1568">
        <v>-2.56</v>
      </c>
      <c r="AP158" s="1568">
        <v>-2.56</v>
      </c>
      <c r="AQ158" s="1717">
        <f t="shared" si="26"/>
        <v>2.942569357</v>
      </c>
      <c r="AR158" s="1718"/>
    </row>
    <row r="159" spans="1:44">
      <c r="A159" s="1521">
        <v>157</v>
      </c>
      <c r="B159" s="1700" t="s">
        <v>2300</v>
      </c>
      <c r="C159" s="1347" t="s">
        <v>29</v>
      </c>
      <c r="D159" s="1490">
        <v>51097</v>
      </c>
      <c r="E159" s="1737" t="s">
        <v>2643</v>
      </c>
      <c r="F159" s="1738" t="s">
        <v>2644</v>
      </c>
      <c r="G159" s="1347" t="s">
        <v>2222</v>
      </c>
      <c r="H159" s="1739">
        <v>172211</v>
      </c>
      <c r="I159" s="1348" t="s">
        <v>35</v>
      </c>
      <c r="J159" s="1348" t="s">
        <v>2306</v>
      </c>
      <c r="K159" s="1493">
        <v>45551</v>
      </c>
      <c r="L159" s="1493">
        <v>45551</v>
      </c>
      <c r="M159" s="1493">
        <v>45555</v>
      </c>
      <c r="N159" s="1493"/>
      <c r="O159" s="1540"/>
      <c r="P159" s="1347" t="s">
        <v>2557</v>
      </c>
      <c r="Q159" s="1623">
        <v>6.0747235966153843</v>
      </c>
      <c r="R159" s="1623">
        <v>2.9431000000000003</v>
      </c>
      <c r="S159" s="1495">
        <f t="shared" si="17"/>
        <v>0.48448294859700097</v>
      </c>
      <c r="T159" s="1496">
        <v>279.14811784373074</v>
      </c>
      <c r="U159" s="1496">
        <v>432.38611713150749</v>
      </c>
      <c r="V159" s="1496">
        <v>30.945131382570345</v>
      </c>
      <c r="W159" s="1496">
        <v>36.551193472893857</v>
      </c>
      <c r="X159" s="1746">
        <v>7.9557327329382792</v>
      </c>
      <c r="Y159" s="1497">
        <f t="shared" si="23"/>
        <v>7.9780333945524765E-2</v>
      </c>
      <c r="Z159" s="1496">
        <v>303.4761477518926</v>
      </c>
      <c r="AA159" s="1496">
        <v>79.55</v>
      </c>
      <c r="AB159" s="1496">
        <v>17.742171454000001</v>
      </c>
      <c r="AC159" s="1496">
        <f t="shared" si="24"/>
        <v>7.4461645617334042</v>
      </c>
      <c r="AD159" s="1498">
        <f t="shared" si="25"/>
        <v>0.71967799349468198</v>
      </c>
      <c r="AE159" s="1496">
        <v>6.4857917569726116</v>
      </c>
      <c r="AF159" s="1496">
        <v>6.3885048806180222</v>
      </c>
      <c r="AG159" s="1496">
        <v>6.2926773074087512</v>
      </c>
      <c r="AH159" s="1641" t="s">
        <v>2775</v>
      </c>
      <c r="AI159" s="1641"/>
      <c r="AJ159" s="1641">
        <v>418.9</v>
      </c>
      <c r="AK159" s="1641">
        <v>370.53</v>
      </c>
      <c r="AL159" s="1347"/>
      <c r="AM159" s="1641">
        <v>17</v>
      </c>
      <c r="AN159" s="1641">
        <v>-6.28</v>
      </c>
      <c r="AO159" s="1641">
        <v>-6.28</v>
      </c>
      <c r="AP159" s="1641">
        <v>-6.28</v>
      </c>
      <c r="AQ159" s="1641">
        <v>-6.28</v>
      </c>
      <c r="AR159" s="1647"/>
    </row>
    <row r="160" spans="1:44" ht="21.75" thickBot="1">
      <c r="A160" s="1521">
        <v>158</v>
      </c>
      <c r="B160" s="1513" t="s">
        <v>2300</v>
      </c>
      <c r="C160" s="1263" t="s">
        <v>29</v>
      </c>
      <c r="D160" s="1458">
        <v>51097</v>
      </c>
      <c r="E160" s="1466" t="s">
        <v>2645</v>
      </c>
      <c r="F160" s="1651" t="s">
        <v>2646</v>
      </c>
      <c r="G160" s="1263" t="s">
        <v>2222</v>
      </c>
      <c r="H160" s="1310">
        <v>172211</v>
      </c>
      <c r="I160" s="1265" t="s">
        <v>35</v>
      </c>
      <c r="J160" s="1265" t="s">
        <v>2306</v>
      </c>
      <c r="K160" s="1283">
        <v>45551</v>
      </c>
      <c r="L160" s="1283">
        <v>45551</v>
      </c>
      <c r="M160" s="1283">
        <v>45555</v>
      </c>
      <c r="N160" s="1283"/>
      <c r="O160" s="1394"/>
      <c r="P160" s="1263" t="s">
        <v>2557</v>
      </c>
      <c r="Q160" s="1383">
        <v>5.1484963419999996</v>
      </c>
      <c r="R160" s="1383">
        <v>2.2795000000000001</v>
      </c>
      <c r="S160" s="1455">
        <f t="shared" si="17"/>
        <v>0.44275063019943778</v>
      </c>
      <c r="T160" s="1384">
        <v>211.34981529402003</v>
      </c>
      <c r="U160" s="1384">
        <v>366.01816122340983</v>
      </c>
      <c r="V160" s="1384">
        <v>30.551692343972498</v>
      </c>
      <c r="W160" s="1384">
        <v>36.551193472893857</v>
      </c>
      <c r="X160" s="1747">
        <v>8.0930391466144869</v>
      </c>
      <c r="Y160" s="1285">
        <f t="shared" si="23"/>
        <v>9.5065870702996408E-2</v>
      </c>
      <c r="Z160" s="1384">
        <v>289.46031434743503</v>
      </c>
      <c r="AA160" s="1384">
        <v>79.8</v>
      </c>
      <c r="AB160" s="1384">
        <v>17.742171454000001</v>
      </c>
      <c r="AC160" s="1384">
        <f t="shared" si="24"/>
        <v>6.3032353562444623</v>
      </c>
      <c r="AD160" s="1284">
        <f t="shared" si="25"/>
        <v>0.65764455820096113</v>
      </c>
      <c r="AE160" s="1384">
        <v>5.4902724183511467</v>
      </c>
      <c r="AF160" s="1384">
        <v>5.4079183320758792</v>
      </c>
      <c r="AG160" s="1384">
        <v>5.3267995570947413</v>
      </c>
      <c r="AH160" s="1561" t="s">
        <v>2775</v>
      </c>
      <c r="AI160" s="1561"/>
      <c r="AJ160" s="1561">
        <v>352.54</v>
      </c>
      <c r="AK160" s="1561">
        <v>356.76</v>
      </c>
      <c r="AL160" s="1263"/>
      <c r="AM160" s="1561">
        <v>17</v>
      </c>
      <c r="AN160" s="1561">
        <v>-5.29</v>
      </c>
      <c r="AO160" s="1561">
        <v>-5.29</v>
      </c>
      <c r="AP160" s="1561">
        <v>-5.29</v>
      </c>
      <c r="AQ160" s="1648">
        <f t="shared" si="26"/>
        <v>6.0711265940000008</v>
      </c>
      <c r="AR160" s="1564"/>
    </row>
    <row r="161" spans="1:44">
      <c r="A161" s="1521">
        <v>159</v>
      </c>
      <c r="B161" s="1700" t="s">
        <v>2739</v>
      </c>
      <c r="C161" s="1347" t="s">
        <v>29</v>
      </c>
      <c r="D161" s="1490">
        <v>53059</v>
      </c>
      <c r="E161" s="1737" t="s">
        <v>2647</v>
      </c>
      <c r="F161" s="1738" t="s">
        <v>2644</v>
      </c>
      <c r="G161" s="1347" t="s">
        <v>2741</v>
      </c>
      <c r="H161" s="1739">
        <v>200000</v>
      </c>
      <c r="I161" s="1348" t="s">
        <v>35</v>
      </c>
      <c r="J161" s="1348" t="s">
        <v>2306</v>
      </c>
      <c r="K161" s="1493">
        <v>45551</v>
      </c>
      <c r="L161" s="1493">
        <v>45551</v>
      </c>
      <c r="M161" s="1493">
        <v>45555</v>
      </c>
      <c r="N161" s="1493"/>
      <c r="O161" s="1540"/>
      <c r="P161" s="1347" t="s">
        <v>2557</v>
      </c>
      <c r="Q161" s="1623">
        <v>5.8780000000000001</v>
      </c>
      <c r="R161" s="1623">
        <v>2.7930000000000001</v>
      </c>
      <c r="S161" s="1495">
        <f t="shared" si="17"/>
        <v>0.47516161959850289</v>
      </c>
      <c r="T161" s="1496">
        <v>288.11</v>
      </c>
      <c r="U161" s="1496">
        <v>427.02</v>
      </c>
      <c r="V161" s="1496">
        <v>28.45</v>
      </c>
      <c r="W161" s="1496">
        <v>31.41</v>
      </c>
      <c r="X161" s="1496">
        <v>7.2</v>
      </c>
      <c r="Y161" s="1497">
        <f t="shared" si="23"/>
        <v>7.3247341726526097E-2</v>
      </c>
      <c r="Z161" s="1496">
        <v>282.91000000000003</v>
      </c>
      <c r="AA161" s="1496">
        <v>71.75</v>
      </c>
      <c r="AB161" s="1496">
        <v>12.95</v>
      </c>
      <c r="AC161" s="1496">
        <f t="shared" si="24"/>
        <v>8.5404</v>
      </c>
      <c r="AD161" s="1498">
        <f t="shared" si="25"/>
        <v>0.74176771967766031</v>
      </c>
      <c r="AE161" s="1496">
        <v>7.47</v>
      </c>
      <c r="AF161" s="1496">
        <v>7.34</v>
      </c>
      <c r="AG161" s="1496">
        <v>7.21</v>
      </c>
      <c r="AH161" s="1641" t="s">
        <v>2775</v>
      </c>
      <c r="AI161" s="1641"/>
      <c r="AJ161" s="1641">
        <v>426</v>
      </c>
      <c r="AK161" s="1764">
        <v>351.34</v>
      </c>
      <c r="AL161" s="1641"/>
      <c r="AM161" s="1641">
        <v>12.95</v>
      </c>
      <c r="AN161" s="1641">
        <v>-7.46</v>
      </c>
      <c r="AO161" s="1641">
        <v>-7.32</v>
      </c>
      <c r="AP161" s="1641">
        <v>-7.2</v>
      </c>
      <c r="AQ161" s="1646">
        <f t="shared" si="26"/>
        <v>8.52</v>
      </c>
      <c r="AR161" s="1647"/>
    </row>
    <row r="162" spans="1:44" ht="21.75" thickBot="1">
      <c r="A162" s="1521">
        <v>160</v>
      </c>
      <c r="B162" s="1513" t="s">
        <v>2739</v>
      </c>
      <c r="C162" s="1263" t="s">
        <v>29</v>
      </c>
      <c r="D162" s="1458">
        <v>53059</v>
      </c>
      <c r="E162" s="1466" t="s">
        <v>2648</v>
      </c>
      <c r="F162" s="1651" t="s">
        <v>2646</v>
      </c>
      <c r="G162" s="1263" t="s">
        <v>2741</v>
      </c>
      <c r="H162" s="1310">
        <v>200000</v>
      </c>
      <c r="I162" s="1265" t="s">
        <v>35</v>
      </c>
      <c r="J162" s="1265" t="s">
        <v>2306</v>
      </c>
      <c r="K162" s="1283">
        <v>45551</v>
      </c>
      <c r="L162" s="1283">
        <v>45551</v>
      </c>
      <c r="M162" s="1283">
        <v>45555</v>
      </c>
      <c r="N162" s="1283"/>
      <c r="O162" s="1394"/>
      <c r="P162" s="1263" t="s">
        <v>2557</v>
      </c>
      <c r="Q162" s="1383">
        <v>4.8470000000000004</v>
      </c>
      <c r="R162" s="1383">
        <v>2.0699999999999998</v>
      </c>
      <c r="S162" s="1455">
        <f t="shared" si="17"/>
        <v>0.42706828966370947</v>
      </c>
      <c r="T162" s="1384">
        <v>218.43</v>
      </c>
      <c r="U162" s="1384">
        <v>358.22</v>
      </c>
      <c r="V162" s="1384">
        <v>27.91</v>
      </c>
      <c r="W162" s="1384">
        <v>31.47</v>
      </c>
      <c r="X162" s="1384">
        <v>7.3</v>
      </c>
      <c r="Y162" s="1285">
        <f t="shared" si="23"/>
        <v>8.7368915323211768E-2</v>
      </c>
      <c r="Z162" s="1384">
        <v>279.56</v>
      </c>
      <c r="AA162" s="1384">
        <v>72.25</v>
      </c>
      <c r="AB162" s="1384">
        <v>12.95</v>
      </c>
      <c r="AC162" s="1384">
        <f t="shared" si="24"/>
        <v>7.1643999999999997</v>
      </c>
      <c r="AD162" s="1284">
        <f t="shared" si="25"/>
        <v>0.68376897793081859</v>
      </c>
      <c r="AE162" s="1384">
        <v>6.27</v>
      </c>
      <c r="AF162" s="1384">
        <v>6.16</v>
      </c>
      <c r="AG162" s="1384">
        <v>6.05</v>
      </c>
      <c r="AH162" s="1561" t="s">
        <v>2775</v>
      </c>
      <c r="AI162" s="1561"/>
      <c r="AJ162" s="1561">
        <v>356</v>
      </c>
      <c r="AK162" s="1766">
        <v>348.49</v>
      </c>
      <c r="AL162" s="1561"/>
      <c r="AM162" s="1561">
        <v>12.95</v>
      </c>
      <c r="AN162" s="1561">
        <v>-6.23</v>
      </c>
      <c r="AO162" s="1561">
        <v>-6.12</v>
      </c>
      <c r="AP162" s="1561">
        <v>-6.01</v>
      </c>
      <c r="AQ162" s="1648">
        <f t="shared" si="26"/>
        <v>7.12</v>
      </c>
      <c r="AR162" s="1564"/>
    </row>
    <row r="163" spans="1:44">
      <c r="A163" s="1521">
        <v>161</v>
      </c>
      <c r="B163" s="1700" t="s">
        <v>2740</v>
      </c>
      <c r="C163" s="1347" t="s">
        <v>29</v>
      </c>
      <c r="D163" s="1490">
        <v>53491</v>
      </c>
      <c r="E163" s="1737" t="s">
        <v>2649</v>
      </c>
      <c r="F163" s="1738" t="s">
        <v>2650</v>
      </c>
      <c r="G163" s="1347" t="s">
        <v>2741</v>
      </c>
      <c r="H163" s="1739">
        <v>53156</v>
      </c>
      <c r="I163" s="1348" t="s">
        <v>35</v>
      </c>
      <c r="J163" s="1348" t="s">
        <v>2306</v>
      </c>
      <c r="K163" s="1493">
        <v>45551</v>
      </c>
      <c r="L163" s="1493">
        <v>45551</v>
      </c>
      <c r="M163" s="1493">
        <v>45555</v>
      </c>
      <c r="N163" s="1493"/>
      <c r="O163" s="1540"/>
      <c r="P163" s="1347" t="s">
        <v>2557</v>
      </c>
      <c r="Q163" s="1623">
        <v>5.2959234019999997</v>
      </c>
      <c r="R163" s="1623">
        <v>3.6163000000000003</v>
      </c>
      <c r="S163" s="1495">
        <f t="shared" si="17"/>
        <v>0.68284597897211063</v>
      </c>
      <c r="T163" s="1496">
        <v>395.71520453316992</v>
      </c>
      <c r="U163" s="1496">
        <v>593.65926281617817</v>
      </c>
      <c r="V163" s="1496">
        <v>41.743673928471402</v>
      </c>
      <c r="W163" s="1496">
        <v>10.660850250962724</v>
      </c>
      <c r="X163" s="1496">
        <v>54.492793519563961</v>
      </c>
      <c r="Y163" s="1497">
        <f t="shared" si="23"/>
        <v>7.8984352150976198E-2</v>
      </c>
      <c r="Z163" s="1496">
        <v>382.64366972167875</v>
      </c>
      <c r="AA163" s="1496">
        <v>52.5</v>
      </c>
      <c r="AB163" s="1496">
        <v>18.73502723</v>
      </c>
      <c r="AC163" s="1496">
        <f t="shared" si="24"/>
        <v>3.1556551774256767</v>
      </c>
      <c r="AD163" s="1498">
        <f t="shared" si="25"/>
        <v>0.74874360890946123</v>
      </c>
      <c r="AE163" s="1496">
        <v>7.4207407852022262</v>
      </c>
      <c r="AF163" s="1496">
        <v>7.327981525387198</v>
      </c>
      <c r="AG163" s="1496">
        <v>7.236381756319858</v>
      </c>
      <c r="AH163" s="1347"/>
      <c r="AI163" s="1347"/>
      <c r="AJ163" s="1347"/>
      <c r="AK163" s="1347"/>
      <c r="AL163" s="1347"/>
      <c r="AM163" s="1347"/>
      <c r="AN163" s="1347"/>
      <c r="AO163" s="1347"/>
      <c r="AP163" s="1347"/>
      <c r="AQ163" s="1623">
        <f t="shared" si="26"/>
        <v>0</v>
      </c>
      <c r="AR163" s="1350"/>
    </row>
    <row r="164" spans="1:44" ht="21.75" thickBot="1">
      <c r="A164" s="1521">
        <v>162</v>
      </c>
      <c r="B164" s="1513" t="s">
        <v>2740</v>
      </c>
      <c r="C164" s="1263" t="s">
        <v>29</v>
      </c>
      <c r="D164" s="1458">
        <v>53491</v>
      </c>
      <c r="E164" s="1466" t="s">
        <v>2651</v>
      </c>
      <c r="F164" s="1651" t="s">
        <v>2652</v>
      </c>
      <c r="G164" s="1263" t="s">
        <v>2741</v>
      </c>
      <c r="H164" s="1310">
        <v>53156</v>
      </c>
      <c r="I164" s="1265" t="s">
        <v>35</v>
      </c>
      <c r="J164" s="1265" t="s">
        <v>2306</v>
      </c>
      <c r="K164" s="1283">
        <v>45551</v>
      </c>
      <c r="L164" s="1283">
        <v>45551</v>
      </c>
      <c r="M164" s="1283">
        <v>45555</v>
      </c>
      <c r="N164" s="1283"/>
      <c r="O164" s="1394"/>
      <c r="P164" s="1263" t="s">
        <v>2557</v>
      </c>
      <c r="Q164" s="1383">
        <v>5.2959234019999997</v>
      </c>
      <c r="R164" s="1383">
        <v>3.6164000000000001</v>
      </c>
      <c r="S164" s="1455">
        <f t="shared" si="17"/>
        <v>0.68286486142044101</v>
      </c>
      <c r="T164" s="1384">
        <v>395.71882553316999</v>
      </c>
      <c r="U164" s="1384">
        <v>593.66314315527836</v>
      </c>
      <c r="V164" s="1384">
        <v>41.743746348471404</v>
      </c>
      <c r="W164" s="1384">
        <v>10.660857855062725</v>
      </c>
      <c r="X164" s="1384">
        <v>54.492793519563961</v>
      </c>
      <c r="Y164" s="1285">
        <f t="shared" si="23"/>
        <v>7.8983910407793387E-2</v>
      </c>
      <c r="Z164" s="1384">
        <v>382.64366972167875</v>
      </c>
      <c r="AA164" s="1384">
        <v>52.5</v>
      </c>
      <c r="AB164" s="1384">
        <v>18.73502723</v>
      </c>
      <c r="AC164" s="1384">
        <f t="shared" si="24"/>
        <v>3.1556758037561976</v>
      </c>
      <c r="AD164" s="1284">
        <f t="shared" si="25"/>
        <v>0.74874497371828852</v>
      </c>
      <c r="AE164" s="1384">
        <v>7.420789289440977</v>
      </c>
      <c r="AF164" s="1384">
        <v>7.3280294233229641</v>
      </c>
      <c r="AG164" s="1384">
        <v>7.2364290555314277</v>
      </c>
      <c r="AH164" s="1263"/>
      <c r="AI164" s="1263"/>
      <c r="AJ164" s="1263"/>
      <c r="AK164" s="1263"/>
      <c r="AL164" s="1263"/>
      <c r="AM164" s="1263"/>
      <c r="AN164" s="1263"/>
      <c r="AO164" s="1263"/>
      <c r="AP164" s="1263"/>
      <c r="AQ164" s="1383">
        <f t="shared" si="26"/>
        <v>0</v>
      </c>
      <c r="AR164" s="1266"/>
    </row>
    <row r="165" spans="1:44">
      <c r="A165" s="1521">
        <v>163</v>
      </c>
      <c r="B165" s="1700" t="s">
        <v>2300</v>
      </c>
      <c r="C165" s="1347" t="s">
        <v>29</v>
      </c>
      <c r="D165" s="1490">
        <v>51287</v>
      </c>
      <c r="E165" s="1737" t="s">
        <v>2653</v>
      </c>
      <c r="F165" s="1738" t="s">
        <v>2654</v>
      </c>
      <c r="G165" s="1347" t="s">
        <v>2222</v>
      </c>
      <c r="H165" s="1739">
        <v>172211</v>
      </c>
      <c r="I165" s="1348" t="s">
        <v>35</v>
      </c>
      <c r="J165" s="1348" t="s">
        <v>2306</v>
      </c>
      <c r="K165" s="1493">
        <v>45551</v>
      </c>
      <c r="L165" s="1493">
        <v>45551</v>
      </c>
      <c r="M165" s="1493">
        <v>45555</v>
      </c>
      <c r="N165" s="1493"/>
      <c r="O165" s="1540"/>
      <c r="P165" s="1347" t="s">
        <v>2557</v>
      </c>
      <c r="Q165" s="1623">
        <v>0.477868776</v>
      </c>
      <c r="R165" s="1623">
        <v>0.34599999999999997</v>
      </c>
      <c r="S165" s="1495">
        <f t="shared" si="17"/>
        <v>0.72404814329195677</v>
      </c>
      <c r="T165" s="1496">
        <v>29.617801817759997</v>
      </c>
      <c r="U165" s="1496">
        <v>42.601852211123493</v>
      </c>
      <c r="V165" s="1496">
        <v>2.7439844731362166</v>
      </c>
      <c r="W165" s="1496">
        <v>0</v>
      </c>
      <c r="X165" s="1496">
        <v>0.6873991324476656</v>
      </c>
      <c r="Y165" s="1497">
        <f t="shared" si="23"/>
        <v>6.546630748075373E-2</v>
      </c>
      <c r="Z165" s="1496">
        <v>36.570599591526005</v>
      </c>
      <c r="AA165" s="1496">
        <v>2</v>
      </c>
      <c r="AB165" s="1496">
        <v>1.5194431249999998</v>
      </c>
      <c r="AC165" s="1496">
        <f t="shared" si="24"/>
        <v>0.73365075711297878</v>
      </c>
      <c r="AD165" s="1498">
        <f t="shared" si="25"/>
        <v>0.70662503366477636</v>
      </c>
      <c r="AE165" s="1496">
        <v>0.21300926105561752</v>
      </c>
      <c r="AF165" s="1496">
        <v>0.21194421475033942</v>
      </c>
      <c r="AG165" s="1496">
        <v>0.21088449367658771</v>
      </c>
      <c r="AH165" s="1641" t="s">
        <v>2775</v>
      </c>
      <c r="AI165" s="1641"/>
      <c r="AJ165" s="1641">
        <v>41.8</v>
      </c>
      <c r="AK165" s="1641">
        <v>37.57</v>
      </c>
      <c r="AL165" s="1347"/>
      <c r="AM165" s="1641">
        <v>1.52</v>
      </c>
      <c r="AN165" s="1641">
        <v>-0.21</v>
      </c>
      <c r="AO165" s="1641">
        <v>-0.21</v>
      </c>
      <c r="AP165" s="1641">
        <v>-0.21</v>
      </c>
      <c r="AQ165" s="1646">
        <f t="shared" si="26"/>
        <v>0.71984197999999999</v>
      </c>
      <c r="AR165" s="1647"/>
    </row>
    <row r="166" spans="1:44" ht="21.75" thickBot="1">
      <c r="A166" s="1521">
        <v>164</v>
      </c>
      <c r="B166" s="1513" t="s">
        <v>2300</v>
      </c>
      <c r="C166" s="1263" t="s">
        <v>29</v>
      </c>
      <c r="D166" s="1458">
        <v>51287</v>
      </c>
      <c r="E166" s="1466" t="s">
        <v>2655</v>
      </c>
      <c r="F166" s="1651" t="s">
        <v>2656</v>
      </c>
      <c r="G166" s="1263" t="s">
        <v>2222</v>
      </c>
      <c r="H166" s="1310">
        <v>172211</v>
      </c>
      <c r="I166" s="1265" t="s">
        <v>35</v>
      </c>
      <c r="J166" s="1265" t="s">
        <v>2306</v>
      </c>
      <c r="K166" s="1283">
        <v>45551</v>
      </c>
      <c r="L166" s="1283">
        <v>45551</v>
      </c>
      <c r="M166" s="1283">
        <v>45555</v>
      </c>
      <c r="N166" s="1283"/>
      <c r="O166" s="1394"/>
      <c r="P166" s="1263" t="s">
        <v>2557</v>
      </c>
      <c r="Q166" s="1383">
        <v>0.477868776</v>
      </c>
      <c r="R166" s="1383">
        <v>0.34899999999999998</v>
      </c>
      <c r="S166" s="1455">
        <f t="shared" si="17"/>
        <v>0.73032601736674252</v>
      </c>
      <c r="T166" s="1384">
        <v>29.747341817759995</v>
      </c>
      <c r="U166" s="1384">
        <v>42.739948145123499</v>
      </c>
      <c r="V166" s="1384">
        <v>2.7465752731362167</v>
      </c>
      <c r="W166" s="1384"/>
      <c r="X166" s="1384">
        <v>0.68767116644766568</v>
      </c>
      <c r="Y166" s="1285">
        <f t="shared" si="23"/>
        <v>6.5313354483253538E-2</v>
      </c>
      <c r="Z166" s="1384">
        <v>36.570599591526005</v>
      </c>
      <c r="AA166" s="1384">
        <v>2</v>
      </c>
      <c r="AB166" s="1384">
        <v>1.5194431249999998</v>
      </c>
      <c r="AC166" s="1384">
        <f t="shared" si="24"/>
        <v>0.73602892100198636</v>
      </c>
      <c r="AD166" s="1284">
        <f t="shared" si="25"/>
        <v>0.70738956258764507</v>
      </c>
      <c r="AE166" s="1384">
        <v>0.21369974072561751</v>
      </c>
      <c r="AF166" s="1384">
        <v>0.21263124202198941</v>
      </c>
      <c r="AG166" s="1384">
        <v>0.21156808581187947</v>
      </c>
      <c r="AH166" s="1561" t="s">
        <v>2775</v>
      </c>
      <c r="AI166" s="1561"/>
      <c r="AJ166" s="1561">
        <v>41.94</v>
      </c>
      <c r="AK166" s="1561">
        <v>37.57</v>
      </c>
      <c r="AL166" s="1263"/>
      <c r="AM166" s="1561">
        <v>1.52</v>
      </c>
      <c r="AN166" s="1561">
        <v>-0.21</v>
      </c>
      <c r="AO166" s="1561">
        <v>-0.21</v>
      </c>
      <c r="AP166" s="1561">
        <v>-0.21</v>
      </c>
      <c r="AQ166" s="1648">
        <f t="shared" si="26"/>
        <v>0.72225293400000001</v>
      </c>
      <c r="AR166" s="1564"/>
    </row>
    <row r="167" spans="1:44">
      <c r="A167" s="1521">
        <v>165</v>
      </c>
      <c r="B167" s="1700" t="s">
        <v>2300</v>
      </c>
      <c r="C167" s="1347" t="s">
        <v>29</v>
      </c>
      <c r="D167" s="1490">
        <v>51147</v>
      </c>
      <c r="E167" s="1737" t="s">
        <v>2657</v>
      </c>
      <c r="F167" s="1738" t="s">
        <v>2658</v>
      </c>
      <c r="G167" s="1347" t="s">
        <v>2222</v>
      </c>
      <c r="H167" s="1739">
        <v>105470</v>
      </c>
      <c r="I167" s="1348" t="s">
        <v>35</v>
      </c>
      <c r="J167" s="1348" t="s">
        <v>2306</v>
      </c>
      <c r="K167" s="1493">
        <v>45551</v>
      </c>
      <c r="L167" s="1493">
        <v>45551</v>
      </c>
      <c r="M167" s="1493">
        <v>45555</v>
      </c>
      <c r="N167" s="1493"/>
      <c r="O167" s="1540"/>
      <c r="P167" s="1347" t="s">
        <v>2557</v>
      </c>
      <c r="Q167" s="1623">
        <v>8.4947807388243692</v>
      </c>
      <c r="R167" s="1623">
        <v>4.7702</v>
      </c>
      <c r="S167" s="1495">
        <f t="shared" si="17"/>
        <v>0.56154480576507138</v>
      </c>
      <c r="T167" s="1496">
        <v>444.99388540481999</v>
      </c>
      <c r="U167" s="1496">
        <v>689.10131782199403</v>
      </c>
      <c r="V167" s="1496">
        <v>50.293355380155162</v>
      </c>
      <c r="W167" s="1496">
        <v>25.874728025484995</v>
      </c>
      <c r="X167" s="1496">
        <v>12.962249100059768</v>
      </c>
      <c r="Y167" s="1497">
        <f t="shared" si="23"/>
        <v>7.7342939221132334E-2</v>
      </c>
      <c r="Z167" s="1496">
        <v>503.98486728074101</v>
      </c>
      <c r="AA167" s="1496">
        <v>233.15</v>
      </c>
      <c r="AB167" s="1496">
        <v>31.604029249999996</v>
      </c>
      <c r="AC167" s="1496">
        <f t="shared" si="24"/>
        <v>7.2679515990685717</v>
      </c>
      <c r="AD167" s="1498">
        <f t="shared" si="25"/>
        <v>0.68432767653877569</v>
      </c>
      <c r="AE167" s="1496">
        <v>12.059273061884895</v>
      </c>
      <c r="AF167" s="1496">
        <v>11.848235783301908</v>
      </c>
      <c r="AG167" s="1496">
        <v>11.640891657094125</v>
      </c>
      <c r="AH167" s="1641" t="s">
        <v>2775</v>
      </c>
      <c r="AI167" s="1641"/>
      <c r="AJ167" s="1641">
        <v>674.77</v>
      </c>
      <c r="AK167" s="1641">
        <v>724.63</v>
      </c>
      <c r="AL167" s="1641"/>
      <c r="AM167" s="1641">
        <v>30</v>
      </c>
      <c r="AN167" s="1641">
        <v>-11.81</v>
      </c>
      <c r="AO167" s="1641">
        <v>-11.81</v>
      </c>
      <c r="AP167" s="1641">
        <v>-11.81</v>
      </c>
      <c r="AQ167" s="1646">
        <f t="shared" si="26"/>
        <v>7.1167991899999992</v>
      </c>
      <c r="AR167" s="1647"/>
    </row>
    <row r="168" spans="1:44">
      <c r="A168" s="1521">
        <v>166</v>
      </c>
      <c r="B168" s="1515" t="s">
        <v>2300</v>
      </c>
      <c r="C168" s="1270" t="s">
        <v>29</v>
      </c>
      <c r="D168" s="1448">
        <v>51147</v>
      </c>
      <c r="E168" s="1465" t="s">
        <v>2659</v>
      </c>
      <c r="F168" s="1740" t="s">
        <v>2658</v>
      </c>
      <c r="G168" s="1270" t="s">
        <v>2222</v>
      </c>
      <c r="H168" s="1301">
        <v>43680</v>
      </c>
      <c r="I168" s="1272" t="s">
        <v>35</v>
      </c>
      <c r="J168" s="1272" t="s">
        <v>2306</v>
      </c>
      <c r="K168" s="1280">
        <v>45551</v>
      </c>
      <c r="L168" s="1280">
        <v>45551</v>
      </c>
      <c r="M168" s="1280">
        <v>45555</v>
      </c>
      <c r="N168" s="1280"/>
      <c r="O168" s="1533"/>
      <c r="P168" s="1270" t="s">
        <v>2557</v>
      </c>
      <c r="Q168" s="1390">
        <v>8.4947807388243692</v>
      </c>
      <c r="R168" s="1390">
        <v>4.7671999999999999</v>
      </c>
      <c r="S168" s="1286">
        <f t="shared" si="17"/>
        <v>0.56119164773872132</v>
      </c>
      <c r="T168" s="1391">
        <v>444.86434540481997</v>
      </c>
      <c r="U168" s="1391">
        <v>688.96322188799377</v>
      </c>
      <c r="V168" s="1391">
        <v>50.290764580155162</v>
      </c>
      <c r="W168" s="1391">
        <v>25.874728025484995</v>
      </c>
      <c r="X168" s="1391">
        <v>12.961977066059768</v>
      </c>
      <c r="Y168" s="1282">
        <f t="shared" si="23"/>
        <v>7.7355350506186041E-2</v>
      </c>
      <c r="Z168" s="1391">
        <v>0</v>
      </c>
      <c r="AA168" s="1391">
        <v>0</v>
      </c>
      <c r="AB168" s="1391">
        <v>0</v>
      </c>
      <c r="AC168" s="1391">
        <f t="shared" si="24"/>
        <v>3.0093913532067567</v>
      </c>
      <c r="AD168" s="1281">
        <f t="shared" si="25"/>
        <v>0.6842734974062048</v>
      </c>
      <c r="AE168" s="1391">
        <v>12.056856383039895</v>
      </c>
      <c r="AF168" s="1391">
        <v>11.845861396336696</v>
      </c>
      <c r="AG168" s="1391">
        <v>11.638558821900805</v>
      </c>
      <c r="AH168" s="1560" t="s">
        <v>2775</v>
      </c>
      <c r="AI168" s="1560"/>
      <c r="AJ168" s="1560">
        <v>674.33</v>
      </c>
      <c r="AK168" s="1560">
        <v>0</v>
      </c>
      <c r="AL168" s="1560"/>
      <c r="AM168" s="1560">
        <v>0</v>
      </c>
      <c r="AN168" s="1560">
        <v>-11.8</v>
      </c>
      <c r="AO168" s="1560">
        <v>-11.8</v>
      </c>
      <c r="AP168" s="1560">
        <v>-11.8</v>
      </c>
      <c r="AQ168" s="1642">
        <f t="shared" si="26"/>
        <v>2.9454734400000002</v>
      </c>
      <c r="AR168" s="1563"/>
    </row>
    <row r="169" spans="1:44" ht="21.75" thickBot="1">
      <c r="A169" s="1521">
        <v>167</v>
      </c>
      <c r="B169" s="1513" t="s">
        <v>2300</v>
      </c>
      <c r="C169" s="1263" t="s">
        <v>29</v>
      </c>
      <c r="D169" s="1458">
        <v>51147</v>
      </c>
      <c r="E169" s="1466" t="s">
        <v>2660</v>
      </c>
      <c r="F169" s="1651" t="s">
        <v>2658</v>
      </c>
      <c r="G169" s="1263" t="s">
        <v>2222</v>
      </c>
      <c r="H169" s="1303">
        <v>23061</v>
      </c>
      <c r="I169" s="1265" t="s">
        <v>35</v>
      </c>
      <c r="J169" s="1265" t="s">
        <v>2306</v>
      </c>
      <c r="K169" s="1283">
        <v>45551</v>
      </c>
      <c r="L169" s="1283">
        <v>45551</v>
      </c>
      <c r="M169" s="1283">
        <v>45555</v>
      </c>
      <c r="N169" s="1283"/>
      <c r="O169" s="1394"/>
      <c r="P169" s="1263" t="s">
        <v>2557</v>
      </c>
      <c r="Q169" s="1383">
        <v>8.4947807388243692</v>
      </c>
      <c r="R169" s="1383">
        <v>4.7728999999999999</v>
      </c>
      <c r="S169" s="1455">
        <f t="shared" si="17"/>
        <v>0.56186264798878649</v>
      </c>
      <c r="T169" s="1384">
        <v>445.11047140481998</v>
      </c>
      <c r="U169" s="1384">
        <v>685.74114516259385</v>
      </c>
      <c r="V169" s="1384">
        <v>49.413687100155158</v>
      </c>
      <c r="W169" s="1384">
        <v>25.874728025484995</v>
      </c>
      <c r="X169" s="1384">
        <v>12.706209930659769</v>
      </c>
      <c r="Y169" s="1285">
        <f t="shared" si="23"/>
        <v>7.6354643795940008E-2</v>
      </c>
      <c r="Z169" s="1384">
        <v>79.829777498624992</v>
      </c>
      <c r="AA169" s="1384">
        <v>8</v>
      </c>
      <c r="AB169" s="1384">
        <v>0</v>
      </c>
      <c r="AC169" s="1384">
        <f t="shared" si="24"/>
        <v>1.5813876548594576</v>
      </c>
      <c r="AD169" s="1284">
        <f t="shared" si="25"/>
        <v>0.68779023562990216</v>
      </c>
      <c r="AE169" s="1384">
        <v>12.000470040345393</v>
      </c>
      <c r="AF169" s="1384">
        <v>11.79046181463935</v>
      </c>
      <c r="AG169" s="1384">
        <v>11.584128732883162</v>
      </c>
      <c r="AH169" s="1561" t="s">
        <v>2775</v>
      </c>
      <c r="AI169" s="1561"/>
      <c r="AJ169" s="1561">
        <v>671.41</v>
      </c>
      <c r="AK169" s="1561">
        <v>85.33</v>
      </c>
      <c r="AL169" s="1561"/>
      <c r="AM169" s="1561">
        <v>0</v>
      </c>
      <c r="AN169" s="1561">
        <v>-11.75</v>
      </c>
      <c r="AO169" s="1561">
        <v>-11.75</v>
      </c>
      <c r="AP169" s="1561">
        <v>-11.75</v>
      </c>
      <c r="AQ169" s="1648">
        <f t="shared" si="26"/>
        <v>1.548338601</v>
      </c>
      <c r="AR169" s="1564"/>
    </row>
    <row r="170" spans="1:44" ht="21.75" thickBot="1">
      <c r="A170" s="1521">
        <v>168</v>
      </c>
      <c r="B170" s="1757" t="s">
        <v>2738</v>
      </c>
      <c r="C170" s="1267" t="s">
        <v>29</v>
      </c>
      <c r="D170" s="1459">
        <v>52825</v>
      </c>
      <c r="E170" s="1468" t="s">
        <v>2661</v>
      </c>
      <c r="F170" s="1654" t="s">
        <v>2662</v>
      </c>
      <c r="G170" s="1267" t="s">
        <v>2741</v>
      </c>
      <c r="H170" s="1304">
        <v>138500</v>
      </c>
      <c r="I170" s="1269" t="s">
        <v>35</v>
      </c>
      <c r="J170" s="1269" t="s">
        <v>2306</v>
      </c>
      <c r="K170" s="1386">
        <v>45551</v>
      </c>
      <c r="L170" s="1386">
        <v>45551</v>
      </c>
      <c r="M170" s="1386">
        <v>45555</v>
      </c>
      <c r="N170" s="1386"/>
      <c r="O170" s="1408"/>
      <c r="P170" s="1267" t="s">
        <v>2557</v>
      </c>
      <c r="Q170" s="1387">
        <v>2.9970157139999998</v>
      </c>
      <c r="R170" s="1387">
        <v>1.774</v>
      </c>
      <c r="S170" s="1502">
        <f t="shared" si="17"/>
        <v>0.5919221550000856</v>
      </c>
      <c r="T170" s="1388">
        <v>149.64241832028401</v>
      </c>
      <c r="U170" s="1388">
        <v>249.67526620052524</v>
      </c>
      <c r="V170" s="1388">
        <v>20.377546665956334</v>
      </c>
      <c r="W170" s="1388"/>
      <c r="X170" s="1388">
        <v>5.3657456986563137</v>
      </c>
      <c r="Y170" s="1276">
        <f t="shared" si="23"/>
        <v>8.3408729320478728E-2</v>
      </c>
      <c r="Z170" s="1388">
        <v>122.68618923041248</v>
      </c>
      <c r="AA170" s="1388">
        <v>41.5</v>
      </c>
      <c r="AB170" s="1388">
        <v>13.544270999999998</v>
      </c>
      <c r="AC170" s="1388">
        <f t="shared" si="24"/>
        <v>3.4580024368772744</v>
      </c>
      <c r="AD170" s="1275">
        <f t="shared" si="25"/>
        <v>0.61251161237140272</v>
      </c>
      <c r="AE170" s="1388">
        <v>3.1209408275065651</v>
      </c>
      <c r="AF170" s="1388">
        <v>3.0819290671627328</v>
      </c>
      <c r="AG170" s="1388">
        <v>3.0434049538231989</v>
      </c>
      <c r="AH170" s="1568" t="s">
        <v>2775</v>
      </c>
      <c r="AI170" s="1568"/>
      <c r="AJ170" s="1568">
        <v>246.56</v>
      </c>
      <c r="AK170" s="1568">
        <v>162</v>
      </c>
      <c r="AL170" s="1267"/>
      <c r="AM170" s="1568">
        <v>13.54</v>
      </c>
      <c r="AN170" s="1568">
        <v>-3.08</v>
      </c>
      <c r="AO170" s="1568">
        <v>-3.08</v>
      </c>
      <c r="AP170" s="1568">
        <v>-3.08</v>
      </c>
      <c r="AQ170" s="1717">
        <f t="shared" si="26"/>
        <v>3.4148559999999999</v>
      </c>
      <c r="AR170" s="1718"/>
    </row>
    <row r="171" spans="1:44" ht="21.75" thickBot="1">
      <c r="A171" s="1521">
        <v>169</v>
      </c>
      <c r="B171" s="1514" t="s">
        <v>2300</v>
      </c>
      <c r="C171" s="1267" t="s">
        <v>29</v>
      </c>
      <c r="D171" s="1459">
        <v>51598</v>
      </c>
      <c r="E171" s="1468" t="s">
        <v>2663</v>
      </c>
      <c r="F171" s="1654" t="s">
        <v>2664</v>
      </c>
      <c r="G171" s="1267" t="s">
        <v>2222</v>
      </c>
      <c r="H171" s="1304">
        <v>172211</v>
      </c>
      <c r="I171" s="1269" t="s">
        <v>35</v>
      </c>
      <c r="J171" s="1269" t="s">
        <v>2306</v>
      </c>
      <c r="K171" s="1386">
        <v>45551</v>
      </c>
      <c r="L171" s="1386">
        <v>45551</v>
      </c>
      <c r="M171" s="1386">
        <v>45555</v>
      </c>
      <c r="N171" s="1386"/>
      <c r="O171" s="1408"/>
      <c r="P171" s="1267" t="s">
        <v>2557</v>
      </c>
      <c r="Q171" s="1387">
        <v>1.8049670099999999</v>
      </c>
      <c r="R171" s="1387">
        <v>1.0444</v>
      </c>
      <c r="S171" s="1502">
        <f t="shared" si="17"/>
        <v>0.57862553399244676</v>
      </c>
      <c r="T171" s="1388">
        <v>80.614946611099995</v>
      </c>
      <c r="U171" s="1388">
        <v>149.6151156373754</v>
      </c>
      <c r="V171" s="1388">
        <v>13.54121589628674</v>
      </c>
      <c r="W171" s="1388">
        <v>7.2851175994083972</v>
      </c>
      <c r="X171" s="1388">
        <v>3.6354938314415506</v>
      </c>
      <c r="Y171" s="1276">
        <f t="shared" si="23"/>
        <v>9.7633399201766211E-2</v>
      </c>
      <c r="Z171" s="1388">
        <v>130.339178617725</v>
      </c>
      <c r="AA171" s="1388">
        <v>42</v>
      </c>
      <c r="AB171" s="1388">
        <v>13.457258659999999</v>
      </c>
      <c r="AC171" s="1388">
        <f t="shared" si="24"/>
        <v>2.5765368679028051</v>
      </c>
      <c r="AD171" s="1275">
        <f t="shared" si="25"/>
        <v>0.58124110304370047</v>
      </c>
      <c r="AE171" s="1388">
        <v>2.2442267345606313</v>
      </c>
      <c r="AF171" s="1388">
        <v>2.2105633335422215</v>
      </c>
      <c r="AG171" s="1388">
        <v>2.1774048835390887</v>
      </c>
      <c r="AH171" s="1568" t="s">
        <v>2775</v>
      </c>
      <c r="AI171" s="1568"/>
      <c r="AJ171" s="1568">
        <v>144</v>
      </c>
      <c r="AK171" s="1568">
        <v>170.34</v>
      </c>
      <c r="AL171" s="1267"/>
      <c r="AM171" s="1568">
        <v>12.46</v>
      </c>
      <c r="AN171" s="1568">
        <v>-2.16</v>
      </c>
      <c r="AO171" s="1568">
        <v>-2.16</v>
      </c>
      <c r="AP171" s="1568">
        <v>-2.16</v>
      </c>
      <c r="AQ171" s="1717">
        <f t="shared" si="26"/>
        <v>2.4798384000000002</v>
      </c>
      <c r="AR171" s="1718"/>
    </row>
    <row r="172" spans="1:44" ht="21.75" thickBot="1">
      <c r="A172" s="1521">
        <v>170</v>
      </c>
      <c r="B172" s="1514" t="s">
        <v>2300</v>
      </c>
      <c r="C172" s="1267" t="s">
        <v>29</v>
      </c>
      <c r="D172" s="1459">
        <v>51307</v>
      </c>
      <c r="E172" s="1468" t="s">
        <v>2665</v>
      </c>
      <c r="F172" s="1654" t="s">
        <v>2666</v>
      </c>
      <c r="G172" s="1267" t="s">
        <v>2222</v>
      </c>
      <c r="H172" s="1304">
        <v>172211</v>
      </c>
      <c r="I172" s="1269" t="s">
        <v>35</v>
      </c>
      <c r="J172" s="1269" t="s">
        <v>2306</v>
      </c>
      <c r="K172" s="1386">
        <v>45551</v>
      </c>
      <c r="L172" s="1386">
        <v>45551</v>
      </c>
      <c r="M172" s="1386">
        <v>45555</v>
      </c>
      <c r="N172" s="1386"/>
      <c r="O172" s="1408"/>
      <c r="P172" s="1267" t="s">
        <v>2557</v>
      </c>
      <c r="Q172" s="1387">
        <v>1.9531814148</v>
      </c>
      <c r="R172" s="1387">
        <v>1.167</v>
      </c>
      <c r="S172" s="1502">
        <f t="shared" si="17"/>
        <v>0.59748674196733409</v>
      </c>
      <c r="T172" s="1388">
        <v>103.50221656038801</v>
      </c>
      <c r="U172" s="1388">
        <v>131.30086025579465</v>
      </c>
      <c r="V172" s="1388">
        <v>6.2658461058340986</v>
      </c>
      <c r="W172" s="1388">
        <v>0</v>
      </c>
      <c r="X172" s="1388">
        <v>1.4365347704325253</v>
      </c>
      <c r="Y172" s="1276">
        <f t="shared" si="23"/>
        <v>4.824917145194247E-2</v>
      </c>
      <c r="Z172" s="1388">
        <v>67.253819541908996</v>
      </c>
      <c r="AA172" s="1388">
        <v>6.5</v>
      </c>
      <c r="AB172" s="1388">
        <v>6.4986419499999997</v>
      </c>
      <c r="AC172" s="1388">
        <f t="shared" si="24"/>
        <v>2.2611452445510651</v>
      </c>
      <c r="AD172" s="1275">
        <f t="shared" si="25"/>
        <v>0.79700268856403089</v>
      </c>
      <c r="AE172" s="1388">
        <v>0.65650430127897319</v>
      </c>
      <c r="AF172" s="1388">
        <v>0.65322177977257834</v>
      </c>
      <c r="AG172" s="1388">
        <v>0.64995567087371553</v>
      </c>
      <c r="AH172" s="1568" t="s">
        <v>2775</v>
      </c>
      <c r="AI172" s="1568"/>
      <c r="AJ172" s="1568">
        <v>129</v>
      </c>
      <c r="AK172" s="1568">
        <v>71.75</v>
      </c>
      <c r="AL172" s="1568"/>
      <c r="AM172" s="1568">
        <v>6.5</v>
      </c>
      <c r="AN172" s="1568">
        <v>-0.65</v>
      </c>
      <c r="AO172" s="1568">
        <v>-0.65</v>
      </c>
      <c r="AP172" s="1568">
        <v>-0.65</v>
      </c>
      <c r="AQ172" s="1717">
        <f t="shared" si="26"/>
        <v>2.2215218999999999</v>
      </c>
      <c r="AR172" s="1718"/>
    </row>
    <row r="173" spans="1:44">
      <c r="A173" s="1521">
        <v>171</v>
      </c>
      <c r="B173" s="1700" t="s">
        <v>2300</v>
      </c>
      <c r="C173" s="1347" t="s">
        <v>29</v>
      </c>
      <c r="D173" s="1490">
        <v>51316</v>
      </c>
      <c r="E173" s="1737" t="s">
        <v>2667</v>
      </c>
      <c r="F173" s="1738" t="s">
        <v>2668</v>
      </c>
      <c r="G173" s="1347" t="s">
        <v>2222</v>
      </c>
      <c r="H173" s="1739">
        <v>130211</v>
      </c>
      <c r="I173" s="1348" t="s">
        <v>35</v>
      </c>
      <c r="J173" s="1348" t="s">
        <v>2306</v>
      </c>
      <c r="K173" s="1493">
        <v>45551</v>
      </c>
      <c r="L173" s="1493">
        <v>45551</v>
      </c>
      <c r="M173" s="1493">
        <v>45555</v>
      </c>
      <c r="N173" s="1493"/>
      <c r="O173" s="1540"/>
      <c r="P173" s="1347" t="s">
        <v>2557</v>
      </c>
      <c r="Q173" s="1623">
        <v>0.82256463195789464</v>
      </c>
      <c r="R173" s="1623">
        <v>0.53110000000000002</v>
      </c>
      <c r="S173" s="1495">
        <f t="shared" si="17"/>
        <v>0.64566354954486527</v>
      </c>
      <c r="T173" s="1496">
        <v>39.63098504670694</v>
      </c>
      <c r="U173" s="1496">
        <v>76.610319097268686</v>
      </c>
      <c r="V173" s="1496">
        <v>7.0720292559352709</v>
      </c>
      <c r="W173" s="1496">
        <v>7.2851175994083972</v>
      </c>
      <c r="X173" s="1496">
        <v>1.9078420735798423</v>
      </c>
      <c r="Y173" s="1497">
        <f t="shared" si="23"/>
        <v>0.10489923242808395</v>
      </c>
      <c r="Z173" s="1496">
        <v>54.822314693685001</v>
      </c>
      <c r="AA173" s="1496">
        <v>23.5</v>
      </c>
      <c r="AB173" s="1496">
        <v>6.8206535699999993</v>
      </c>
      <c r="AC173" s="1496">
        <f t="shared" si="24"/>
        <v>0.99755062599744537</v>
      </c>
      <c r="AD173" s="1498">
        <f t="shared" si="25"/>
        <v>0.58784540636330218</v>
      </c>
      <c r="AE173" s="1496">
        <v>1.1491547864590304</v>
      </c>
      <c r="AF173" s="1496">
        <v>1.1319174646621446</v>
      </c>
      <c r="AG173" s="1496">
        <v>1.1149387026922126</v>
      </c>
      <c r="AH173" s="1641" t="s">
        <v>2775</v>
      </c>
      <c r="AI173" s="1641"/>
      <c r="AJ173" s="1641">
        <v>74.540000000000006</v>
      </c>
      <c r="AK173" s="1641">
        <v>76.819999999999993</v>
      </c>
      <c r="AL173" s="1347"/>
      <c r="AM173" s="1641">
        <v>6</v>
      </c>
      <c r="AN173" s="1641">
        <v>-1.1200000000000001</v>
      </c>
      <c r="AO173" s="1641">
        <v>-1.1200000000000001</v>
      </c>
      <c r="AP173" s="1641">
        <v>-1.1200000000000001</v>
      </c>
      <c r="AQ173" s="1646">
        <f t="shared" si="26"/>
        <v>0.97059279400000009</v>
      </c>
      <c r="AR173" s="1647"/>
    </row>
    <row r="174" spans="1:44">
      <c r="A174" s="1521">
        <v>172</v>
      </c>
      <c r="B174" s="1515" t="s">
        <v>2300</v>
      </c>
      <c r="C174" s="1270" t="s">
        <v>29</v>
      </c>
      <c r="D174" s="1448">
        <v>51316</v>
      </c>
      <c r="E174" s="1465" t="s">
        <v>2670</v>
      </c>
      <c r="F174" s="1740" t="s">
        <v>2671</v>
      </c>
      <c r="G174" s="1270" t="s">
        <v>2222</v>
      </c>
      <c r="H174" s="1302">
        <v>130211</v>
      </c>
      <c r="I174" s="1272" t="s">
        <v>35</v>
      </c>
      <c r="J174" s="1272" t="s">
        <v>2306</v>
      </c>
      <c r="K174" s="1280">
        <v>45551</v>
      </c>
      <c r="L174" s="1280">
        <v>45551</v>
      </c>
      <c r="M174" s="1280">
        <v>45555</v>
      </c>
      <c r="N174" s="1280"/>
      <c r="O174" s="1533"/>
      <c r="P174" s="1270" t="s">
        <v>2557</v>
      </c>
      <c r="Q174" s="1390">
        <v>0.81472600926315786</v>
      </c>
      <c r="R174" s="1390">
        <v>0.53110000000000002</v>
      </c>
      <c r="S174" s="1286">
        <f t="shared" si="17"/>
        <v>0.65187559248332994</v>
      </c>
      <c r="T174" s="1391">
        <v>39.405154326871575</v>
      </c>
      <c r="U174" s="1391">
        <v>76.376110057727445</v>
      </c>
      <c r="V174" s="1391">
        <v>7.0675126415385643</v>
      </c>
      <c r="W174" s="1391">
        <v>7.2851175994083972</v>
      </c>
      <c r="X174" s="1391">
        <v>1.9073678290681881</v>
      </c>
      <c r="Y174" s="1282">
        <f t="shared" si="23"/>
        <v>0.10519695358117763</v>
      </c>
      <c r="Z174" s="1391">
        <v>54.822314693685001</v>
      </c>
      <c r="AA174" s="1391">
        <v>23.5</v>
      </c>
      <c r="AB174" s="1391">
        <v>6.8206535699999993</v>
      </c>
      <c r="AC174" s="1391">
        <f t="shared" si="24"/>
        <v>0.99450096667267474</v>
      </c>
      <c r="AD174" s="1281">
        <f t="shared" si="25"/>
        <v>0.58652915117823357</v>
      </c>
      <c r="AE174" s="1391">
        <v>1.1456416508659115</v>
      </c>
      <c r="AF174" s="1391">
        <v>1.1284570261029228</v>
      </c>
      <c r="AG174" s="1391">
        <v>1.1115301707113789</v>
      </c>
      <c r="AH174" s="1560" t="s">
        <v>2775</v>
      </c>
      <c r="AI174" s="1560"/>
      <c r="AJ174" s="1560">
        <v>74.3</v>
      </c>
      <c r="AK174" s="1560">
        <v>76.819999999999993</v>
      </c>
      <c r="AL174" s="1270"/>
      <c r="AM174" s="1560">
        <v>6</v>
      </c>
      <c r="AN174" s="1560">
        <v>-1.1100000000000001</v>
      </c>
      <c r="AO174" s="1560">
        <v>-1.1100000000000001</v>
      </c>
      <c r="AP174" s="1560">
        <v>-1.1100000000000001</v>
      </c>
      <c r="AQ174" s="1642">
        <f t="shared" si="26"/>
        <v>0.96746772999999986</v>
      </c>
      <c r="AR174" s="1563"/>
    </row>
    <row r="175" spans="1:44">
      <c r="A175" s="1521">
        <v>173</v>
      </c>
      <c r="B175" s="1515" t="s">
        <v>2300</v>
      </c>
      <c r="C175" s="1270" t="s">
        <v>29</v>
      </c>
      <c r="D175" s="1448">
        <v>51316</v>
      </c>
      <c r="E175" s="1465" t="s">
        <v>2669</v>
      </c>
      <c r="F175" s="1740" t="s">
        <v>2668</v>
      </c>
      <c r="G175" s="1270" t="s">
        <v>2222</v>
      </c>
      <c r="H175" s="1301">
        <v>42000</v>
      </c>
      <c r="I175" s="1272" t="s">
        <v>35</v>
      </c>
      <c r="J175" s="1272" t="s">
        <v>2306</v>
      </c>
      <c r="K175" s="1280">
        <v>45551</v>
      </c>
      <c r="L175" s="1280">
        <v>45551</v>
      </c>
      <c r="M175" s="1280">
        <v>45555</v>
      </c>
      <c r="N175" s="1280"/>
      <c r="O175" s="1533"/>
      <c r="P175" s="1270" t="s">
        <v>2557</v>
      </c>
      <c r="Q175" s="1390">
        <v>0.7120023031578947</v>
      </c>
      <c r="R175" s="1390">
        <v>0.4541</v>
      </c>
      <c r="S175" s="1286">
        <f t="shared" si="17"/>
        <v>0.63777883580707762</v>
      </c>
      <c r="T175" s="1391">
        <v>33.120824353978946</v>
      </c>
      <c r="U175" s="1391">
        <v>69.762381442840478</v>
      </c>
      <c r="V175" s="1391">
        <v>6.9418260420807112</v>
      </c>
      <c r="W175" s="1391">
        <v>7.2851175994083972</v>
      </c>
      <c r="X175" s="1391">
        <v>1.8941707361251137</v>
      </c>
      <c r="Y175" s="1282">
        <f t="shared" si="23"/>
        <v>0.11458355270479666</v>
      </c>
      <c r="Z175" s="1391">
        <v>47.747256967987497</v>
      </c>
      <c r="AA175" s="1391">
        <v>2</v>
      </c>
      <c r="AB175" s="1391">
        <v>0</v>
      </c>
      <c r="AC175" s="1391">
        <f t="shared" si="24"/>
        <v>0.29300200205992999</v>
      </c>
      <c r="AD175" s="1281">
        <f t="shared" si="25"/>
        <v>0.54670078160773572</v>
      </c>
      <c r="AE175" s="1391">
        <v>1.0464357216426072</v>
      </c>
      <c r="AF175" s="1391">
        <v>1.030739185817968</v>
      </c>
      <c r="AG175" s="1391">
        <v>1.0152780980306986</v>
      </c>
      <c r="AH175" s="1560" t="s">
        <v>2775</v>
      </c>
      <c r="AI175" s="1560"/>
      <c r="AJ175" s="1560">
        <v>67.69</v>
      </c>
      <c r="AK175" s="1560">
        <v>48.25</v>
      </c>
      <c r="AL175" s="1270"/>
      <c r="AM175" s="1560">
        <v>0</v>
      </c>
      <c r="AN175" s="1560">
        <v>-1.02</v>
      </c>
      <c r="AO175" s="1560">
        <v>-1.02</v>
      </c>
      <c r="AP175" s="1560">
        <v>-1.02</v>
      </c>
      <c r="AQ175" s="1642">
        <f t="shared" si="26"/>
        <v>0.284298</v>
      </c>
      <c r="AR175" s="1563"/>
    </row>
    <row r="176" spans="1:44" ht="21.75" thickBot="1">
      <c r="A176" s="1521">
        <v>174</v>
      </c>
      <c r="B176" s="1513" t="s">
        <v>2300</v>
      </c>
      <c r="C176" s="1263" t="s">
        <v>29</v>
      </c>
      <c r="D176" s="1458">
        <v>51316</v>
      </c>
      <c r="E176" s="1466" t="s">
        <v>2672</v>
      </c>
      <c r="F176" s="1651" t="s">
        <v>2671</v>
      </c>
      <c r="G176" s="1263" t="s">
        <v>2222</v>
      </c>
      <c r="H176" s="1303">
        <v>42000</v>
      </c>
      <c r="I176" s="1265" t="s">
        <v>35</v>
      </c>
      <c r="J176" s="1265" t="s">
        <v>2306</v>
      </c>
      <c r="K176" s="1283">
        <v>45551</v>
      </c>
      <c r="L176" s="1283">
        <v>45551</v>
      </c>
      <c r="M176" s="1283">
        <v>45555</v>
      </c>
      <c r="N176" s="1283"/>
      <c r="O176" s="1394"/>
      <c r="P176" s="1263" t="s">
        <v>2557</v>
      </c>
      <c r="Q176" s="1383">
        <v>0.74282421006315791</v>
      </c>
      <c r="R176" s="1383">
        <v>0.4501</v>
      </c>
      <c r="S176" s="1455">
        <f t="shared" si="17"/>
        <v>0.60593070864199583</v>
      </c>
      <c r="T176" s="1384">
        <v>33.836083491919574</v>
      </c>
      <c r="U176" s="1384">
        <v>70.499176694798692</v>
      </c>
      <c r="V176" s="1384">
        <v>6.956131224839524</v>
      </c>
      <c r="W176" s="1384">
        <v>7.2851175994083972</v>
      </c>
      <c r="X176" s="1384">
        <v>1.8956727803147888</v>
      </c>
      <c r="Y176" s="1285">
        <f t="shared" si="23"/>
        <v>0.11344282918823836</v>
      </c>
      <c r="Z176" s="1384">
        <v>48.490331438010003</v>
      </c>
      <c r="AA176" s="1384">
        <v>2</v>
      </c>
      <c r="AB176" s="1384">
        <v>0</v>
      </c>
      <c r="AC176" s="1384">
        <f t="shared" si="24"/>
        <v>0.2960965421181545</v>
      </c>
      <c r="AD176" s="1284">
        <f t="shared" si="25"/>
        <v>0.55180975112518182</v>
      </c>
      <c r="AE176" s="1384">
        <v>1.0574876504219806</v>
      </c>
      <c r="AF176" s="1384">
        <v>1.0416253356656509</v>
      </c>
      <c r="AG176" s="1384">
        <v>1.026000955630666</v>
      </c>
      <c r="AH176" s="1561" t="s">
        <v>2775</v>
      </c>
      <c r="AI176" s="1561"/>
      <c r="AJ176" s="1561">
        <v>68.42</v>
      </c>
      <c r="AK176" s="1561">
        <v>48.99</v>
      </c>
      <c r="AL176" s="1263"/>
      <c r="AM176" s="1561">
        <v>0</v>
      </c>
      <c r="AN176" s="1561">
        <v>-1.03</v>
      </c>
      <c r="AO176" s="1561">
        <v>-1.03</v>
      </c>
      <c r="AP176" s="1561">
        <v>-1.03</v>
      </c>
      <c r="AQ176" s="1648">
        <f t="shared" si="26"/>
        <v>0.28736400000000001</v>
      </c>
      <c r="AR176" s="1564"/>
    </row>
    <row r="177" spans="1:44">
      <c r="A177" s="1521">
        <v>175</v>
      </c>
      <c r="B177" s="1700" t="s">
        <v>2507</v>
      </c>
      <c r="C177" s="1347" t="s">
        <v>29</v>
      </c>
      <c r="D177" s="1490">
        <v>53128</v>
      </c>
      <c r="E177" s="1737" t="s">
        <v>2673</v>
      </c>
      <c r="F177" s="1738" t="s">
        <v>2674</v>
      </c>
      <c r="G177" s="1347" t="s">
        <v>2222</v>
      </c>
      <c r="H177" s="1739">
        <v>255852</v>
      </c>
      <c r="I177" s="1348" t="s">
        <v>35</v>
      </c>
      <c r="J177" s="1348" t="s">
        <v>2467</v>
      </c>
      <c r="K177" s="1493">
        <v>45551</v>
      </c>
      <c r="L177" s="1493">
        <v>45551</v>
      </c>
      <c r="M177" s="1493">
        <v>45558</v>
      </c>
      <c r="N177" s="1493"/>
      <c r="O177" s="1540"/>
      <c r="P177" s="1347" t="s">
        <v>2557</v>
      </c>
      <c r="Q177" s="1494">
        <v>6.826421773408696</v>
      </c>
      <c r="R177" s="1494">
        <v>3.8090000000000002</v>
      </c>
      <c r="S177" s="1495">
        <f t="shared" si="17"/>
        <v>0.55797900077569029</v>
      </c>
      <c r="T177" s="1743">
        <v>623.67949698760901</v>
      </c>
      <c r="U177" s="1496">
        <v>869.54944378556058</v>
      </c>
      <c r="V177" s="1496">
        <v>53.565272817710955</v>
      </c>
      <c r="W177" s="1496">
        <v>27.899382137468713</v>
      </c>
      <c r="X177" s="1496">
        <v>13.249795939926571</v>
      </c>
      <c r="Y177" s="1497">
        <f t="shared" si="23"/>
        <v>6.4661100478909439E-2</v>
      </c>
      <c r="Z177" s="1496">
        <v>1558.4940786109698</v>
      </c>
      <c r="AA177" s="1496">
        <v>118.5</v>
      </c>
      <c r="AB177" s="1743">
        <v>88.148022389999994</v>
      </c>
      <c r="AC177" s="1496">
        <f t="shared" si="24"/>
        <v>22.247596429142327</v>
      </c>
      <c r="AD177" s="1498">
        <f t="shared" si="25"/>
        <v>0.75287215951633124</v>
      </c>
      <c r="AE177" s="1496">
        <v>13.043241656783408</v>
      </c>
      <c r="AF177" s="1496">
        <v>12.847593031931657</v>
      </c>
      <c r="AG177" s="1496">
        <v>12.654879136452683</v>
      </c>
      <c r="AH177" s="1347"/>
      <c r="AI177" s="1347"/>
      <c r="AJ177" s="1347"/>
      <c r="AK177" s="1347"/>
      <c r="AL177" s="1347"/>
      <c r="AM177" s="1347"/>
      <c r="AN177" s="1347"/>
      <c r="AO177" s="1347"/>
      <c r="AP177" s="1347"/>
      <c r="AQ177" s="1623">
        <f t="shared" si="26"/>
        <v>0</v>
      </c>
      <c r="AR177" s="1350"/>
    </row>
    <row r="178" spans="1:44" ht="21.75" thickBot="1">
      <c r="A178" s="1521">
        <v>176</v>
      </c>
      <c r="B178" s="1513" t="s">
        <v>2507</v>
      </c>
      <c r="C178" s="1263" t="s">
        <v>29</v>
      </c>
      <c r="D178" s="1458">
        <v>53128</v>
      </c>
      <c r="E178" s="1466" t="s">
        <v>2675</v>
      </c>
      <c r="F178" s="1651" t="s">
        <v>2676</v>
      </c>
      <c r="G178" s="1263" t="s">
        <v>2222</v>
      </c>
      <c r="H178" s="1310">
        <v>255852</v>
      </c>
      <c r="I178" s="1265" t="s">
        <v>35</v>
      </c>
      <c r="J178" s="1265" t="s">
        <v>2467</v>
      </c>
      <c r="K178" s="1283">
        <v>45551</v>
      </c>
      <c r="L178" s="1283">
        <v>45551</v>
      </c>
      <c r="M178" s="1283">
        <v>45558</v>
      </c>
      <c r="N178" s="1283"/>
      <c r="O178" s="1394"/>
      <c r="P178" s="1263" t="s">
        <v>2557</v>
      </c>
      <c r="Q178" s="1426">
        <v>6.826421773408696</v>
      </c>
      <c r="R178" s="1426">
        <v>3.7953000000000001</v>
      </c>
      <c r="S178" s="1455">
        <f t="shared" si="17"/>
        <v>0.55597209284431015</v>
      </c>
      <c r="T178" s="1407">
        <v>623.183419987609</v>
      </c>
      <c r="U178" s="1384">
        <v>869.4635873288604</v>
      </c>
      <c r="V178" s="1384">
        <v>53.642851277710953</v>
      </c>
      <c r="W178" s="1384">
        <v>27.899382137468713</v>
      </c>
      <c r="X178" s="1384">
        <v>13.27417917822657</v>
      </c>
      <c r="Y178" s="1285">
        <f t="shared" si="23"/>
        <v>6.4763367411185435E-2</v>
      </c>
      <c r="Z178" s="1384">
        <v>1426.5021143806127</v>
      </c>
      <c r="AA178" s="1384">
        <v>118.5</v>
      </c>
      <c r="AB178" s="1407">
        <v>88.148022389999994</v>
      </c>
      <c r="AC178" s="1384">
        <f t="shared" si="24"/>
        <v>22.245399774526359</v>
      </c>
      <c r="AD178" s="1284">
        <f t="shared" si="25"/>
        <v>0.75237344458582656</v>
      </c>
      <c r="AE178" s="1384">
        <v>13.04195380993291</v>
      </c>
      <c r="AF178" s="1384">
        <v>12.846324502783915</v>
      </c>
      <c r="AG178" s="1384">
        <v>12.653629635242156</v>
      </c>
      <c r="AH178" s="1263"/>
      <c r="AI178" s="1263"/>
      <c r="AJ178" s="1263"/>
      <c r="AK178" s="1263"/>
      <c r="AL178" s="1263"/>
      <c r="AM178" s="1263"/>
      <c r="AN178" s="1263"/>
      <c r="AO178" s="1263"/>
      <c r="AP178" s="1263"/>
      <c r="AQ178" s="1383">
        <f t="shared" si="26"/>
        <v>0</v>
      </c>
      <c r="AR178" s="1266"/>
    </row>
    <row r="179" spans="1:44" ht="21.75" thickBot="1">
      <c r="A179" s="1521">
        <v>177</v>
      </c>
      <c r="B179" s="1514" t="s">
        <v>2737</v>
      </c>
      <c r="C179" s="1267" t="s">
        <v>29</v>
      </c>
      <c r="D179" s="1459">
        <v>53204</v>
      </c>
      <c r="E179" s="1468" t="s">
        <v>2677</v>
      </c>
      <c r="F179" s="1654" t="s">
        <v>2678</v>
      </c>
      <c r="G179" s="1267" t="s">
        <v>2741</v>
      </c>
      <c r="H179" s="1304">
        <v>124525</v>
      </c>
      <c r="I179" s="1269" t="s">
        <v>35</v>
      </c>
      <c r="J179" s="1269" t="s">
        <v>2742</v>
      </c>
      <c r="K179" s="1386">
        <v>45551</v>
      </c>
      <c r="L179" s="1386">
        <v>45551</v>
      </c>
      <c r="M179" s="1386">
        <v>45555</v>
      </c>
      <c r="N179" s="1386"/>
      <c r="O179" s="1408"/>
      <c r="P179" s="1267" t="s">
        <v>2557</v>
      </c>
      <c r="Q179" s="1387">
        <v>5.714202880966667</v>
      </c>
      <c r="R179" s="1387">
        <v>3.4497000000000004</v>
      </c>
      <c r="S179" s="1502">
        <f t="shared" si="17"/>
        <v>0.60370625122369082</v>
      </c>
      <c r="T179" s="1388">
        <v>311.49267513699601</v>
      </c>
      <c r="U179" s="1388">
        <v>533.75071990739877</v>
      </c>
      <c r="V179" s="1388">
        <v>45.57785205865347</v>
      </c>
      <c r="W179" s="1388">
        <v>52.637784872871087</v>
      </c>
      <c r="X179" s="1388">
        <v>12.087538769605997</v>
      </c>
      <c r="Y179" s="1276">
        <f t="shared" ref="Y179:Y183" si="27">V179/(U179-W179-X179)</f>
        <v>9.7175659189485605E-2</v>
      </c>
      <c r="Z179" s="1388">
        <v>319.8472933107376</v>
      </c>
      <c r="AA179" s="1388">
        <v>101.5</v>
      </c>
      <c r="AB179" s="1748">
        <v>22.388372990000001</v>
      </c>
      <c r="AC179" s="1388">
        <f t="shared" ref="AC179:AC183" si="28">U179*H179/10^7</f>
        <v>6.646530839646883</v>
      </c>
      <c r="AD179" s="1275">
        <f t="shared" ref="AD179:AD183" si="29">T179/(U179-W179-X179)</f>
        <v>0.66412752404787523</v>
      </c>
      <c r="AE179" s="1388">
        <v>5.337507199073988</v>
      </c>
      <c r="AF179" s="1388">
        <v>5.2841321270832475</v>
      </c>
      <c r="AG179" s="1388">
        <v>5.2312908058124155</v>
      </c>
      <c r="AH179" s="1267"/>
      <c r="AI179" s="1267"/>
      <c r="AJ179" s="1267"/>
      <c r="AK179" s="1267"/>
      <c r="AL179" s="1267"/>
      <c r="AM179" s="1267"/>
      <c r="AN179" s="1267"/>
      <c r="AO179" s="1267"/>
      <c r="AP179" s="1267"/>
      <c r="AQ179" s="1387">
        <f t="shared" si="26"/>
        <v>0</v>
      </c>
      <c r="AR179" s="1640"/>
    </row>
    <row r="180" spans="1:44" ht="23.25">
      <c r="A180" s="1521">
        <v>178</v>
      </c>
      <c r="B180" s="1700" t="s">
        <v>2507</v>
      </c>
      <c r="C180" s="1347" t="s">
        <v>29</v>
      </c>
      <c r="D180" s="1490">
        <v>53507</v>
      </c>
      <c r="E180" s="1490" t="s">
        <v>2679</v>
      </c>
      <c r="F180" s="1491" t="s">
        <v>2680</v>
      </c>
      <c r="G180" s="1347" t="s">
        <v>2222</v>
      </c>
      <c r="H180" s="1492">
        <v>186441</v>
      </c>
      <c r="I180" s="1348" t="s">
        <v>35</v>
      </c>
      <c r="J180" s="1348" t="s">
        <v>2467</v>
      </c>
      <c r="K180" s="1493">
        <v>45559</v>
      </c>
      <c r="L180" s="1493">
        <v>45559</v>
      </c>
      <c r="M180" s="1493">
        <v>45567</v>
      </c>
      <c r="N180" s="1493"/>
      <c r="O180" s="1540"/>
      <c r="P180" s="1347" t="s">
        <v>2557</v>
      </c>
      <c r="Q180" s="1494">
        <v>5.7471347180923074</v>
      </c>
      <c r="R180" s="1494">
        <v>2.8029999999999999</v>
      </c>
      <c r="S180" s="1495">
        <f t="shared" si="17"/>
        <v>0.4877212972189422</v>
      </c>
      <c r="T180" s="1749">
        <v>470.72552254650839</v>
      </c>
      <c r="U180" s="1496">
        <v>622.0949300744112</v>
      </c>
      <c r="V180" s="1496">
        <v>33.644822931150117</v>
      </c>
      <c r="W180" s="1496">
        <v>13.104255246386822</v>
      </c>
      <c r="X180" s="1496">
        <v>8.029160109457294</v>
      </c>
      <c r="Y180" s="1497">
        <f t="shared" si="27"/>
        <v>5.5984987569305728E-2</v>
      </c>
      <c r="Z180" s="1496">
        <v>653.49409507045118</v>
      </c>
      <c r="AA180" s="1496">
        <v>53.5</v>
      </c>
      <c r="AB180" s="1496">
        <v>70.201470937500005</v>
      </c>
      <c r="AC180" s="1496">
        <f t="shared" si="28"/>
        <v>11.59840008580033</v>
      </c>
      <c r="AD180" s="1498">
        <f t="shared" si="29"/>
        <v>0.78328730046374306</v>
      </c>
      <c r="AE180" s="1496">
        <v>6.2209493007441123</v>
      </c>
      <c r="AF180" s="1496">
        <v>6.1587398077366711</v>
      </c>
      <c r="AG180" s="1496">
        <v>6.0971524096593042</v>
      </c>
      <c r="AH180" s="1347"/>
      <c r="AI180" s="1347"/>
      <c r="AJ180" s="1347"/>
      <c r="AK180" s="1347"/>
      <c r="AL180" s="1347"/>
      <c r="AM180" s="1347"/>
      <c r="AN180" s="1347"/>
      <c r="AO180" s="1347"/>
      <c r="AP180" s="1347"/>
      <c r="AQ180" s="1623">
        <f t="shared" si="26"/>
        <v>0</v>
      </c>
      <c r="AR180" s="1350"/>
    </row>
    <row r="181" spans="1:44" ht="23.25">
      <c r="A181" s="1521">
        <v>179</v>
      </c>
      <c r="B181" s="1515" t="s">
        <v>2507</v>
      </c>
      <c r="C181" s="1270" t="s">
        <v>29</v>
      </c>
      <c r="D181" s="1448">
        <v>53507</v>
      </c>
      <c r="E181" s="1448" t="s">
        <v>2681</v>
      </c>
      <c r="F181" s="1315" t="s">
        <v>2680</v>
      </c>
      <c r="G181" s="1270" t="s">
        <v>2222</v>
      </c>
      <c r="H181" s="1271">
        <v>69411</v>
      </c>
      <c r="I181" s="1272" t="s">
        <v>35</v>
      </c>
      <c r="J181" s="1272" t="s">
        <v>2467</v>
      </c>
      <c r="K181" s="1280">
        <v>45559</v>
      </c>
      <c r="L181" s="1280">
        <v>45559</v>
      </c>
      <c r="M181" s="1280">
        <v>45567</v>
      </c>
      <c r="N181" s="1280"/>
      <c r="O181" s="1533"/>
      <c r="P181" s="1270" t="s">
        <v>2557</v>
      </c>
      <c r="Q181" s="1379">
        <v>5.7471347180923074</v>
      </c>
      <c r="R181" s="1379">
        <v>2.8029999999999999</v>
      </c>
      <c r="S181" s="1286">
        <f t="shared" si="17"/>
        <v>0.4877212972189422</v>
      </c>
      <c r="T181" s="1435">
        <v>574.42829464375393</v>
      </c>
      <c r="U181" s="1391">
        <v>729.64507501646449</v>
      </c>
      <c r="V181" s="1391">
        <v>35.718878373095031</v>
      </c>
      <c r="W181" s="1391">
        <v>13.104255246386822</v>
      </c>
      <c r="X181" s="1391">
        <v>8.2469359308615093</v>
      </c>
      <c r="Y181" s="1282">
        <f t="shared" si="27"/>
        <v>5.0429460409124854E-2</v>
      </c>
      <c r="Z181" s="1391">
        <v>0</v>
      </c>
      <c r="AA181" s="1391">
        <v>0</v>
      </c>
      <c r="AB181" s="1391">
        <v>0</v>
      </c>
      <c r="AC181" s="1391">
        <f t="shared" si="28"/>
        <v>5.0645394301967812</v>
      </c>
      <c r="AD181" s="1281">
        <f t="shared" si="29"/>
        <v>0.81100275994215709</v>
      </c>
      <c r="AE181" s="1391">
        <v>7.2964507501646461</v>
      </c>
      <c r="AF181" s="1391">
        <v>7.2234862426629993</v>
      </c>
      <c r="AG181" s="1391">
        <v>7.1512513802363697</v>
      </c>
      <c r="AH181" s="1270"/>
      <c r="AI181" s="1270"/>
      <c r="AJ181" s="1270"/>
      <c r="AK181" s="1270"/>
      <c r="AL181" s="1270"/>
      <c r="AM181" s="1270"/>
      <c r="AN181" s="1270"/>
      <c r="AO181" s="1270"/>
      <c r="AP181" s="1270"/>
      <c r="AQ181" s="1390">
        <f t="shared" si="26"/>
        <v>0</v>
      </c>
      <c r="AR181" s="1624"/>
    </row>
    <row r="182" spans="1:44" ht="23.25">
      <c r="A182" s="1521">
        <v>180</v>
      </c>
      <c r="B182" s="1515" t="s">
        <v>2507</v>
      </c>
      <c r="C182" s="1270" t="s">
        <v>29</v>
      </c>
      <c r="D182" s="1448">
        <v>53507</v>
      </c>
      <c r="E182" s="1448" t="s">
        <v>2682</v>
      </c>
      <c r="F182" s="1315" t="s">
        <v>2753</v>
      </c>
      <c r="G182" s="1270" t="s">
        <v>2222</v>
      </c>
      <c r="H182" s="1273">
        <v>186441</v>
      </c>
      <c r="I182" s="1272" t="s">
        <v>35</v>
      </c>
      <c r="J182" s="1272" t="s">
        <v>2467</v>
      </c>
      <c r="K182" s="1280">
        <v>45559</v>
      </c>
      <c r="L182" s="1280">
        <v>45559</v>
      </c>
      <c r="M182" s="1280">
        <v>45567</v>
      </c>
      <c r="N182" s="1280"/>
      <c r="O182" s="1533"/>
      <c r="P182" s="1270" t="s">
        <v>2557</v>
      </c>
      <c r="Q182" s="1379">
        <v>5.7471347180923074</v>
      </c>
      <c r="R182" s="1379">
        <v>2.8058999999999998</v>
      </c>
      <c r="S182" s="1286">
        <f t="shared" si="17"/>
        <v>0.48822589649184084</v>
      </c>
      <c r="T182" s="1435">
        <v>470.83053154650844</v>
      </c>
      <c r="U182" s="1391">
        <v>622.20818490831141</v>
      </c>
      <c r="V182" s="1391">
        <v>33.646923111150116</v>
      </c>
      <c r="W182" s="1391">
        <v>13.104255246386822</v>
      </c>
      <c r="X182" s="1391">
        <v>8.029380628357293</v>
      </c>
      <c r="Y182" s="1282">
        <f t="shared" si="27"/>
        <v>5.5977953425659172E-2</v>
      </c>
      <c r="Z182" s="1391">
        <v>554.40055601613369</v>
      </c>
      <c r="AA182" s="1391">
        <v>53.5</v>
      </c>
      <c r="AB182" s="1391">
        <v>70.201470937500005</v>
      </c>
      <c r="AC182" s="1391">
        <f t="shared" si="28"/>
        <v>11.600511620249049</v>
      </c>
      <c r="AD182" s="1281">
        <f t="shared" si="29"/>
        <v>0.78331470248329338</v>
      </c>
      <c r="AE182" s="1391">
        <v>6.2220818490831116</v>
      </c>
      <c r="AF182" s="1391">
        <v>6.159861030592281</v>
      </c>
      <c r="AG182" s="1391">
        <v>6.0982624202863578</v>
      </c>
      <c r="AH182" s="1270"/>
      <c r="AI182" s="1270"/>
      <c r="AJ182" s="1270"/>
      <c r="AK182" s="1270"/>
      <c r="AL182" s="1270"/>
      <c r="AM182" s="1270"/>
      <c r="AN182" s="1270"/>
      <c r="AO182" s="1270"/>
      <c r="AP182" s="1270"/>
      <c r="AQ182" s="1390">
        <f t="shared" si="26"/>
        <v>0</v>
      </c>
      <c r="AR182" s="1624"/>
    </row>
    <row r="183" spans="1:44" ht="24" thickBot="1">
      <c r="A183" s="1521">
        <v>181</v>
      </c>
      <c r="B183" s="1513" t="s">
        <v>2507</v>
      </c>
      <c r="C183" s="1263" t="s">
        <v>29</v>
      </c>
      <c r="D183" s="1458">
        <v>53507</v>
      </c>
      <c r="E183" s="1458" t="s">
        <v>2682</v>
      </c>
      <c r="F183" s="1316" t="s">
        <v>2753</v>
      </c>
      <c r="G183" s="1263" t="s">
        <v>2222</v>
      </c>
      <c r="H183" s="1274">
        <v>69411</v>
      </c>
      <c r="I183" s="1265" t="s">
        <v>35</v>
      </c>
      <c r="J183" s="1265" t="s">
        <v>2467</v>
      </c>
      <c r="K183" s="1283">
        <v>45559</v>
      </c>
      <c r="L183" s="1283">
        <v>45559</v>
      </c>
      <c r="M183" s="1283">
        <v>45567</v>
      </c>
      <c r="N183" s="1283"/>
      <c r="O183" s="1394"/>
      <c r="P183" s="1263" t="s">
        <v>2557</v>
      </c>
      <c r="Q183" s="1426">
        <v>5.7020025797589735</v>
      </c>
      <c r="R183" s="1426">
        <v>2.7804999999999995</v>
      </c>
      <c r="S183" s="1455">
        <f t="shared" si="17"/>
        <v>0.4876356966007428</v>
      </c>
      <c r="T183" s="1750">
        <v>571.4558021100371</v>
      </c>
      <c r="U183" s="1384">
        <v>726.52855300974693</v>
      </c>
      <c r="V183" s="1384">
        <v>35.659428522420697</v>
      </c>
      <c r="W183" s="1384">
        <v>13.104255246386822</v>
      </c>
      <c r="X183" s="1384">
        <v>8.2406936965407027</v>
      </c>
      <c r="Y183" s="1285">
        <f t="shared" si="27"/>
        <v>5.05675802964951E-2</v>
      </c>
      <c r="Z183" s="1384">
        <v>7.5357684864000003</v>
      </c>
      <c r="AA183" s="1384">
        <v>1</v>
      </c>
      <c r="AB183" s="1384">
        <v>0</v>
      </c>
      <c r="AC183" s="1384">
        <f t="shared" si="28"/>
        <v>5.0429073392959545</v>
      </c>
      <c r="AD183" s="1284">
        <f t="shared" si="29"/>
        <v>0.81036456153323866</v>
      </c>
      <c r="AE183" s="1384">
        <v>7.2652855300974686</v>
      </c>
      <c r="AF183" s="1384">
        <v>7.1926326747964939</v>
      </c>
      <c r="AG183" s="1384">
        <v>7.1207063480485289</v>
      </c>
      <c r="AH183" s="1263"/>
      <c r="AI183" s="1263"/>
      <c r="AJ183" s="1263"/>
      <c r="AK183" s="1263"/>
      <c r="AL183" s="1263"/>
      <c r="AM183" s="1263"/>
      <c r="AN183" s="1263"/>
      <c r="AO183" s="1263"/>
      <c r="AP183" s="1263"/>
      <c r="AQ183" s="1383">
        <f t="shared" si="26"/>
        <v>0</v>
      </c>
      <c r="AR183" s="1266"/>
    </row>
    <row r="184" spans="1:44">
      <c r="A184" s="1521">
        <v>182</v>
      </c>
      <c r="B184" s="1700" t="s">
        <v>1879</v>
      </c>
      <c r="C184" s="1347" t="s">
        <v>29</v>
      </c>
      <c r="D184" s="1490">
        <v>53303</v>
      </c>
      <c r="E184" s="1751" t="s">
        <v>2683</v>
      </c>
      <c r="F184" s="1491" t="s">
        <v>2684</v>
      </c>
      <c r="G184" s="1347" t="s">
        <v>2741</v>
      </c>
      <c r="H184" s="1492">
        <v>200000</v>
      </c>
      <c r="I184" s="1348" t="s">
        <v>35</v>
      </c>
      <c r="J184" s="1348" t="s">
        <v>2306</v>
      </c>
      <c r="K184" s="1493">
        <v>45559</v>
      </c>
      <c r="L184" s="1493">
        <v>45559</v>
      </c>
      <c r="M184" s="1493">
        <v>45572</v>
      </c>
      <c r="N184" s="1493"/>
      <c r="O184" s="1540"/>
      <c r="P184" s="1347" t="s">
        <v>2557</v>
      </c>
      <c r="Q184" s="1623">
        <v>1.9423759719774858</v>
      </c>
      <c r="R184" s="1623">
        <v>1.4393</v>
      </c>
      <c r="S184" s="1495">
        <f t="shared" si="17"/>
        <v>0.74099969355298589</v>
      </c>
      <c r="T184" s="1496">
        <v>113.1323281632512</v>
      </c>
      <c r="U184" s="1496">
        <v>214.69993007453425</v>
      </c>
      <c r="V184" s="1496">
        <v>20.112171933895183</v>
      </c>
      <c r="W184" s="1496">
        <v>29.573751373744845</v>
      </c>
      <c r="X184" s="1496">
        <v>5.4241399754087904</v>
      </c>
      <c r="Y184" s="1497">
        <f t="shared" ref="Y184:Y195" si="30">V184/(U184-W184-X184)</f>
        <v>0.11191955348169678</v>
      </c>
      <c r="Z184" s="1496">
        <v>205.16884244876249</v>
      </c>
      <c r="AA184" s="1496">
        <v>48</v>
      </c>
      <c r="AB184" s="1496">
        <v>8.7965763525000007</v>
      </c>
      <c r="AC184" s="1496">
        <f t="shared" ref="AC184:AC195" si="31">U184*H184/10^7</f>
        <v>4.293998601490685</v>
      </c>
      <c r="AD184" s="1498">
        <f t="shared" ref="AD184:AD195" si="32">T184/(U184-W184-X184)</f>
        <v>0.62955506217789337</v>
      </c>
      <c r="AE184" s="1496">
        <v>3.7572487763043494</v>
      </c>
      <c r="AF184" s="1496">
        <v>3.6914969227190233</v>
      </c>
      <c r="AG184" s="1496">
        <v>3.6268957265714405</v>
      </c>
      <c r="AH184" s="1641" t="s">
        <v>2775</v>
      </c>
      <c r="AI184" s="1641"/>
      <c r="AJ184" s="1641">
        <v>213.17</v>
      </c>
      <c r="AK184" s="1764">
        <v>253.17</v>
      </c>
      <c r="AL184" s="1347"/>
      <c r="AM184" s="1641">
        <v>8.8000000000000007</v>
      </c>
      <c r="AN184" s="1641">
        <v>-3.73</v>
      </c>
      <c r="AO184" s="1641">
        <v>-3.67</v>
      </c>
      <c r="AP184" s="1641">
        <v>-3.6</v>
      </c>
      <c r="AQ184" s="1646">
        <f t="shared" si="26"/>
        <v>4.2633999999999999</v>
      </c>
      <c r="AR184" s="1647"/>
    </row>
    <row r="185" spans="1:44" ht="21.75" thickBot="1">
      <c r="A185" s="1521">
        <v>183</v>
      </c>
      <c r="B185" s="1513" t="s">
        <v>1879</v>
      </c>
      <c r="C185" s="1263" t="s">
        <v>29</v>
      </c>
      <c r="D185" s="1458">
        <v>53303</v>
      </c>
      <c r="E185" s="1752" t="s">
        <v>2778</v>
      </c>
      <c r="F185" s="1316" t="s">
        <v>2684</v>
      </c>
      <c r="G185" s="1263" t="s">
        <v>2741</v>
      </c>
      <c r="H185" s="1264">
        <v>200000</v>
      </c>
      <c r="I185" s="1265" t="s">
        <v>35</v>
      </c>
      <c r="J185" s="1265" t="s">
        <v>2306</v>
      </c>
      <c r="K185" s="1283">
        <v>45559</v>
      </c>
      <c r="L185" s="1283">
        <v>45559</v>
      </c>
      <c r="M185" s="1283">
        <v>45572</v>
      </c>
      <c r="N185" s="1283"/>
      <c r="O185" s="1394"/>
      <c r="P185" s="1263" t="s">
        <v>2557</v>
      </c>
      <c r="Q185" s="1383">
        <v>1.9423759719774858</v>
      </c>
      <c r="R185" s="1383">
        <v>1.4395</v>
      </c>
      <c r="S185" s="1455">
        <f t="shared" si="17"/>
        <v>0.74110266023033633</v>
      </c>
      <c r="T185" s="1384">
        <v>113.7006481632512</v>
      </c>
      <c r="U185" s="1384">
        <v>215.73875974653421</v>
      </c>
      <c r="V185" s="1384">
        <v>20.211038333895182</v>
      </c>
      <c r="W185" s="1384">
        <v>29.573751373744845</v>
      </c>
      <c r="X185" s="1384">
        <v>5.4507584474087905</v>
      </c>
      <c r="Y185" s="1285">
        <f t="shared" si="30"/>
        <v>0.11183975996492031</v>
      </c>
      <c r="Z185" s="1384">
        <v>83.996725003537492</v>
      </c>
      <c r="AA185" s="1384">
        <v>48</v>
      </c>
      <c r="AB185" s="1384">
        <v>8.7965763525000007</v>
      </c>
      <c r="AC185" s="1384">
        <f t="shared" si="31"/>
        <v>4.314775194930685</v>
      </c>
      <c r="AD185" s="1284">
        <f t="shared" si="32"/>
        <v>0.62917367175084293</v>
      </c>
      <c r="AE185" s="1384">
        <v>3.7754282955643492</v>
      </c>
      <c r="AF185" s="1384">
        <v>3.709358300391973</v>
      </c>
      <c r="AG185" s="1384">
        <v>3.6444445301351132</v>
      </c>
      <c r="AH185" s="1561" t="s">
        <v>2775</v>
      </c>
      <c r="AI185" s="1561"/>
      <c r="AJ185" s="1561">
        <v>214.2</v>
      </c>
      <c r="AK185" s="1766">
        <v>131.99</v>
      </c>
      <c r="AL185" s="1263"/>
      <c r="AM185" s="1561">
        <v>8.8000000000000007</v>
      </c>
      <c r="AN185" s="1561">
        <v>-3.75</v>
      </c>
      <c r="AO185" s="1561">
        <v>-3.66</v>
      </c>
      <c r="AP185" s="1561">
        <v>-3.62</v>
      </c>
      <c r="AQ185" s="1648">
        <f t="shared" si="26"/>
        <v>4.2839999999999998</v>
      </c>
      <c r="AR185" s="1564"/>
    </row>
    <row r="186" spans="1:44">
      <c r="A186" s="1521">
        <v>184</v>
      </c>
      <c r="B186" s="1700" t="s">
        <v>2507</v>
      </c>
      <c r="C186" s="1347" t="s">
        <v>29</v>
      </c>
      <c r="D186" s="1490">
        <v>53532</v>
      </c>
      <c r="E186" s="1737" t="s">
        <v>2685</v>
      </c>
      <c r="F186" s="1491" t="s">
        <v>2686</v>
      </c>
      <c r="G186" s="1347" t="s">
        <v>2222</v>
      </c>
      <c r="H186" s="1492">
        <v>107900</v>
      </c>
      <c r="I186" s="1347" t="s">
        <v>35</v>
      </c>
      <c r="J186" s="1347" t="s">
        <v>2467</v>
      </c>
      <c r="K186" s="1493">
        <v>45559</v>
      </c>
      <c r="L186" s="1493">
        <v>45559</v>
      </c>
      <c r="M186" s="1493">
        <v>45567</v>
      </c>
      <c r="N186" s="1493">
        <v>45622</v>
      </c>
      <c r="O186" s="1540"/>
      <c r="P186" s="1347" t="s">
        <v>2557</v>
      </c>
      <c r="Q186" s="1623">
        <v>10.821519921102565</v>
      </c>
      <c r="R186" s="1623">
        <v>5.9488000000000003</v>
      </c>
      <c r="S186" s="1495">
        <f t="shared" si="17"/>
        <v>0.54971945192278482</v>
      </c>
      <c r="T186" s="1496">
        <v>465.13846655576572</v>
      </c>
      <c r="U186" s="1496">
        <v>898.83151925573543</v>
      </c>
      <c r="V186" s="1496">
        <v>87.00800380391729</v>
      </c>
      <c r="W186" s="1496">
        <v>59.22321816296521</v>
      </c>
      <c r="X186" s="1496">
        <v>23.555711768006997</v>
      </c>
      <c r="Y186" s="1497">
        <f t="shared" si="30"/>
        <v>0.10662058419042751</v>
      </c>
      <c r="Z186" s="1496">
        <v>874.58649279399526</v>
      </c>
      <c r="AA186" s="1496">
        <v>301.75</v>
      </c>
      <c r="AB186" s="1496">
        <v>69.701022264999992</v>
      </c>
      <c r="AC186" s="1496">
        <f t="shared" si="31"/>
        <v>9.6983920927693852</v>
      </c>
      <c r="AD186" s="1498">
        <f t="shared" si="32"/>
        <v>0.5699858963019051</v>
      </c>
      <c r="AE186" s="1496">
        <v>17.97663038511471</v>
      </c>
      <c r="AF186" s="1496">
        <v>17.617097777412415</v>
      </c>
      <c r="AG186" s="1496">
        <v>17.264755821864167</v>
      </c>
      <c r="AH186" s="1641" t="s">
        <v>2775</v>
      </c>
      <c r="AI186" s="1641"/>
      <c r="AJ186" s="1641">
        <v>897.83</v>
      </c>
      <c r="AK186" s="1641">
        <v>1119.94</v>
      </c>
      <c r="AL186" s="1347"/>
      <c r="AM186" s="1641">
        <v>69.7</v>
      </c>
      <c r="AN186" s="1641">
        <v>-17.96</v>
      </c>
      <c r="AO186" s="1641">
        <v>-17.600000000000001</v>
      </c>
      <c r="AP186" s="1641">
        <v>-17.25</v>
      </c>
      <c r="AQ186" s="1646">
        <f t="shared" si="26"/>
        <v>9.6875856999999996</v>
      </c>
      <c r="AR186" s="1647"/>
    </row>
    <row r="187" spans="1:44">
      <c r="A187" s="1521">
        <v>185</v>
      </c>
      <c r="B187" s="1515" t="s">
        <v>2507</v>
      </c>
      <c r="C187" s="1270" t="s">
        <v>29</v>
      </c>
      <c r="D187" s="1448">
        <v>53532</v>
      </c>
      <c r="E187" s="1465" t="s">
        <v>2687</v>
      </c>
      <c r="F187" s="1315" t="s">
        <v>2686</v>
      </c>
      <c r="G187" s="1270" t="s">
        <v>2222</v>
      </c>
      <c r="H187" s="1271">
        <v>76517</v>
      </c>
      <c r="I187" s="1270" t="s">
        <v>35</v>
      </c>
      <c r="J187" s="1270" t="s">
        <v>2467</v>
      </c>
      <c r="K187" s="1280">
        <v>45559</v>
      </c>
      <c r="L187" s="1280">
        <v>45559</v>
      </c>
      <c r="M187" s="1280">
        <v>45567</v>
      </c>
      <c r="N187" s="1280">
        <v>45622</v>
      </c>
      <c r="O187" s="1533"/>
      <c r="P187" s="1270" t="s">
        <v>2557</v>
      </c>
      <c r="Q187" s="1390">
        <v>10.077125655102567</v>
      </c>
      <c r="R187" s="1390">
        <v>5.5301999999999998</v>
      </c>
      <c r="S187" s="1286">
        <f t="shared" ref="S187:S195" si="33">R187/Q187</f>
        <v>0.54878744091076959</v>
      </c>
      <c r="T187" s="1391">
        <v>449.74879619818563</v>
      </c>
      <c r="U187" s="1391">
        <v>786.6668441993877</v>
      </c>
      <c r="V187" s="1391">
        <v>68.081825705400661</v>
      </c>
      <c r="W187" s="1391">
        <v>59.22321816296521</v>
      </c>
      <c r="X187" s="1391">
        <v>18.113422822793723</v>
      </c>
      <c r="Y187" s="1282">
        <f t="shared" si="30"/>
        <v>9.5980440980738102E-2</v>
      </c>
      <c r="Z187" s="1391">
        <v>5.2408378980351991</v>
      </c>
      <c r="AA187" s="1391">
        <v>0</v>
      </c>
      <c r="AB187" s="1391">
        <v>0</v>
      </c>
      <c r="AC187" s="1391">
        <f t="shared" si="31"/>
        <v>6.0193386917604554</v>
      </c>
      <c r="AD187" s="1281">
        <f t="shared" si="32"/>
        <v>0.63404715344220985</v>
      </c>
      <c r="AE187" s="1391">
        <v>15.733336883987754</v>
      </c>
      <c r="AF187" s="1391">
        <v>15.418670146308001</v>
      </c>
      <c r="AG187" s="1391">
        <v>15.11029674338184</v>
      </c>
      <c r="AH187" s="1560" t="s">
        <v>2775</v>
      </c>
      <c r="AI187" s="1560"/>
      <c r="AJ187" s="1560">
        <v>785.67</v>
      </c>
      <c r="AK187" s="1560">
        <v>5.2</v>
      </c>
      <c r="AL187" s="1270"/>
      <c r="AM187" s="1560">
        <v>0</v>
      </c>
      <c r="AN187" s="1560">
        <v>-15.71</v>
      </c>
      <c r="AO187" s="1560">
        <v>-15.4</v>
      </c>
      <c r="AP187" s="1560">
        <v>-15.09</v>
      </c>
      <c r="AQ187" s="1642">
        <f t="shared" si="26"/>
        <v>6.0117111389999991</v>
      </c>
      <c r="AR187" s="1563"/>
    </row>
    <row r="188" spans="1:44">
      <c r="A188" s="1521">
        <v>186</v>
      </c>
      <c r="B188" s="1515" t="s">
        <v>2507</v>
      </c>
      <c r="C188" s="1270" t="s">
        <v>29</v>
      </c>
      <c r="D188" s="1448">
        <v>53532</v>
      </c>
      <c r="E188" s="1465" t="s">
        <v>2688</v>
      </c>
      <c r="F188" s="1315" t="s">
        <v>2686</v>
      </c>
      <c r="G188" s="1270" t="s">
        <v>2222</v>
      </c>
      <c r="H188" s="1271">
        <v>19313</v>
      </c>
      <c r="I188" s="1270" t="s">
        <v>35</v>
      </c>
      <c r="J188" s="1270" t="s">
        <v>2467</v>
      </c>
      <c r="K188" s="1280">
        <v>45559</v>
      </c>
      <c r="L188" s="1280">
        <v>45559</v>
      </c>
      <c r="M188" s="1280">
        <v>45567</v>
      </c>
      <c r="N188" s="1280">
        <v>45622</v>
      </c>
      <c r="O188" s="1533"/>
      <c r="P188" s="1270" t="s">
        <v>2557</v>
      </c>
      <c r="Q188" s="1390">
        <v>10.332158997769232</v>
      </c>
      <c r="R188" s="1390">
        <v>5.6739999999999986</v>
      </c>
      <c r="S188" s="1286">
        <f t="shared" si="33"/>
        <v>0.54915918359609495</v>
      </c>
      <c r="T188" s="1391">
        <v>466.18175947750899</v>
      </c>
      <c r="U188" s="1391">
        <v>812.69306641637388</v>
      </c>
      <c r="V188" s="1391">
        <v>70.11848497098714</v>
      </c>
      <c r="W188" s="1391">
        <v>59.22321816296521</v>
      </c>
      <c r="X188" s="1391">
        <v>18.644228045680308</v>
      </c>
      <c r="Y188" s="1282">
        <f t="shared" si="30"/>
        <v>9.5421938270422973E-2</v>
      </c>
      <c r="Z188" s="1391">
        <v>181.68035058615138</v>
      </c>
      <c r="AA188" s="1391">
        <v>0</v>
      </c>
      <c r="AB188" s="1391">
        <v>0</v>
      </c>
      <c r="AC188" s="1391">
        <f t="shared" si="31"/>
        <v>1.5695541191699429</v>
      </c>
      <c r="AD188" s="1281">
        <f t="shared" si="32"/>
        <v>0.63441141225550046</v>
      </c>
      <c r="AE188" s="1391">
        <v>16.253861328327474</v>
      </c>
      <c r="AF188" s="1391">
        <v>15.928784101760925</v>
      </c>
      <c r="AG188" s="1391">
        <v>15.610208419725707</v>
      </c>
      <c r="AH188" s="1560" t="s">
        <v>2775</v>
      </c>
      <c r="AI188" s="1560"/>
      <c r="AJ188" s="1560">
        <v>811.69</v>
      </c>
      <c r="AK188" s="1560">
        <v>171.69</v>
      </c>
      <c r="AL188" s="1270"/>
      <c r="AM188" s="1560">
        <v>0</v>
      </c>
      <c r="AN188" s="1560">
        <v>-16.23</v>
      </c>
      <c r="AO188" s="1560">
        <v>-15.91</v>
      </c>
      <c r="AP188" s="1560">
        <v>-15.59</v>
      </c>
      <c r="AQ188" s="1642">
        <f t="shared" si="26"/>
        <v>1.5676168970000002</v>
      </c>
      <c r="AR188" s="1563"/>
    </row>
    <row r="189" spans="1:44">
      <c r="A189" s="1521">
        <v>187</v>
      </c>
      <c r="B189" s="1515" t="s">
        <v>2507</v>
      </c>
      <c r="C189" s="1270" t="s">
        <v>29</v>
      </c>
      <c r="D189" s="1448">
        <v>53532</v>
      </c>
      <c r="E189" s="1465" t="s">
        <v>2689</v>
      </c>
      <c r="F189" s="1315" t="s">
        <v>2686</v>
      </c>
      <c r="G189" s="1270" t="s">
        <v>2222</v>
      </c>
      <c r="H189" s="1271">
        <v>86300</v>
      </c>
      <c r="I189" s="1270" t="s">
        <v>35</v>
      </c>
      <c r="J189" s="1270" t="s">
        <v>2467</v>
      </c>
      <c r="K189" s="1280">
        <v>45559</v>
      </c>
      <c r="L189" s="1280">
        <v>45559</v>
      </c>
      <c r="M189" s="1280">
        <v>45567</v>
      </c>
      <c r="N189" s="1280">
        <v>45622</v>
      </c>
      <c r="O189" s="1533"/>
      <c r="P189" s="1270" t="s">
        <v>2557</v>
      </c>
      <c r="Q189" s="1390">
        <v>14.033950957082052</v>
      </c>
      <c r="R189" s="1390">
        <v>8.0014000000000003</v>
      </c>
      <c r="S189" s="1286">
        <f t="shared" si="33"/>
        <v>0.5701459285748891</v>
      </c>
      <c r="T189" s="1391">
        <v>729.29549565492857</v>
      </c>
      <c r="U189" s="1391">
        <v>1277.7462813681605</v>
      </c>
      <c r="V189" s="1391">
        <v>112.13725811205914</v>
      </c>
      <c r="W189" s="1391">
        <v>59.22321816296521</v>
      </c>
      <c r="X189" s="1391">
        <v>29.877155146116181</v>
      </c>
      <c r="Y189" s="1282">
        <f t="shared" si="30"/>
        <v>9.4340339163886303E-2</v>
      </c>
      <c r="Z189" s="1391">
        <v>945.12697493227938</v>
      </c>
      <c r="AA189" s="1391">
        <v>0</v>
      </c>
      <c r="AB189" s="1391">
        <v>0</v>
      </c>
      <c r="AC189" s="1391">
        <f t="shared" si="31"/>
        <v>11.026950408207224</v>
      </c>
      <c r="AD189" s="1281">
        <f t="shared" si="32"/>
        <v>0.61355151328942314</v>
      </c>
      <c r="AE189" s="1391">
        <v>25.554925627363215</v>
      </c>
      <c r="AF189" s="1391">
        <v>25.043827114815951</v>
      </c>
      <c r="AG189" s="1391">
        <v>24.542950572519629</v>
      </c>
      <c r="AH189" s="1560" t="s">
        <v>2775</v>
      </c>
      <c r="AI189" s="1560"/>
      <c r="AJ189" s="1560">
        <v>1276.75</v>
      </c>
      <c r="AK189" s="1560">
        <v>945</v>
      </c>
      <c r="AL189" s="1270"/>
      <c r="AM189" s="1560">
        <v>0</v>
      </c>
      <c r="AN189" s="1560">
        <v>-25.54</v>
      </c>
      <c r="AO189" s="1560">
        <v>-25.02</v>
      </c>
      <c r="AP189" s="1560">
        <v>-24.52</v>
      </c>
      <c r="AQ189" s="1642">
        <f t="shared" si="26"/>
        <v>11.018352500000001</v>
      </c>
      <c r="AR189" s="1563"/>
    </row>
    <row r="190" spans="1:44">
      <c r="A190" s="1521">
        <v>188</v>
      </c>
      <c r="B190" s="1515" t="s">
        <v>2507</v>
      </c>
      <c r="C190" s="1270" t="s">
        <v>29</v>
      </c>
      <c r="D190" s="1448">
        <v>53532</v>
      </c>
      <c r="E190" s="1465" t="s">
        <v>2690</v>
      </c>
      <c r="F190" s="1315" t="s">
        <v>2686</v>
      </c>
      <c r="G190" s="1270" t="s">
        <v>2222</v>
      </c>
      <c r="H190" s="1271">
        <v>7640</v>
      </c>
      <c r="I190" s="1270" t="s">
        <v>35</v>
      </c>
      <c r="J190" s="1270" t="s">
        <v>2467</v>
      </c>
      <c r="K190" s="1280">
        <v>45559</v>
      </c>
      <c r="L190" s="1280">
        <v>45559</v>
      </c>
      <c r="M190" s="1280">
        <v>45567</v>
      </c>
      <c r="N190" s="1280">
        <v>45622</v>
      </c>
      <c r="O190" s="1533"/>
      <c r="P190" s="1270" t="s">
        <v>2557</v>
      </c>
      <c r="Q190" s="1390">
        <v>14.157722143082053</v>
      </c>
      <c r="R190" s="1390">
        <v>8.0861000000000001</v>
      </c>
      <c r="S190" s="1286">
        <f t="shared" si="33"/>
        <v>0.57114413733222935</v>
      </c>
      <c r="T190" s="1391">
        <v>743.58036189337349</v>
      </c>
      <c r="U190" s="1391">
        <v>1295.2035461440519</v>
      </c>
      <c r="V190" s="1391">
        <v>112.91295543682804</v>
      </c>
      <c r="W190" s="1391">
        <v>59.22321816296521</v>
      </c>
      <c r="X190" s="1391">
        <v>30.049533365216917</v>
      </c>
      <c r="Y190" s="1282">
        <f t="shared" si="30"/>
        <v>9.3631372497453055E-2</v>
      </c>
      <c r="Z190" s="1391">
        <v>0</v>
      </c>
      <c r="AA190" s="1391">
        <v>0</v>
      </c>
      <c r="AB190" s="1391">
        <v>0</v>
      </c>
      <c r="AC190" s="1391">
        <f t="shared" si="31"/>
        <v>0.98953550925405565</v>
      </c>
      <c r="AD190" s="1281">
        <f t="shared" si="32"/>
        <v>0.61660284753755656</v>
      </c>
      <c r="AE190" s="1391">
        <v>25.904070922881036</v>
      </c>
      <c r="AF190" s="1391">
        <v>25.385989504423414</v>
      </c>
      <c r="AG190" s="1391">
        <v>24.878269714334948</v>
      </c>
      <c r="AH190" s="1560" t="s">
        <v>2775</v>
      </c>
      <c r="AI190" s="1560"/>
      <c r="AJ190" s="1560">
        <v>1294.2</v>
      </c>
      <c r="AK190" s="1560">
        <v>0</v>
      </c>
      <c r="AL190" s="1270"/>
      <c r="AM190" s="1560">
        <v>0</v>
      </c>
      <c r="AN190" s="1560">
        <v>-25.88</v>
      </c>
      <c r="AO190" s="1560">
        <v>-25.37</v>
      </c>
      <c r="AP190" s="1560">
        <v>-24.86</v>
      </c>
      <c r="AQ190" s="1642">
        <f t="shared" si="26"/>
        <v>0.9887688</v>
      </c>
      <c r="AR190" s="1563"/>
    </row>
    <row r="191" spans="1:44">
      <c r="A191" s="1521">
        <v>189</v>
      </c>
      <c r="B191" s="1515" t="s">
        <v>2507</v>
      </c>
      <c r="C191" s="1270" t="s">
        <v>29</v>
      </c>
      <c r="D191" s="1448">
        <v>53532</v>
      </c>
      <c r="E191" s="1465" t="s">
        <v>2691</v>
      </c>
      <c r="F191" s="1315" t="s">
        <v>2692</v>
      </c>
      <c r="G191" s="1270" t="s">
        <v>2222</v>
      </c>
      <c r="H191" s="1273">
        <v>107900</v>
      </c>
      <c r="I191" s="1270" t="s">
        <v>35</v>
      </c>
      <c r="J191" s="1270" t="s">
        <v>2467</v>
      </c>
      <c r="K191" s="1280">
        <v>45559</v>
      </c>
      <c r="L191" s="1280">
        <v>45559</v>
      </c>
      <c r="M191" s="1280">
        <v>45567</v>
      </c>
      <c r="N191" s="1280">
        <v>45622</v>
      </c>
      <c r="O191" s="1533"/>
      <c r="P191" s="1270" t="s">
        <v>2557</v>
      </c>
      <c r="Q191" s="1390">
        <v>11.376118088302563</v>
      </c>
      <c r="R191" s="1390">
        <v>6.1722000000000001</v>
      </c>
      <c r="S191" s="1286">
        <f t="shared" si="33"/>
        <v>0.5425576591321194</v>
      </c>
      <c r="T191" s="1391">
        <v>485.95134975678582</v>
      </c>
      <c r="U191" s="1391">
        <v>946.86661958714103</v>
      </c>
      <c r="V191" s="1391">
        <v>92.511496792293272</v>
      </c>
      <c r="W191" s="1391">
        <v>59.22321816296521</v>
      </c>
      <c r="X191" s="1391">
        <v>25.077624058406172</v>
      </c>
      <c r="Y191" s="1282">
        <f t="shared" si="30"/>
        <v>0.10725152703695073</v>
      </c>
      <c r="Z191" s="1391">
        <v>858.51339399393225</v>
      </c>
      <c r="AA191" s="1391">
        <v>301.75</v>
      </c>
      <c r="AB191" s="1391">
        <v>69.701022264999992</v>
      </c>
      <c r="AC191" s="1391">
        <f t="shared" si="31"/>
        <v>10.216690825345253</v>
      </c>
      <c r="AD191" s="1281">
        <f t="shared" si="32"/>
        <v>0.56337888948116577</v>
      </c>
      <c r="AE191" s="1391">
        <v>18.937332391742821</v>
      </c>
      <c r="AF191" s="1391">
        <v>18.558585743907965</v>
      </c>
      <c r="AG191" s="1391">
        <v>18.187414029029803</v>
      </c>
      <c r="AH191" s="1560" t="s">
        <v>2775</v>
      </c>
      <c r="AI191" s="1560"/>
      <c r="AJ191" s="1560">
        <v>945.87</v>
      </c>
      <c r="AK191" s="1560">
        <v>1104.78</v>
      </c>
      <c r="AL191" s="1270"/>
      <c r="AM191" s="1560">
        <v>69.7</v>
      </c>
      <c r="AN191" s="1560">
        <v>-18.920000000000002</v>
      </c>
      <c r="AO191" s="1560">
        <v>-18.54</v>
      </c>
      <c r="AP191" s="1560">
        <v>-18.170000000000002</v>
      </c>
      <c r="AQ191" s="1642">
        <f t="shared" si="26"/>
        <v>10.2059373</v>
      </c>
      <c r="AR191" s="1563"/>
    </row>
    <row r="192" spans="1:44">
      <c r="A192" s="1521">
        <v>190</v>
      </c>
      <c r="B192" s="1515" t="s">
        <v>2507</v>
      </c>
      <c r="C192" s="1270" t="s">
        <v>29</v>
      </c>
      <c r="D192" s="1448">
        <v>53532</v>
      </c>
      <c r="E192" s="1465" t="s">
        <v>2693</v>
      </c>
      <c r="F192" s="1315" t="s">
        <v>2692</v>
      </c>
      <c r="G192" s="1270" t="s">
        <v>2222</v>
      </c>
      <c r="H192" s="1271">
        <v>76517</v>
      </c>
      <c r="I192" s="1270" t="s">
        <v>35</v>
      </c>
      <c r="J192" s="1270" t="s">
        <v>2467</v>
      </c>
      <c r="K192" s="1280">
        <v>45559</v>
      </c>
      <c r="L192" s="1280">
        <v>45559</v>
      </c>
      <c r="M192" s="1280">
        <v>45567</v>
      </c>
      <c r="N192" s="1280">
        <v>45622</v>
      </c>
      <c r="O192" s="1533"/>
      <c r="P192" s="1270" t="s">
        <v>2557</v>
      </c>
      <c r="Q192" s="1390">
        <v>10.631723822302565</v>
      </c>
      <c r="R192" s="1390">
        <v>5.7609999999999992</v>
      </c>
      <c r="S192" s="1286">
        <f t="shared" si="33"/>
        <v>0.54186885365804316</v>
      </c>
      <c r="T192" s="1391">
        <v>465.42418755870568</v>
      </c>
      <c r="U192" s="1391">
        <v>829.28483912352874</v>
      </c>
      <c r="V192" s="1391">
        <v>73.463066760445997</v>
      </c>
      <c r="W192" s="1391">
        <v>59.22321816296521</v>
      </c>
      <c r="X192" s="1391">
        <v>19.618879628281711</v>
      </c>
      <c r="Y192" s="1282">
        <f t="shared" si="30"/>
        <v>9.789296733022558E-2</v>
      </c>
      <c r="Z192" s="1391">
        <v>0</v>
      </c>
      <c r="AA192" s="1391">
        <v>0</v>
      </c>
      <c r="AB192" s="1391">
        <v>0</v>
      </c>
      <c r="AC192" s="1391">
        <f t="shared" si="31"/>
        <v>6.345438803521505</v>
      </c>
      <c r="AD192" s="1281">
        <f t="shared" si="32"/>
        <v>0.62019946616103605</v>
      </c>
      <c r="AE192" s="1391">
        <v>16.585696782470574</v>
      </c>
      <c r="AF192" s="1391">
        <v>16.253982846821163</v>
      </c>
      <c r="AG192" s="1391">
        <v>15.928903189884739</v>
      </c>
      <c r="AH192" s="1560" t="s">
        <v>2775</v>
      </c>
      <c r="AI192" s="1560"/>
      <c r="AJ192" s="1560">
        <v>828.28</v>
      </c>
      <c r="AK192" s="1560">
        <v>0</v>
      </c>
      <c r="AL192" s="1270"/>
      <c r="AM192" s="1560">
        <v>0</v>
      </c>
      <c r="AN192" s="1560">
        <v>-16.57</v>
      </c>
      <c r="AO192" s="1560">
        <v>-16.23</v>
      </c>
      <c r="AP192" s="1560">
        <v>-15.91</v>
      </c>
      <c r="AQ192" s="1642">
        <f t="shared" si="26"/>
        <v>6.3377500759999998</v>
      </c>
      <c r="AR192" s="1563"/>
    </row>
    <row r="193" spans="1:44">
      <c r="A193" s="1521">
        <v>191</v>
      </c>
      <c r="B193" s="1515" t="s">
        <v>2507</v>
      </c>
      <c r="C193" s="1270" t="s">
        <v>29</v>
      </c>
      <c r="D193" s="1448">
        <v>53532</v>
      </c>
      <c r="E193" s="1465" t="s">
        <v>2694</v>
      </c>
      <c r="F193" s="1315" t="s">
        <v>2692</v>
      </c>
      <c r="G193" s="1270" t="s">
        <v>2222</v>
      </c>
      <c r="H193" s="1271">
        <v>19313</v>
      </c>
      <c r="I193" s="1270" t="s">
        <v>35</v>
      </c>
      <c r="J193" s="1270" t="s">
        <v>2467</v>
      </c>
      <c r="K193" s="1280">
        <v>45559</v>
      </c>
      <c r="L193" s="1280">
        <v>45559</v>
      </c>
      <c r="M193" s="1280">
        <v>45567</v>
      </c>
      <c r="N193" s="1280">
        <v>45622</v>
      </c>
      <c r="O193" s="1533"/>
      <c r="P193" s="1270" t="s">
        <v>2557</v>
      </c>
      <c r="Q193" s="1390">
        <v>10.424015891102565</v>
      </c>
      <c r="R193" s="1390">
        <v>5.7335999999999983</v>
      </c>
      <c r="S193" s="1286">
        <f t="shared" si="33"/>
        <v>0.5500375344682582</v>
      </c>
      <c r="T193" s="1391">
        <v>454.7284421701757</v>
      </c>
      <c r="U193" s="1391">
        <v>804.081801797975</v>
      </c>
      <c r="V193" s="1391">
        <v>70.50841443179921</v>
      </c>
      <c r="W193" s="1391">
        <v>59.22321816296521</v>
      </c>
      <c r="X193" s="1391">
        <v>18.800038575242635</v>
      </c>
      <c r="Y193" s="1282">
        <f t="shared" si="30"/>
        <v>9.711119703989593E-2</v>
      </c>
      <c r="Z193" s="1391">
        <v>89.012337286266984</v>
      </c>
      <c r="AA193" s="1391">
        <v>0</v>
      </c>
      <c r="AB193" s="1391">
        <v>0</v>
      </c>
      <c r="AC193" s="1391">
        <f t="shared" si="31"/>
        <v>1.5529231838124291</v>
      </c>
      <c r="AD193" s="1281">
        <f t="shared" si="32"/>
        <v>0.62629721151858864</v>
      </c>
      <c r="AE193" s="1391">
        <v>16.081636035959502</v>
      </c>
      <c r="AF193" s="1391">
        <v>15.760003315240311</v>
      </c>
      <c r="AG193" s="1391">
        <v>15.444803248935505</v>
      </c>
      <c r="AH193" s="1560" t="s">
        <v>2775</v>
      </c>
      <c r="AI193" s="1560"/>
      <c r="AJ193" s="1560">
        <v>803.08</v>
      </c>
      <c r="AK193" s="1560">
        <v>83.99</v>
      </c>
      <c r="AL193" s="1270"/>
      <c r="AM193" s="1560">
        <v>0</v>
      </c>
      <c r="AN193" s="1560">
        <v>-16.059999999999999</v>
      </c>
      <c r="AO193" s="1560">
        <v>-15.74</v>
      </c>
      <c r="AP193" s="1560">
        <v>-15.43</v>
      </c>
      <c r="AQ193" s="1642">
        <f t="shared" si="26"/>
        <v>1.5509884040000002</v>
      </c>
      <c r="AR193" s="1563"/>
    </row>
    <row r="194" spans="1:44">
      <c r="A194" s="1521">
        <v>192</v>
      </c>
      <c r="B194" s="1515" t="s">
        <v>2507</v>
      </c>
      <c r="C194" s="1270" t="s">
        <v>29</v>
      </c>
      <c r="D194" s="1448">
        <v>53532</v>
      </c>
      <c r="E194" s="1465" t="s">
        <v>2695</v>
      </c>
      <c r="F194" s="1315" t="s">
        <v>2692</v>
      </c>
      <c r="G194" s="1270" t="s">
        <v>2222</v>
      </c>
      <c r="H194" s="1271">
        <v>86300</v>
      </c>
      <c r="I194" s="1270" t="s">
        <v>35</v>
      </c>
      <c r="J194" s="1270" t="s">
        <v>2467</v>
      </c>
      <c r="K194" s="1280">
        <v>45559</v>
      </c>
      <c r="L194" s="1280">
        <v>45559</v>
      </c>
      <c r="M194" s="1280">
        <v>45567</v>
      </c>
      <c r="N194" s="1280">
        <v>45622</v>
      </c>
      <c r="O194" s="1533"/>
      <c r="P194" s="1270" t="s">
        <v>2557</v>
      </c>
      <c r="Q194" s="1390">
        <v>14.467544284902566</v>
      </c>
      <c r="R194" s="1390">
        <v>8.1992999999999991</v>
      </c>
      <c r="S194" s="1286">
        <f t="shared" si="33"/>
        <v>0.5667375083521452</v>
      </c>
      <c r="T194" s="1391">
        <v>751.69382786568826</v>
      </c>
      <c r="U194" s="1391">
        <v>1307.3042525623853</v>
      </c>
      <c r="V194" s="1391">
        <v>113.76023104583629</v>
      </c>
      <c r="W194" s="1391">
        <v>59.22321816296521</v>
      </c>
      <c r="X194" s="1391">
        <v>30.265614899897209</v>
      </c>
      <c r="Y194" s="1282">
        <f t="shared" si="30"/>
        <v>9.3413360698444386E-2</v>
      </c>
      <c r="Z194" s="1391">
        <v>241.420633381177</v>
      </c>
      <c r="AA194" s="1391">
        <v>0</v>
      </c>
      <c r="AB194" s="1391">
        <v>0</v>
      </c>
      <c r="AC194" s="1391">
        <f t="shared" si="31"/>
        <v>11.282035699613385</v>
      </c>
      <c r="AD194" s="1281">
        <f t="shared" si="32"/>
        <v>0.61724775021702927</v>
      </c>
      <c r="AE194" s="1391">
        <v>26.146085051247706</v>
      </c>
      <c r="AF194" s="1391">
        <v>25.623163350222754</v>
      </c>
      <c r="AG194" s="1391">
        <v>25.110700083218298</v>
      </c>
      <c r="AH194" s="1560" t="s">
        <v>2775</v>
      </c>
      <c r="AI194" s="1560"/>
      <c r="AJ194" s="1560">
        <v>1306.3</v>
      </c>
      <c r="AK194" s="1560">
        <v>232.09</v>
      </c>
      <c r="AL194" s="1270"/>
      <c r="AM194" s="1560">
        <v>0</v>
      </c>
      <c r="AN194" s="1560">
        <v>-26.13</v>
      </c>
      <c r="AO194" s="1560">
        <v>-25.6</v>
      </c>
      <c r="AP194" s="1560">
        <v>-25.09</v>
      </c>
      <c r="AQ194" s="1642">
        <f t="shared" si="26"/>
        <v>11.273369000000001</v>
      </c>
      <c r="AR194" s="1563"/>
    </row>
    <row r="195" spans="1:44" ht="21.75" thickBot="1">
      <c r="A195" s="1521">
        <v>193</v>
      </c>
      <c r="B195" s="1513" t="s">
        <v>2507</v>
      </c>
      <c r="C195" s="1263" t="s">
        <v>29</v>
      </c>
      <c r="D195" s="1458">
        <v>53532</v>
      </c>
      <c r="E195" s="1466" t="s">
        <v>2696</v>
      </c>
      <c r="F195" s="1316" t="s">
        <v>2692</v>
      </c>
      <c r="G195" s="1263" t="s">
        <v>2222</v>
      </c>
      <c r="H195" s="1274">
        <v>7640</v>
      </c>
      <c r="I195" s="1263" t="s">
        <v>35</v>
      </c>
      <c r="J195" s="1263" t="s">
        <v>2467</v>
      </c>
      <c r="K195" s="1283">
        <v>45559</v>
      </c>
      <c r="L195" s="1283">
        <v>45559</v>
      </c>
      <c r="M195" s="1283">
        <v>45567</v>
      </c>
      <c r="N195" s="1283">
        <v>45622</v>
      </c>
      <c r="O195" s="1394"/>
      <c r="P195" s="1263" t="s">
        <v>2557</v>
      </c>
      <c r="Q195" s="1383">
        <v>14.591315470902567</v>
      </c>
      <c r="R195" s="1383">
        <v>8.2846999999999991</v>
      </c>
      <c r="S195" s="1455">
        <f t="shared" si="33"/>
        <v>0.5677829402373642</v>
      </c>
      <c r="T195" s="1384">
        <v>765.47284217587321</v>
      </c>
      <c r="U195" s="1384">
        <v>1324.2379483034777</v>
      </c>
      <c r="V195" s="1384">
        <v>114.52581133203999</v>
      </c>
      <c r="W195" s="1384">
        <v>59.22321816296521</v>
      </c>
      <c r="X195" s="1384">
        <v>30.43693082994859</v>
      </c>
      <c r="Y195" s="1285">
        <f t="shared" si="30"/>
        <v>9.2765163439676016E-2</v>
      </c>
      <c r="Z195" s="1384">
        <v>0</v>
      </c>
      <c r="AA195" s="1384">
        <v>0</v>
      </c>
      <c r="AB195" s="1384">
        <v>0</v>
      </c>
      <c r="AC195" s="1384">
        <f t="shared" si="31"/>
        <v>1.011717792503857</v>
      </c>
      <c r="AD195" s="1284">
        <f t="shared" si="32"/>
        <v>0.62002803112395422</v>
      </c>
      <c r="AE195" s="1384">
        <v>26.48475896606956</v>
      </c>
      <c r="AF195" s="1384">
        <v>25.955063786748166</v>
      </c>
      <c r="AG195" s="1384">
        <v>25.435962511013201</v>
      </c>
      <c r="AH195" s="1561" t="s">
        <v>2775</v>
      </c>
      <c r="AI195" s="1561"/>
      <c r="AJ195" s="1561">
        <v>1323.24</v>
      </c>
      <c r="AK195" s="1561">
        <v>0</v>
      </c>
      <c r="AL195" s="1263"/>
      <c r="AM195" s="1561">
        <v>0</v>
      </c>
      <c r="AN195" s="1561">
        <v>-26.46</v>
      </c>
      <c r="AO195" s="1561">
        <v>-25.94</v>
      </c>
      <c r="AP195" s="1561">
        <v>-25.42</v>
      </c>
      <c r="AQ195" s="1648">
        <f t="shared" si="26"/>
        <v>1.0109553599999999</v>
      </c>
      <c r="AR195" s="1564"/>
    </row>
    <row r="196" spans="1:44">
      <c r="A196" s="1521">
        <v>194</v>
      </c>
      <c r="B196" s="1700" t="s">
        <v>2507</v>
      </c>
      <c r="C196" s="1347" t="s">
        <v>29</v>
      </c>
      <c r="D196" s="1490">
        <v>53654</v>
      </c>
      <c r="E196" s="1737" t="s">
        <v>2697</v>
      </c>
      <c r="F196" s="1491" t="s">
        <v>2698</v>
      </c>
      <c r="G196" s="1493" t="s">
        <v>2222</v>
      </c>
      <c r="H196" s="1492">
        <v>123200</v>
      </c>
      <c r="I196" s="1347" t="s">
        <v>35</v>
      </c>
      <c r="J196" s="1347" t="s">
        <v>2467</v>
      </c>
      <c r="K196" s="1493">
        <v>45559</v>
      </c>
      <c r="L196" s="1493">
        <v>45559</v>
      </c>
      <c r="M196" s="1493">
        <v>45567</v>
      </c>
      <c r="N196" s="1493">
        <v>45618</v>
      </c>
      <c r="O196" s="1540"/>
      <c r="P196" s="1347" t="s">
        <v>2557</v>
      </c>
      <c r="Q196" s="1494">
        <v>21.123533725721547</v>
      </c>
      <c r="R196" s="1623">
        <v>10.407000000000002</v>
      </c>
      <c r="S196" s="1495">
        <f t="shared" ref="S196:S221" si="34">R196/Q196</f>
        <v>0.49267324942548241</v>
      </c>
      <c r="T196" s="1496">
        <v>1101.2851598509699</v>
      </c>
      <c r="U196" s="1496">
        <v>1864.4256004806221</v>
      </c>
      <c r="V196" s="1496">
        <v>157.68458461412501</v>
      </c>
      <c r="W196" s="1496">
        <v>88.453327986342813</v>
      </c>
      <c r="X196" s="1496">
        <v>41.731293807457448</v>
      </c>
      <c r="Y196" s="1497">
        <f t="shared" ref="Y196:Y205" si="35">V196/(U196-W196-X196)</f>
        <v>9.0924264016367995E-2</v>
      </c>
      <c r="Z196" s="1496">
        <v>968.54708894033763</v>
      </c>
      <c r="AA196" s="1496">
        <v>486.375</v>
      </c>
      <c r="AB196" s="1496">
        <v>84.652840275000059</v>
      </c>
      <c r="AC196" s="1496">
        <f t="shared" ref="AC196:AC205" si="36">U196*H196/10^7</f>
        <v>22.969723397921264</v>
      </c>
      <c r="AD196" s="1498">
        <f t="shared" ref="AD196:AD205" si="37">T196/(U196-W196-X196)</f>
        <v>0.63502429788325609</v>
      </c>
      <c r="AE196" s="1496">
        <v>37.288512009612447</v>
      </c>
      <c r="AF196" s="1496">
        <v>41.110584490597716</v>
      </c>
      <c r="AG196" s="1496">
        <v>44.650662599510305</v>
      </c>
      <c r="AH196" s="1347"/>
      <c r="AI196" s="1347"/>
      <c r="AJ196" s="1347"/>
      <c r="AK196" s="1347"/>
      <c r="AL196" s="1347"/>
      <c r="AM196" s="1347"/>
      <c r="AN196" s="1347"/>
      <c r="AO196" s="1347"/>
      <c r="AP196" s="1347"/>
      <c r="AQ196" s="1623">
        <f t="shared" ref="AQ196:AQ259" si="38">AJ196*H196/10^7</f>
        <v>0</v>
      </c>
      <c r="AR196" s="1350"/>
    </row>
    <row r="197" spans="1:44">
      <c r="A197" s="1521">
        <v>195</v>
      </c>
      <c r="B197" s="1515" t="s">
        <v>2507</v>
      </c>
      <c r="C197" s="1270" t="s">
        <v>29</v>
      </c>
      <c r="D197" s="1448">
        <v>53654</v>
      </c>
      <c r="E197" s="1465" t="s">
        <v>2699</v>
      </c>
      <c r="F197" s="1315" t="s">
        <v>2698</v>
      </c>
      <c r="G197" s="1280" t="s">
        <v>2222</v>
      </c>
      <c r="H197" s="1271">
        <v>30600</v>
      </c>
      <c r="I197" s="1270" t="s">
        <v>35</v>
      </c>
      <c r="J197" s="1270" t="s">
        <v>2467</v>
      </c>
      <c r="K197" s="1280">
        <v>45559</v>
      </c>
      <c r="L197" s="1280">
        <v>45559</v>
      </c>
      <c r="M197" s="1280">
        <v>45567</v>
      </c>
      <c r="N197" s="1280">
        <v>45618</v>
      </c>
      <c r="O197" s="1533"/>
      <c r="P197" s="1270" t="s">
        <v>2557</v>
      </c>
      <c r="Q197" s="1379">
        <v>22.583428398644621</v>
      </c>
      <c r="R197" s="1390">
        <v>11.459</v>
      </c>
      <c r="S197" s="1286">
        <f t="shared" si="34"/>
        <v>0.50740745814695387</v>
      </c>
      <c r="T197" s="1391">
        <v>1166.5354613818379</v>
      </c>
      <c r="U197" s="1391">
        <v>2017.1340214775462</v>
      </c>
      <c r="V197" s="1391">
        <v>175.24760068968098</v>
      </c>
      <c r="W197" s="1391">
        <v>88.453327986342813</v>
      </c>
      <c r="X197" s="1391">
        <v>46.592432645158709</v>
      </c>
      <c r="Y197" s="1282">
        <f t="shared" si="35"/>
        <v>9.3113380671585991E-2</v>
      </c>
      <c r="Z197" s="1391">
        <v>89.852924707253393</v>
      </c>
      <c r="AA197" s="1391">
        <v>12</v>
      </c>
      <c r="AB197" s="1391">
        <v>0</v>
      </c>
      <c r="AC197" s="1391">
        <f t="shared" si="36"/>
        <v>6.1724301057212916</v>
      </c>
      <c r="AD197" s="1281">
        <f t="shared" si="37"/>
        <v>0.61980911610247846</v>
      </c>
      <c r="AE197" s="1391">
        <v>40.342680429550924</v>
      </c>
      <c r="AF197" s="1391">
        <v>44.477805173579895</v>
      </c>
      <c r="AG197" s="1391">
        <v>48.307838396860383</v>
      </c>
      <c r="AH197" s="1270"/>
      <c r="AI197" s="1270"/>
      <c r="AJ197" s="1270"/>
      <c r="AK197" s="1270"/>
      <c r="AL197" s="1270"/>
      <c r="AM197" s="1270"/>
      <c r="AN197" s="1270"/>
      <c r="AO197" s="1270"/>
      <c r="AP197" s="1270"/>
      <c r="AQ197" s="1390">
        <f t="shared" si="38"/>
        <v>0</v>
      </c>
      <c r="AR197" s="1624"/>
    </row>
    <row r="198" spans="1:44">
      <c r="A198" s="1521">
        <v>196</v>
      </c>
      <c r="B198" s="1515" t="s">
        <v>2507</v>
      </c>
      <c r="C198" s="1270" t="s">
        <v>29</v>
      </c>
      <c r="D198" s="1448">
        <v>53654</v>
      </c>
      <c r="E198" s="1465" t="s">
        <v>2700</v>
      </c>
      <c r="F198" s="1315" t="s">
        <v>2698</v>
      </c>
      <c r="G198" s="1280" t="s">
        <v>2222</v>
      </c>
      <c r="H198" s="1271">
        <v>95830</v>
      </c>
      <c r="I198" s="1270" t="s">
        <v>35</v>
      </c>
      <c r="J198" s="1270" t="s">
        <v>2467</v>
      </c>
      <c r="K198" s="1280">
        <v>45559</v>
      </c>
      <c r="L198" s="1280">
        <v>45559</v>
      </c>
      <c r="M198" s="1280">
        <v>45567</v>
      </c>
      <c r="N198" s="1280">
        <v>45618</v>
      </c>
      <c r="O198" s="1533"/>
      <c r="P198" s="1270" t="s">
        <v>2557</v>
      </c>
      <c r="Q198" s="1379">
        <v>23.269351792511287</v>
      </c>
      <c r="R198" s="1390">
        <v>11.870999999999999</v>
      </c>
      <c r="S198" s="1286">
        <f t="shared" si="34"/>
        <v>0.51015602436422014</v>
      </c>
      <c r="T198" s="1391">
        <v>1254.4540534758801</v>
      </c>
      <c r="U198" s="1391">
        <v>2118.5316229517366</v>
      </c>
      <c r="V198" s="1391">
        <v>178.87591763353245</v>
      </c>
      <c r="W198" s="1391">
        <v>88.453327986342813</v>
      </c>
      <c r="X198" s="1391">
        <v>47.320414308185953</v>
      </c>
      <c r="Y198" s="1282">
        <f t="shared" si="35"/>
        <v>9.0215713869331332E-2</v>
      </c>
      <c r="Z198" s="1391">
        <v>219.06251932169795</v>
      </c>
      <c r="AA198" s="1391">
        <v>14</v>
      </c>
      <c r="AB198" s="1391">
        <v>0</v>
      </c>
      <c r="AC198" s="1391">
        <f t="shared" si="36"/>
        <v>20.301888542746493</v>
      </c>
      <c r="AD198" s="1281">
        <f t="shared" si="37"/>
        <v>0.63268141093459018</v>
      </c>
      <c r="AE198" s="1391">
        <v>42.370632459034731</v>
      </c>
      <c r="AF198" s="1391">
        <v>46.713622286085787</v>
      </c>
      <c r="AG198" s="1391">
        <v>50.736184205165401</v>
      </c>
      <c r="AH198" s="1270"/>
      <c r="AI198" s="1270"/>
      <c r="AJ198" s="1270"/>
      <c r="AK198" s="1270"/>
      <c r="AL198" s="1270"/>
      <c r="AM198" s="1270"/>
      <c r="AN198" s="1270"/>
      <c r="AO198" s="1270"/>
      <c r="AP198" s="1270"/>
      <c r="AQ198" s="1390">
        <f t="shared" si="38"/>
        <v>0</v>
      </c>
      <c r="AR198" s="1624"/>
    </row>
    <row r="199" spans="1:44">
      <c r="A199" s="1521">
        <v>197</v>
      </c>
      <c r="B199" s="1515" t="s">
        <v>2507</v>
      </c>
      <c r="C199" s="1270" t="s">
        <v>29</v>
      </c>
      <c r="D199" s="1448">
        <v>53654</v>
      </c>
      <c r="E199" s="1465" t="s">
        <v>2701</v>
      </c>
      <c r="F199" s="1315" t="s">
        <v>2698</v>
      </c>
      <c r="G199" s="1280" t="s">
        <v>2222</v>
      </c>
      <c r="H199" s="1271">
        <v>7640</v>
      </c>
      <c r="I199" s="1270" t="s">
        <v>35</v>
      </c>
      <c r="J199" s="1270" t="s">
        <v>2467</v>
      </c>
      <c r="K199" s="1280">
        <v>45559</v>
      </c>
      <c r="L199" s="1280">
        <v>45559</v>
      </c>
      <c r="M199" s="1280">
        <v>45567</v>
      </c>
      <c r="N199" s="1280">
        <v>45618</v>
      </c>
      <c r="O199" s="1533"/>
      <c r="P199" s="1270" t="s">
        <v>2557</v>
      </c>
      <c r="Q199" s="1379">
        <v>23.518856826751289</v>
      </c>
      <c r="R199" s="1390">
        <v>12.001200000000001</v>
      </c>
      <c r="S199" s="1286">
        <f t="shared" si="34"/>
        <v>0.51027990384079192</v>
      </c>
      <c r="T199" s="1391">
        <v>1281.3031983434339</v>
      </c>
      <c r="U199" s="1391">
        <v>2156.5496259043443</v>
      </c>
      <c r="V199" s="1391">
        <v>181.35652449908298</v>
      </c>
      <c r="W199" s="1391">
        <v>88.453327986342813</v>
      </c>
      <c r="X199" s="1391">
        <v>47.941559105453194</v>
      </c>
      <c r="Y199" s="1282">
        <f t="shared" si="35"/>
        <v>8.97735807137649E-2</v>
      </c>
      <c r="Z199" s="1391">
        <v>98.459140301496973</v>
      </c>
      <c r="AA199" s="1391">
        <v>14.5</v>
      </c>
      <c r="AB199" s="1391">
        <v>0</v>
      </c>
      <c r="AC199" s="1391">
        <f t="shared" si="36"/>
        <v>1.6476039141909191</v>
      </c>
      <c r="AD199" s="1281">
        <f t="shared" si="37"/>
        <v>0.63425992758187766</v>
      </c>
      <c r="AE199" s="1391">
        <v>43.130992518086899</v>
      </c>
      <c r="AF199" s="1391">
        <v>47.551919251190803</v>
      </c>
      <c r="AG199" s="1391">
        <v>51.646667853376691</v>
      </c>
      <c r="AH199" s="1270"/>
      <c r="AI199" s="1270"/>
      <c r="AJ199" s="1270"/>
      <c r="AK199" s="1270"/>
      <c r="AL199" s="1270"/>
      <c r="AM199" s="1270"/>
      <c r="AN199" s="1270"/>
      <c r="AO199" s="1270"/>
      <c r="AP199" s="1270"/>
      <c r="AQ199" s="1390">
        <f t="shared" si="38"/>
        <v>0</v>
      </c>
      <c r="AR199" s="1624"/>
    </row>
    <row r="200" spans="1:44">
      <c r="A200" s="1521">
        <v>198</v>
      </c>
      <c r="B200" s="1515" t="s">
        <v>2507</v>
      </c>
      <c r="C200" s="1270" t="s">
        <v>29</v>
      </c>
      <c r="D200" s="1448">
        <v>53654</v>
      </c>
      <c r="E200" s="1465" t="s">
        <v>2702</v>
      </c>
      <c r="F200" s="1315" t="s">
        <v>2698</v>
      </c>
      <c r="G200" s="1280" t="s">
        <v>2222</v>
      </c>
      <c r="H200" s="1271">
        <v>40400</v>
      </c>
      <c r="I200" s="1270" t="s">
        <v>35</v>
      </c>
      <c r="J200" s="1270" t="s">
        <v>2467</v>
      </c>
      <c r="K200" s="1280">
        <v>45559</v>
      </c>
      <c r="L200" s="1280">
        <v>45559</v>
      </c>
      <c r="M200" s="1280">
        <v>45567</v>
      </c>
      <c r="N200" s="1280">
        <v>45618</v>
      </c>
      <c r="O200" s="1533"/>
      <c r="P200" s="1270" t="s">
        <v>2557</v>
      </c>
      <c r="Q200" s="1379">
        <v>23.518856826751286</v>
      </c>
      <c r="R200" s="1390">
        <v>12</v>
      </c>
      <c r="S200" s="1286">
        <f t="shared" si="34"/>
        <v>0.5102288809526967</v>
      </c>
      <c r="T200" s="1391">
        <v>1207.7367324027523</v>
      </c>
      <c r="U200" s="1391">
        <v>2080.2520440772637</v>
      </c>
      <c r="V200" s="1391">
        <v>179.88519518026936</v>
      </c>
      <c r="W200" s="1391">
        <v>88.453327986342813</v>
      </c>
      <c r="X200" s="1391">
        <v>47.787069526977767</v>
      </c>
      <c r="Y200" s="1282">
        <f t="shared" si="35"/>
        <v>9.2532982247415005E-2</v>
      </c>
      <c r="Z200" s="1391">
        <v>0</v>
      </c>
      <c r="AA200" s="1391">
        <v>0</v>
      </c>
      <c r="AB200" s="1391">
        <v>0</v>
      </c>
      <c r="AC200" s="1391">
        <f t="shared" si="36"/>
        <v>8.4042182580721452</v>
      </c>
      <c r="AD200" s="1281">
        <f t="shared" si="37"/>
        <v>0.62126002924799195</v>
      </c>
      <c r="AE200" s="1391">
        <v>41.605040881545271</v>
      </c>
      <c r="AF200" s="1391">
        <v>45.869557571903663</v>
      </c>
      <c r="AG200" s="1391">
        <v>49.819436140595371</v>
      </c>
      <c r="AH200" s="1270"/>
      <c r="AI200" s="1270"/>
      <c r="AJ200" s="1270"/>
      <c r="AK200" s="1270"/>
      <c r="AL200" s="1270"/>
      <c r="AM200" s="1270"/>
      <c r="AN200" s="1270"/>
      <c r="AO200" s="1270"/>
      <c r="AP200" s="1270"/>
      <c r="AQ200" s="1390">
        <f t="shared" si="38"/>
        <v>0</v>
      </c>
      <c r="AR200" s="1624"/>
    </row>
    <row r="201" spans="1:44">
      <c r="A201" s="1521">
        <v>199</v>
      </c>
      <c r="B201" s="1515" t="s">
        <v>2507</v>
      </c>
      <c r="C201" s="1270" t="s">
        <v>29</v>
      </c>
      <c r="D201" s="1448">
        <v>53654</v>
      </c>
      <c r="E201" s="1465" t="s">
        <v>2703</v>
      </c>
      <c r="F201" s="1315" t="s">
        <v>2704</v>
      </c>
      <c r="G201" s="1280" t="s">
        <v>2222</v>
      </c>
      <c r="H201" s="1273">
        <v>123200</v>
      </c>
      <c r="I201" s="1270" t="s">
        <v>35</v>
      </c>
      <c r="J201" s="1270" t="s">
        <v>2467</v>
      </c>
      <c r="K201" s="1280">
        <v>45559</v>
      </c>
      <c r="L201" s="1280">
        <v>45559</v>
      </c>
      <c r="M201" s="1280">
        <v>45567</v>
      </c>
      <c r="N201" s="1280">
        <v>45618</v>
      </c>
      <c r="O201" s="1533"/>
      <c r="P201" s="1270" t="s">
        <v>2557</v>
      </c>
      <c r="Q201" s="1379">
        <v>21.008599760340495</v>
      </c>
      <c r="R201" s="1390">
        <v>11.023000000000001</v>
      </c>
      <c r="S201" s="1286">
        <f t="shared" si="34"/>
        <v>0.52468989488813733</v>
      </c>
      <c r="T201" s="1391">
        <v>1152.9315495033911</v>
      </c>
      <c r="U201" s="1391">
        <v>1930.2976400070941</v>
      </c>
      <c r="V201" s="1391">
        <v>160.93543920980105</v>
      </c>
      <c r="W201" s="1391">
        <v>88.453327986342813</v>
      </c>
      <c r="X201" s="1391">
        <v>42.48421738523389</v>
      </c>
      <c r="Y201" s="1282">
        <f t="shared" si="35"/>
        <v>8.9440373658170133E-2</v>
      </c>
      <c r="Z201" s="1391">
        <v>890.65469156120275</v>
      </c>
      <c r="AA201" s="1391">
        <v>481.625</v>
      </c>
      <c r="AB201" s="1391">
        <v>84.652840275000059</v>
      </c>
      <c r="AC201" s="1391">
        <f t="shared" si="36"/>
        <v>23.781266924887397</v>
      </c>
      <c r="AD201" s="1281">
        <f t="shared" si="37"/>
        <v>0.64074531437073567</v>
      </c>
      <c r="AE201" s="1391">
        <v>38.605952800141885</v>
      </c>
      <c r="AF201" s="1391">
        <v>42.563062962156422</v>
      </c>
      <c r="AG201" s="1391">
        <v>46.228215606119896</v>
      </c>
      <c r="AH201" s="1270"/>
      <c r="AI201" s="1270"/>
      <c r="AJ201" s="1270"/>
      <c r="AK201" s="1270"/>
      <c r="AL201" s="1270"/>
      <c r="AM201" s="1270"/>
      <c r="AN201" s="1270"/>
      <c r="AO201" s="1270"/>
      <c r="AP201" s="1270"/>
      <c r="AQ201" s="1390">
        <f t="shared" si="38"/>
        <v>0</v>
      </c>
      <c r="AR201" s="1624"/>
    </row>
    <row r="202" spans="1:44">
      <c r="A202" s="1521">
        <v>200</v>
      </c>
      <c r="B202" s="1515" t="s">
        <v>2507</v>
      </c>
      <c r="C202" s="1270" t="s">
        <v>29</v>
      </c>
      <c r="D202" s="1448">
        <v>53654</v>
      </c>
      <c r="E202" s="1465" t="s">
        <v>2705</v>
      </c>
      <c r="F202" s="1315" t="s">
        <v>2704</v>
      </c>
      <c r="G202" s="1280" t="s">
        <v>2222</v>
      </c>
      <c r="H202" s="1271">
        <v>30600</v>
      </c>
      <c r="I202" s="1270" t="s">
        <v>35</v>
      </c>
      <c r="J202" s="1270" t="s">
        <v>2467</v>
      </c>
      <c r="K202" s="1280">
        <v>45559</v>
      </c>
      <c r="L202" s="1280">
        <v>45559</v>
      </c>
      <c r="M202" s="1280">
        <v>45567</v>
      </c>
      <c r="N202" s="1280">
        <v>45618</v>
      </c>
      <c r="O202" s="1533"/>
      <c r="P202" s="1270" t="s">
        <v>2557</v>
      </c>
      <c r="Q202" s="1379">
        <v>21.52326452634049</v>
      </c>
      <c r="R202" s="1390">
        <v>11.173999999999999</v>
      </c>
      <c r="S202" s="1286">
        <f t="shared" si="34"/>
        <v>0.5191591631615684</v>
      </c>
      <c r="T202" s="1391">
        <v>1159.7506950735512</v>
      </c>
      <c r="U202" s="1391">
        <v>1943.1121448779077</v>
      </c>
      <c r="V202" s="1391">
        <v>162.14632212120426</v>
      </c>
      <c r="W202" s="1391">
        <v>88.453327986342813</v>
      </c>
      <c r="X202" s="1391">
        <v>42.810756590931227</v>
      </c>
      <c r="Y202" s="1282">
        <f t="shared" si="35"/>
        <v>8.9492229328710871E-2</v>
      </c>
      <c r="Z202" s="1391">
        <v>0</v>
      </c>
      <c r="AA202" s="1391">
        <v>0</v>
      </c>
      <c r="AB202" s="1391">
        <v>0</v>
      </c>
      <c r="AC202" s="1391">
        <f t="shared" si="36"/>
        <v>5.9459231633263974</v>
      </c>
      <c r="AD202" s="1281">
        <f t="shared" si="37"/>
        <v>0.6400926879492963</v>
      </c>
      <c r="AE202" s="1391">
        <v>38.862242897558147</v>
      </c>
      <c r="AF202" s="1391">
        <v>42.845622794557855</v>
      </c>
      <c r="AG202" s="1391">
        <v>46.535106979644787</v>
      </c>
      <c r="AH202" s="1270"/>
      <c r="AI202" s="1270"/>
      <c r="AJ202" s="1270"/>
      <c r="AK202" s="1270"/>
      <c r="AL202" s="1270"/>
      <c r="AM202" s="1270"/>
      <c r="AN202" s="1270"/>
      <c r="AO202" s="1270"/>
      <c r="AP202" s="1270"/>
      <c r="AQ202" s="1390">
        <f t="shared" si="38"/>
        <v>0</v>
      </c>
      <c r="AR202" s="1624"/>
    </row>
    <row r="203" spans="1:44">
      <c r="A203" s="1521">
        <v>201</v>
      </c>
      <c r="B203" s="1515" t="s">
        <v>2507</v>
      </c>
      <c r="C203" s="1270" t="s">
        <v>29</v>
      </c>
      <c r="D203" s="1448">
        <v>53654</v>
      </c>
      <c r="E203" s="1465" t="s">
        <v>2706</v>
      </c>
      <c r="F203" s="1315" t="s">
        <v>2704</v>
      </c>
      <c r="G203" s="1280" t="s">
        <v>2222</v>
      </c>
      <c r="H203" s="1271">
        <v>95830</v>
      </c>
      <c r="I203" s="1270" t="s">
        <v>35</v>
      </c>
      <c r="J203" s="1270" t="s">
        <v>2467</v>
      </c>
      <c r="K203" s="1280">
        <v>45559</v>
      </c>
      <c r="L203" s="1280">
        <v>45559</v>
      </c>
      <c r="M203" s="1280">
        <v>45567</v>
      </c>
      <c r="N203" s="1280">
        <v>45618</v>
      </c>
      <c r="O203" s="1533"/>
      <c r="P203" s="1270" t="s">
        <v>2557</v>
      </c>
      <c r="Q203" s="1379">
        <v>24.047140451366676</v>
      </c>
      <c r="R203" s="1390">
        <v>12.503</v>
      </c>
      <c r="S203" s="1286">
        <f t="shared" si="34"/>
        <v>0.51993708047267695</v>
      </c>
      <c r="T203" s="1391">
        <v>1417.6978365663676</v>
      </c>
      <c r="U203" s="1391">
        <v>2339.6299974337635</v>
      </c>
      <c r="V203" s="1391">
        <v>192.39626803436863</v>
      </c>
      <c r="W203" s="1391">
        <v>88.453327986342813</v>
      </c>
      <c r="X203" s="1391">
        <v>50.643174198273087</v>
      </c>
      <c r="Y203" s="1282">
        <f t="shared" si="35"/>
        <v>8.743164712091113E-2</v>
      </c>
      <c r="Z203" s="1391">
        <v>226.10404011396543</v>
      </c>
      <c r="AA203" s="1391">
        <v>13</v>
      </c>
      <c r="AB203" s="1391">
        <v>0</v>
      </c>
      <c r="AC203" s="1391">
        <f t="shared" si="36"/>
        <v>22.420674265407754</v>
      </c>
      <c r="AD203" s="1281">
        <f t="shared" si="37"/>
        <v>0.64425187784103866</v>
      </c>
      <c r="AE203" s="1391">
        <v>46.79259994867526</v>
      </c>
      <c r="AF203" s="1391">
        <v>51.588841443414474</v>
      </c>
      <c r="AG203" s="1391">
        <v>56.031213901041838</v>
      </c>
      <c r="AH203" s="1270"/>
      <c r="AI203" s="1270"/>
      <c r="AJ203" s="1270"/>
      <c r="AK203" s="1270"/>
      <c r="AL203" s="1270"/>
      <c r="AM203" s="1270"/>
      <c r="AN203" s="1270"/>
      <c r="AO203" s="1270"/>
      <c r="AP203" s="1270"/>
      <c r="AQ203" s="1390">
        <f t="shared" si="38"/>
        <v>0</v>
      </c>
      <c r="AR203" s="1624"/>
    </row>
    <row r="204" spans="1:44">
      <c r="A204" s="1521">
        <v>202</v>
      </c>
      <c r="B204" s="1515" t="s">
        <v>2507</v>
      </c>
      <c r="C204" s="1270" t="s">
        <v>29</v>
      </c>
      <c r="D204" s="1448">
        <v>53654</v>
      </c>
      <c r="E204" s="1465" t="s">
        <v>2707</v>
      </c>
      <c r="F204" s="1315" t="s">
        <v>2704</v>
      </c>
      <c r="G204" s="1280" t="s">
        <v>2222</v>
      </c>
      <c r="H204" s="1271">
        <v>7640</v>
      </c>
      <c r="I204" s="1270" t="s">
        <v>35</v>
      </c>
      <c r="J204" s="1270" t="s">
        <v>2467</v>
      </c>
      <c r="K204" s="1280">
        <v>45559</v>
      </c>
      <c r="L204" s="1280">
        <v>45559</v>
      </c>
      <c r="M204" s="1280">
        <v>45567</v>
      </c>
      <c r="N204" s="1280">
        <v>45618</v>
      </c>
      <c r="O204" s="1533"/>
      <c r="P204" s="1270" t="s">
        <v>2557</v>
      </c>
      <c r="Q204" s="1379">
        <v>23.85782632636667</v>
      </c>
      <c r="R204" s="1390">
        <v>12.43</v>
      </c>
      <c r="S204" s="1286">
        <f t="shared" si="34"/>
        <v>0.52100303816290605</v>
      </c>
      <c r="T204" s="1391">
        <v>1411.3056500992875</v>
      </c>
      <c r="U204" s="1391">
        <v>2331.1642106517456</v>
      </c>
      <c r="V204" s="1391">
        <v>191.58224543879834</v>
      </c>
      <c r="W204" s="1391">
        <v>88.453327986342813</v>
      </c>
      <c r="X204" s="1391">
        <v>50.43036663327662</v>
      </c>
      <c r="Y204" s="1282">
        <f t="shared" si="35"/>
        <v>8.738947595335507E-2</v>
      </c>
      <c r="Z204" s="1391">
        <v>98.560849659125694</v>
      </c>
      <c r="AA204" s="1391">
        <v>6.5</v>
      </c>
      <c r="AB204" s="1391">
        <v>0</v>
      </c>
      <c r="AC204" s="1391">
        <f t="shared" si="36"/>
        <v>1.7810094569379338</v>
      </c>
      <c r="AD204" s="1281">
        <f t="shared" si="37"/>
        <v>0.64376143462409252</v>
      </c>
      <c r="AE204" s="1391">
        <v>46.623284213034907</v>
      </c>
      <c r="AF204" s="1391">
        <v>51.40217084487098</v>
      </c>
      <c r="AG204" s="1391">
        <v>55.828468889845993</v>
      </c>
      <c r="AH204" s="1270"/>
      <c r="AI204" s="1270"/>
      <c r="AJ204" s="1270"/>
      <c r="AK204" s="1270"/>
      <c r="AL204" s="1270"/>
      <c r="AM204" s="1270"/>
      <c r="AN204" s="1270"/>
      <c r="AO204" s="1270"/>
      <c r="AP204" s="1270"/>
      <c r="AQ204" s="1390">
        <f t="shared" si="38"/>
        <v>0</v>
      </c>
      <c r="AR204" s="1624"/>
    </row>
    <row r="205" spans="1:44" ht="21.75" thickBot="1">
      <c r="A205" s="1521">
        <v>203</v>
      </c>
      <c r="B205" s="1513" t="s">
        <v>2507</v>
      </c>
      <c r="C205" s="1263" t="s">
        <v>29</v>
      </c>
      <c r="D205" s="1458">
        <v>53654</v>
      </c>
      <c r="E205" s="1466" t="s">
        <v>2708</v>
      </c>
      <c r="F205" s="1316" t="s">
        <v>2704</v>
      </c>
      <c r="G205" s="1283" t="s">
        <v>2222</v>
      </c>
      <c r="H205" s="1274">
        <v>40400</v>
      </c>
      <c r="I205" s="1263" t="s">
        <v>35</v>
      </c>
      <c r="J205" s="1263" t="s">
        <v>2467</v>
      </c>
      <c r="K205" s="1283">
        <v>45559</v>
      </c>
      <c r="L205" s="1283">
        <v>45559</v>
      </c>
      <c r="M205" s="1283">
        <v>45567</v>
      </c>
      <c r="N205" s="1283">
        <v>45618</v>
      </c>
      <c r="O205" s="1394"/>
      <c r="P205" s="1263" t="s">
        <v>2557</v>
      </c>
      <c r="Q205" s="1426">
        <v>23.857826326366673</v>
      </c>
      <c r="R205" s="1383">
        <v>12.430999999999999</v>
      </c>
      <c r="S205" s="1455">
        <f t="shared" si="34"/>
        <v>0.5210449531297735</v>
      </c>
      <c r="T205" s="1384">
        <v>1327.3803342234905</v>
      </c>
      <c r="U205" s="1384">
        <v>2243.6775905569566</v>
      </c>
      <c r="V205" s="1384">
        <v>189.81623912128236</v>
      </c>
      <c r="W205" s="1384">
        <v>88.453327986342813</v>
      </c>
      <c r="X205" s="1384">
        <v>50.228698469937441</v>
      </c>
      <c r="Y205" s="1285">
        <f t="shared" si="35"/>
        <v>9.0174175356221298E-2</v>
      </c>
      <c r="Z205" s="1384">
        <v>0</v>
      </c>
      <c r="AA205" s="1384">
        <v>0</v>
      </c>
      <c r="AB205" s="1384">
        <v>0</v>
      </c>
      <c r="AC205" s="1384">
        <f t="shared" si="36"/>
        <v>9.0644574658501043</v>
      </c>
      <c r="AD205" s="1284">
        <f t="shared" si="37"/>
        <v>0.63058581065969666</v>
      </c>
      <c r="AE205" s="1384">
        <v>44.873551811139123</v>
      </c>
      <c r="AF205" s="1384">
        <v>49.473090871780876</v>
      </c>
      <c r="AG205" s="1384">
        <v>53.733273696850894</v>
      </c>
      <c r="AH205" s="1263"/>
      <c r="AI205" s="1263"/>
      <c r="AJ205" s="1263"/>
      <c r="AK205" s="1263"/>
      <c r="AL205" s="1263"/>
      <c r="AM205" s="1263"/>
      <c r="AN205" s="1263"/>
      <c r="AO205" s="1263"/>
      <c r="AP205" s="1263"/>
      <c r="AQ205" s="1383">
        <f t="shared" si="38"/>
        <v>0</v>
      </c>
      <c r="AR205" s="1266"/>
    </row>
    <row r="206" spans="1:44">
      <c r="A206" s="1521">
        <v>204</v>
      </c>
      <c r="B206" s="1700" t="s">
        <v>2507</v>
      </c>
      <c r="C206" s="1347" t="s">
        <v>29</v>
      </c>
      <c r="D206" s="1490">
        <v>53575</v>
      </c>
      <c r="E206" s="1737" t="s">
        <v>2709</v>
      </c>
      <c r="F206" s="1491" t="s">
        <v>2710</v>
      </c>
      <c r="G206" s="1347" t="s">
        <v>2222</v>
      </c>
      <c r="H206" s="1492">
        <v>107900</v>
      </c>
      <c r="I206" s="1348" t="s">
        <v>35</v>
      </c>
      <c r="J206" s="1348" t="s">
        <v>2467</v>
      </c>
      <c r="K206" s="1493">
        <v>45559</v>
      </c>
      <c r="L206" s="1493">
        <v>45559</v>
      </c>
      <c r="M206" s="1493">
        <v>45567</v>
      </c>
      <c r="N206" s="1493">
        <v>45610</v>
      </c>
      <c r="O206" s="1540"/>
      <c r="P206" s="1347" t="s">
        <v>2557</v>
      </c>
      <c r="Q206" s="1623">
        <v>2.3540901228076914</v>
      </c>
      <c r="R206" s="1623">
        <v>1.5820000000000003</v>
      </c>
      <c r="S206" s="1495">
        <f t="shared" si="34"/>
        <v>0.67202185025659522</v>
      </c>
      <c r="T206" s="1743">
        <v>178.7986612187554</v>
      </c>
      <c r="U206" s="1496">
        <v>315.76648747723436</v>
      </c>
      <c r="V206" s="1496">
        <v>27.178474721499775</v>
      </c>
      <c r="W206" s="1496">
        <v>14.097305918546317</v>
      </c>
      <c r="X206" s="1496">
        <v>7.2336897664381823</v>
      </c>
      <c r="Y206" s="1497">
        <f t="shared" ref="Y206:Y211" si="39">V206/(U206-W206-X206)</f>
        <v>9.2307060388890153E-2</v>
      </c>
      <c r="Z206" s="1496">
        <v>326.1142006197075</v>
      </c>
      <c r="AA206" s="1753">
        <v>108.1</v>
      </c>
      <c r="AB206" s="1496">
        <v>34.015874775</v>
      </c>
      <c r="AC206" s="1496">
        <f t="shared" ref="AC206:AC211" si="40">U206*H206/10^7</f>
        <v>3.4071203998793589</v>
      </c>
      <c r="AD206" s="1498">
        <f t="shared" ref="AD206:AD211" si="41">T206/(U206-W206-X206)</f>
        <v>0.60725920007263801</v>
      </c>
      <c r="AE206" s="1754">
        <v>4.7364973121585141</v>
      </c>
      <c r="AF206" s="1754">
        <v>4.6654498524761365</v>
      </c>
      <c r="AG206" s="1754">
        <v>4.5954681046889947</v>
      </c>
      <c r="AH206" s="1641" t="s">
        <v>2775</v>
      </c>
      <c r="AI206" s="1641"/>
      <c r="AJ206" s="1641">
        <v>310</v>
      </c>
      <c r="AK206" s="1641">
        <v>410.63</v>
      </c>
      <c r="AL206" s="1347"/>
      <c r="AM206" s="1641">
        <v>34.020000000000003</v>
      </c>
      <c r="AN206" s="1641">
        <v>-4.6500000000000004</v>
      </c>
      <c r="AO206" s="1641">
        <v>-4.58</v>
      </c>
      <c r="AP206" s="1641">
        <v>-4.51</v>
      </c>
      <c r="AQ206" s="1646">
        <f t="shared" si="38"/>
        <v>3.3449</v>
      </c>
      <c r="AR206" s="1647"/>
    </row>
    <row r="207" spans="1:44">
      <c r="A207" s="1521">
        <v>205</v>
      </c>
      <c r="B207" s="1515" t="s">
        <v>2507</v>
      </c>
      <c r="C207" s="1270" t="s">
        <v>29</v>
      </c>
      <c r="D207" s="1448">
        <v>53575</v>
      </c>
      <c r="E207" s="1465" t="s">
        <v>2711</v>
      </c>
      <c r="F207" s="1315" t="s">
        <v>2710</v>
      </c>
      <c r="G207" s="1270" t="s">
        <v>2222</v>
      </c>
      <c r="H207" s="1271">
        <v>76517</v>
      </c>
      <c r="I207" s="1272" t="s">
        <v>35</v>
      </c>
      <c r="J207" s="1272" t="s">
        <v>2467</v>
      </c>
      <c r="K207" s="1280">
        <v>45559</v>
      </c>
      <c r="L207" s="1280">
        <v>45559</v>
      </c>
      <c r="M207" s="1280">
        <v>45567</v>
      </c>
      <c r="N207" s="1280">
        <v>45610</v>
      </c>
      <c r="O207" s="1533"/>
      <c r="P207" s="1270" t="s">
        <v>2557</v>
      </c>
      <c r="Q207" s="1390">
        <v>2.3540901228076914</v>
      </c>
      <c r="R207" s="1390">
        <v>1.5820000000000003</v>
      </c>
      <c r="S207" s="1286">
        <f t="shared" si="34"/>
        <v>0.67202185025659522</v>
      </c>
      <c r="T207" s="1429">
        <v>231.64351481875536</v>
      </c>
      <c r="U207" s="1391">
        <v>370.57188514579434</v>
      </c>
      <c r="V207" s="1391">
        <v>28.235371793499773</v>
      </c>
      <c r="W207" s="1391">
        <v>14.097305918546317</v>
      </c>
      <c r="X207" s="1391">
        <v>7.3446639589981828</v>
      </c>
      <c r="Y207" s="1282">
        <f t="shared" si="39"/>
        <v>8.0873538928354111E-2</v>
      </c>
      <c r="Z207" s="1391">
        <v>0</v>
      </c>
      <c r="AA207" s="1438">
        <v>0</v>
      </c>
      <c r="AB207" s="1391">
        <v>0</v>
      </c>
      <c r="AC207" s="1391">
        <f t="shared" si="40"/>
        <v>2.8355048935700746</v>
      </c>
      <c r="AD207" s="1281">
        <f t="shared" si="41"/>
        <v>0.66348801603201157</v>
      </c>
      <c r="AE207" s="1439">
        <v>5.5585782771869141</v>
      </c>
      <c r="AF207" s="1439">
        <v>5.4751996030291101</v>
      </c>
      <c r="AG207" s="1439">
        <v>5.3930716089836732</v>
      </c>
      <c r="AH207" s="1560" t="s">
        <v>2775</v>
      </c>
      <c r="AI207" s="1560"/>
      <c r="AJ207" s="1560">
        <v>364.25</v>
      </c>
      <c r="AK207" s="1560">
        <v>0</v>
      </c>
      <c r="AL207" s="1270"/>
      <c r="AM207" s="1560">
        <v>0</v>
      </c>
      <c r="AN207" s="1560">
        <v>-5.46</v>
      </c>
      <c r="AO207" s="1560">
        <v>-5.38</v>
      </c>
      <c r="AP207" s="1560">
        <v>-5.3</v>
      </c>
      <c r="AQ207" s="1642">
        <f t="shared" si="38"/>
        <v>2.7871317250000001</v>
      </c>
      <c r="AR207" s="1563"/>
    </row>
    <row r="208" spans="1:44">
      <c r="A208" s="1521">
        <v>206</v>
      </c>
      <c r="B208" s="1515" t="s">
        <v>2507</v>
      </c>
      <c r="C208" s="1270" t="s">
        <v>29</v>
      </c>
      <c r="D208" s="1448">
        <v>53575</v>
      </c>
      <c r="E208" s="1465" t="s">
        <v>2712</v>
      </c>
      <c r="F208" s="1315" t="s">
        <v>2710</v>
      </c>
      <c r="G208" s="1270" t="s">
        <v>2222</v>
      </c>
      <c r="H208" s="1271">
        <v>19313</v>
      </c>
      <c r="I208" s="1272" t="s">
        <v>35</v>
      </c>
      <c r="J208" s="1272" t="s">
        <v>2467</v>
      </c>
      <c r="K208" s="1280">
        <v>45559</v>
      </c>
      <c r="L208" s="1280">
        <v>45559</v>
      </c>
      <c r="M208" s="1280">
        <v>45567</v>
      </c>
      <c r="N208" s="1280">
        <v>45610</v>
      </c>
      <c r="O208" s="1533"/>
      <c r="P208" s="1270" t="s">
        <v>2557</v>
      </c>
      <c r="Q208" s="1390">
        <v>3.4150054933076928</v>
      </c>
      <c r="R208" s="1390">
        <v>2.1770000000000005</v>
      </c>
      <c r="S208" s="1286">
        <f t="shared" si="34"/>
        <v>0.63748067294949218</v>
      </c>
      <c r="T208" s="1429">
        <v>295.02315486803536</v>
      </c>
      <c r="U208" s="1391">
        <v>455.18983726044848</v>
      </c>
      <c r="V208" s="1391">
        <v>33.008307499166783</v>
      </c>
      <c r="W208" s="1391">
        <v>14.097305918546317</v>
      </c>
      <c r="X208" s="1391">
        <v>8.4963136985476666</v>
      </c>
      <c r="Y208" s="1282">
        <f t="shared" si="39"/>
        <v>7.6302811150281119E-2</v>
      </c>
      <c r="Z208" s="1391">
        <v>43.347658883759998</v>
      </c>
      <c r="AA208" s="1438">
        <v>7</v>
      </c>
      <c r="AB208" s="1391">
        <v>0</v>
      </c>
      <c r="AC208" s="1391">
        <f t="shared" si="40"/>
        <v>0.87910813270110411</v>
      </c>
      <c r="AD208" s="1281">
        <f t="shared" si="41"/>
        <v>0.68198274241792256</v>
      </c>
      <c r="AE208" s="1439">
        <v>6.8278475589067273</v>
      </c>
      <c r="AF208" s="1439">
        <v>6.7254298455231263</v>
      </c>
      <c r="AG208" s="1439">
        <v>6.6245483978402788</v>
      </c>
      <c r="AH208" s="1560" t="s">
        <v>2775</v>
      </c>
      <c r="AI208" s="1560"/>
      <c r="AJ208" s="1560">
        <v>447.41</v>
      </c>
      <c r="AK208" s="1560">
        <v>46.85</v>
      </c>
      <c r="AL208" s="1270"/>
      <c r="AM208" s="1560">
        <v>0</v>
      </c>
      <c r="AN208" s="1560">
        <v>-6.71</v>
      </c>
      <c r="AO208" s="1560">
        <v>-6.61</v>
      </c>
      <c r="AP208" s="1560">
        <v>-6.51</v>
      </c>
      <c r="AQ208" s="1642">
        <f t="shared" si="38"/>
        <v>0.86408293300000005</v>
      </c>
      <c r="AR208" s="1563"/>
    </row>
    <row r="209" spans="1:44">
      <c r="A209" s="1521">
        <v>207</v>
      </c>
      <c r="B209" s="1515" t="s">
        <v>2507</v>
      </c>
      <c r="C209" s="1270" t="s">
        <v>29</v>
      </c>
      <c r="D209" s="1448">
        <v>53575</v>
      </c>
      <c r="E209" s="1465" t="s">
        <v>2713</v>
      </c>
      <c r="F209" s="1315" t="s">
        <v>2710</v>
      </c>
      <c r="G209" s="1270" t="s">
        <v>2222</v>
      </c>
      <c r="H209" s="1271">
        <v>45900</v>
      </c>
      <c r="I209" s="1272" t="s">
        <v>35</v>
      </c>
      <c r="J209" s="1272" t="s">
        <v>2467</v>
      </c>
      <c r="K209" s="1280">
        <v>45559</v>
      </c>
      <c r="L209" s="1280">
        <v>45559</v>
      </c>
      <c r="M209" s="1280">
        <v>45567</v>
      </c>
      <c r="N209" s="1280">
        <v>45610</v>
      </c>
      <c r="O209" s="1533"/>
      <c r="P209" s="1270" t="s">
        <v>2557</v>
      </c>
      <c r="Q209" s="1390">
        <v>2.2617163728076917</v>
      </c>
      <c r="R209" s="1390">
        <v>1.5190000000000003</v>
      </c>
      <c r="S209" s="1286">
        <f t="shared" si="34"/>
        <v>0.67161383198297131</v>
      </c>
      <c r="T209" s="1429">
        <v>172.52688521875541</v>
      </c>
      <c r="U209" s="1391">
        <v>301.16730040718028</v>
      </c>
      <c r="V209" s="1391">
        <v>25.494582106181184</v>
      </c>
      <c r="W209" s="1391">
        <v>14.097305918546317</v>
      </c>
      <c r="X209" s="1391">
        <v>6.7676759322841802</v>
      </c>
      <c r="Y209" s="1282">
        <f t="shared" si="39"/>
        <v>9.0953875221178218E-2</v>
      </c>
      <c r="Z209" s="1391">
        <v>0</v>
      </c>
      <c r="AA209" s="1438">
        <v>0</v>
      </c>
      <c r="AB209" s="1391">
        <v>0</v>
      </c>
      <c r="AC209" s="1391">
        <f t="shared" si="40"/>
        <v>1.3823579088689575</v>
      </c>
      <c r="AD209" s="1281">
        <f t="shared" si="41"/>
        <v>0.61550288312749712</v>
      </c>
      <c r="AE209" s="1439">
        <v>4.5175095061077037</v>
      </c>
      <c r="AF209" s="1439">
        <v>4.4497468635160882</v>
      </c>
      <c r="AG209" s="1439">
        <v>4.3830006605633463</v>
      </c>
      <c r="AH209" s="1560" t="s">
        <v>2775</v>
      </c>
      <c r="AI209" s="1560"/>
      <c r="AJ209" s="1560">
        <v>296.02</v>
      </c>
      <c r="AK209" s="1560">
        <v>0</v>
      </c>
      <c r="AL209" s="1270"/>
      <c r="AM209" s="1560">
        <v>0</v>
      </c>
      <c r="AN209" s="1560">
        <v>-4.4400000000000004</v>
      </c>
      <c r="AO209" s="1560">
        <v>-4.37</v>
      </c>
      <c r="AP209" s="1560">
        <v>-4.3099999999999996</v>
      </c>
      <c r="AQ209" s="1642">
        <f t="shared" si="38"/>
        <v>1.3587317999999999</v>
      </c>
      <c r="AR209" s="1563"/>
    </row>
    <row r="210" spans="1:44">
      <c r="A210" s="1521">
        <v>208</v>
      </c>
      <c r="B210" s="1515" t="s">
        <v>2507</v>
      </c>
      <c r="C210" s="1270" t="s">
        <v>29</v>
      </c>
      <c r="D210" s="1448">
        <v>53575</v>
      </c>
      <c r="E210" s="1465" t="s">
        <v>2714</v>
      </c>
      <c r="F210" s="1315" t="s">
        <v>2710</v>
      </c>
      <c r="G210" s="1270" t="s">
        <v>2222</v>
      </c>
      <c r="H210" s="1271">
        <v>40400</v>
      </c>
      <c r="I210" s="1272" t="s">
        <v>35</v>
      </c>
      <c r="J210" s="1272" t="s">
        <v>2467</v>
      </c>
      <c r="K210" s="1280">
        <v>45559</v>
      </c>
      <c r="L210" s="1280">
        <v>45559</v>
      </c>
      <c r="M210" s="1280">
        <v>45567</v>
      </c>
      <c r="N210" s="1280">
        <v>45610</v>
      </c>
      <c r="O210" s="1533"/>
      <c r="P210" s="1270" t="s">
        <v>2557</v>
      </c>
      <c r="Q210" s="1390">
        <v>5.6904962185076924</v>
      </c>
      <c r="R210" s="1390">
        <v>3.8670000000000009</v>
      </c>
      <c r="S210" s="1286">
        <f t="shared" si="34"/>
        <v>0.67955409361718278</v>
      </c>
      <c r="T210" s="1429">
        <v>381.77059849433937</v>
      </c>
      <c r="U210" s="1391">
        <v>619.38916934380723</v>
      </c>
      <c r="V210" s="1391">
        <v>48.710248860411966</v>
      </c>
      <c r="W210" s="1391">
        <v>14.097305918546317</v>
      </c>
      <c r="X210" s="1391">
        <v>12.736892290456428</v>
      </c>
      <c r="Y210" s="1282">
        <f t="shared" si="39"/>
        <v>8.220376375735533E-2</v>
      </c>
      <c r="Z210" s="1391">
        <v>192.88798554563999</v>
      </c>
      <c r="AA210" s="1438">
        <v>23.5</v>
      </c>
      <c r="AB210" s="1391">
        <v>0</v>
      </c>
      <c r="AC210" s="1391">
        <f t="shared" si="40"/>
        <v>2.502332244148981</v>
      </c>
      <c r="AD210" s="1281">
        <f t="shared" si="41"/>
        <v>0.64427878777762837</v>
      </c>
      <c r="AE210" s="1439">
        <v>9.2908375401571099</v>
      </c>
      <c r="AF210" s="1439">
        <v>9.1514749770547539</v>
      </c>
      <c r="AG210" s="1439">
        <v>9.0142028523989328</v>
      </c>
      <c r="AH210" s="1560" t="s">
        <v>2775</v>
      </c>
      <c r="AI210" s="1560"/>
      <c r="AJ210" s="1560">
        <v>608.80999999999995</v>
      </c>
      <c r="AK210" s="1560">
        <v>208.47</v>
      </c>
      <c r="AL210" s="1270"/>
      <c r="AM210" s="1560">
        <v>0</v>
      </c>
      <c r="AN210" s="1560">
        <v>-9.1300000000000008</v>
      </c>
      <c r="AO210" s="1560">
        <v>-9</v>
      </c>
      <c r="AP210" s="1560">
        <v>-8.86</v>
      </c>
      <c r="AQ210" s="1642">
        <f t="shared" si="38"/>
        <v>2.4595923999999996</v>
      </c>
      <c r="AR210" s="1563"/>
    </row>
    <row r="211" spans="1:44" ht="21.75" thickBot="1">
      <c r="A211" s="1521">
        <v>209</v>
      </c>
      <c r="B211" s="1513" t="s">
        <v>2507</v>
      </c>
      <c r="C211" s="1263" t="s">
        <v>29</v>
      </c>
      <c r="D211" s="1458">
        <v>53575</v>
      </c>
      <c r="E211" s="1466" t="s">
        <v>2715</v>
      </c>
      <c r="F211" s="1316" t="s">
        <v>2710</v>
      </c>
      <c r="G211" s="1263" t="s">
        <v>2222</v>
      </c>
      <c r="H211" s="1274">
        <v>7640</v>
      </c>
      <c r="I211" s="1265" t="s">
        <v>35</v>
      </c>
      <c r="J211" s="1265" t="s">
        <v>2467</v>
      </c>
      <c r="K211" s="1283">
        <v>45559</v>
      </c>
      <c r="L211" s="1283">
        <v>45559</v>
      </c>
      <c r="M211" s="1283">
        <v>45567</v>
      </c>
      <c r="N211" s="1283">
        <v>45610</v>
      </c>
      <c r="O211" s="1394"/>
      <c r="P211" s="1263" t="s">
        <v>2557</v>
      </c>
      <c r="Q211" s="1383">
        <v>5.6904962185076924</v>
      </c>
      <c r="R211" s="1383">
        <v>3.8670000000000009</v>
      </c>
      <c r="S211" s="1455">
        <f t="shared" si="34"/>
        <v>0.67955409361718278</v>
      </c>
      <c r="T211" s="1407">
        <v>462.98202070071528</v>
      </c>
      <c r="U211" s="1384">
        <v>703.61353531403972</v>
      </c>
      <c r="V211" s="1384">
        <v>50.334477304539483</v>
      </c>
      <c r="W211" s="1384">
        <v>14.097305918546317</v>
      </c>
      <c r="X211" s="1384">
        <v>12.907436277089818</v>
      </c>
      <c r="Y211" s="1285">
        <f t="shared" si="39"/>
        <v>7.4392289630990899E-2</v>
      </c>
      <c r="Z211" s="1384">
        <v>0</v>
      </c>
      <c r="AA211" s="1440">
        <v>0</v>
      </c>
      <c r="AB211" s="1384">
        <v>0</v>
      </c>
      <c r="AC211" s="1384">
        <f t="shared" si="40"/>
        <v>0.53756074097992634</v>
      </c>
      <c r="AD211" s="1284">
        <f t="shared" si="41"/>
        <v>0.68426840651433196</v>
      </c>
      <c r="AE211" s="1441">
        <v>10.554203029710598</v>
      </c>
      <c r="AF211" s="1441">
        <v>10.395889984264938</v>
      </c>
      <c r="AG211" s="1441">
        <v>10.239951634500963</v>
      </c>
      <c r="AH211" s="1561" t="s">
        <v>2775</v>
      </c>
      <c r="AI211" s="1561"/>
      <c r="AJ211" s="1561">
        <v>691.6</v>
      </c>
      <c r="AK211" s="1561">
        <v>0</v>
      </c>
      <c r="AL211" s="1263"/>
      <c r="AM211" s="1561">
        <v>0</v>
      </c>
      <c r="AN211" s="1561">
        <v>-10.37</v>
      </c>
      <c r="AO211" s="1561">
        <v>-10.220000000000001</v>
      </c>
      <c r="AP211" s="1561">
        <v>-10.07</v>
      </c>
      <c r="AQ211" s="1648">
        <f t="shared" si="38"/>
        <v>0.52838240000000003</v>
      </c>
      <c r="AR211" s="1564"/>
    </row>
    <row r="212" spans="1:44" ht="21.75" thickBot="1">
      <c r="A212" s="1521">
        <v>210</v>
      </c>
      <c r="B212" s="1514" t="s">
        <v>2740</v>
      </c>
      <c r="C212" s="1267" t="s">
        <v>29</v>
      </c>
      <c r="D212" s="1468">
        <v>53490</v>
      </c>
      <c r="E212" s="1468" t="s">
        <v>2716</v>
      </c>
      <c r="F212" s="1654" t="s">
        <v>2717</v>
      </c>
      <c r="G212" s="1267" t="s">
        <v>2741</v>
      </c>
      <c r="H212" s="1268">
        <v>53156</v>
      </c>
      <c r="I212" s="1269" t="s">
        <v>35</v>
      </c>
      <c r="J212" s="1269" t="s">
        <v>2306</v>
      </c>
      <c r="K212" s="1386">
        <v>45559</v>
      </c>
      <c r="L212" s="1386">
        <v>45559</v>
      </c>
      <c r="M212" s="1386">
        <v>45572</v>
      </c>
      <c r="N212" s="1386"/>
      <c r="O212" s="1408"/>
      <c r="P212" s="1267" t="s">
        <v>2557</v>
      </c>
      <c r="Q212" s="1387">
        <v>9.0734433516140367</v>
      </c>
      <c r="R212" s="1387">
        <v>5.306</v>
      </c>
      <c r="S212" s="1502">
        <f t="shared" si="34"/>
        <v>0.58478350438548099</v>
      </c>
      <c r="T212" s="1388">
        <v>452.57184454553578</v>
      </c>
      <c r="U212" s="1388">
        <v>736.40044311801671</v>
      </c>
      <c r="V212" s="1388">
        <v>57.353239559445932</v>
      </c>
      <c r="W212" s="1388">
        <v>14.985524677517146</v>
      </c>
      <c r="X212" s="1388">
        <v>56.562939266832387</v>
      </c>
      <c r="Y212" s="1276">
        <f t="shared" ref="Y212:Y218" si="42">V212/(U212-W212-X212)</f>
        <v>8.6264674477963141E-2</v>
      </c>
      <c r="Z212" s="1388">
        <v>422.088251617494</v>
      </c>
      <c r="AA212" s="1388">
        <v>94.25</v>
      </c>
      <c r="AB212" s="1388">
        <v>23.199298599999999</v>
      </c>
      <c r="AC212" s="1388">
        <f t="shared" ref="AC212:AC218" si="43">U212*H212/10^7</f>
        <v>3.9144101954381294</v>
      </c>
      <c r="AD212" s="1275">
        <f t="shared" ref="AD212:AD218" si="44">T212/(U212-W212-X212)</f>
        <v>0.6807106825612963</v>
      </c>
      <c r="AE212" s="1388">
        <v>11.046006646770248</v>
      </c>
      <c r="AF212" s="1388">
        <v>10.880316547068695</v>
      </c>
      <c r="AG212" s="1388">
        <v>10.717111798862664</v>
      </c>
      <c r="AH212" s="1267"/>
      <c r="AI212" s="1267"/>
      <c r="AJ212" s="1267"/>
      <c r="AK212" s="1267"/>
      <c r="AL212" s="1267"/>
      <c r="AM212" s="1267"/>
      <c r="AN212" s="1267"/>
      <c r="AO212" s="1267"/>
      <c r="AP212" s="1267"/>
      <c r="AQ212" s="1387">
        <f t="shared" si="38"/>
        <v>0</v>
      </c>
      <c r="AR212" s="1640"/>
    </row>
    <row r="213" spans="1:44">
      <c r="A213" s="1521">
        <v>211</v>
      </c>
      <c r="B213" s="1700" t="s">
        <v>1879</v>
      </c>
      <c r="C213" s="1347" t="s">
        <v>29</v>
      </c>
      <c r="D213" s="1490">
        <v>53312</v>
      </c>
      <c r="E213" s="1737" t="s">
        <v>2718</v>
      </c>
      <c r="F213" s="1491" t="s">
        <v>2744</v>
      </c>
      <c r="G213" s="1347" t="s">
        <v>2741</v>
      </c>
      <c r="H213" s="1492">
        <v>200000</v>
      </c>
      <c r="I213" s="1348" t="s">
        <v>35</v>
      </c>
      <c r="J213" s="1348" t="s">
        <v>2306</v>
      </c>
      <c r="K213" s="1493">
        <v>45559</v>
      </c>
      <c r="L213" s="1493">
        <v>45559</v>
      </c>
      <c r="M213" s="1493">
        <v>45572</v>
      </c>
      <c r="N213" s="1493"/>
      <c r="O213" s="1540"/>
      <c r="P213" s="1347" t="s">
        <v>2557</v>
      </c>
      <c r="Q213" s="1623">
        <v>2.8718322073245286</v>
      </c>
      <c r="R213" s="1623">
        <v>1.8563000000000001</v>
      </c>
      <c r="S213" s="1495">
        <f t="shared" si="34"/>
        <v>0.64638177511400496</v>
      </c>
      <c r="T213" s="1496">
        <v>183.69545172286089</v>
      </c>
      <c r="U213" s="1496">
        <v>305.74913848558026</v>
      </c>
      <c r="V213" s="1496">
        <v>24.809872766249491</v>
      </c>
      <c r="W213" s="1496">
        <v>27.761166612128218</v>
      </c>
      <c r="X213" s="1496">
        <v>6.5272676243987915</v>
      </c>
      <c r="Y213" s="1497">
        <f t="shared" si="42"/>
        <v>9.139397481076128E-2</v>
      </c>
      <c r="Z213" s="1496">
        <v>187.19537845412248</v>
      </c>
      <c r="AA213" s="1496">
        <v>61.75</v>
      </c>
      <c r="AB213" s="1496">
        <v>9.4657934249999993</v>
      </c>
      <c r="AC213" s="1496">
        <f t="shared" si="43"/>
        <v>6.114982769711605</v>
      </c>
      <c r="AD213" s="1498">
        <f t="shared" si="44"/>
        <v>0.67669260724501912</v>
      </c>
      <c r="AE213" s="1496">
        <v>4.5862370772837036</v>
      </c>
      <c r="AF213" s="1496">
        <v>4.5174435211244477</v>
      </c>
      <c r="AG213" s="1496">
        <v>4.4496818683075814</v>
      </c>
      <c r="AH213" s="1347"/>
      <c r="AI213" s="1347"/>
      <c r="AJ213" s="1347"/>
      <c r="AK213" s="1347"/>
      <c r="AL213" s="1347"/>
      <c r="AM213" s="1347"/>
      <c r="AN213" s="1347"/>
      <c r="AO213" s="1347"/>
      <c r="AP213" s="1347"/>
      <c r="AQ213" s="1623">
        <f t="shared" si="38"/>
        <v>0</v>
      </c>
      <c r="AR213" s="1350"/>
    </row>
    <row r="214" spans="1:44" ht="21.75" thickBot="1">
      <c r="A214" s="1521">
        <v>212</v>
      </c>
      <c r="B214" s="1513" t="s">
        <v>1879</v>
      </c>
      <c r="C214" s="1263" t="s">
        <v>29</v>
      </c>
      <c r="D214" s="1458">
        <v>53312</v>
      </c>
      <c r="E214" s="1466" t="s">
        <v>2719</v>
      </c>
      <c r="F214" s="1316" t="s">
        <v>2745</v>
      </c>
      <c r="G214" s="1263" t="s">
        <v>2741</v>
      </c>
      <c r="H214" s="1264">
        <v>200000</v>
      </c>
      <c r="I214" s="1265" t="s">
        <v>35</v>
      </c>
      <c r="J214" s="1265" t="s">
        <v>2306</v>
      </c>
      <c r="K214" s="1283">
        <v>45559</v>
      </c>
      <c r="L214" s="1283">
        <v>45559</v>
      </c>
      <c r="M214" s="1283">
        <v>45572</v>
      </c>
      <c r="N214" s="1283"/>
      <c r="O214" s="1394"/>
      <c r="P214" s="1263" t="s">
        <v>2557</v>
      </c>
      <c r="Q214" s="1383">
        <v>2.8718322073245286</v>
      </c>
      <c r="R214" s="1383">
        <v>1.8561000000000001</v>
      </c>
      <c r="S214" s="1455">
        <f t="shared" si="34"/>
        <v>0.64631213316226077</v>
      </c>
      <c r="T214" s="1384">
        <v>183.6871317228609</v>
      </c>
      <c r="U214" s="1384">
        <v>305.74025981358022</v>
      </c>
      <c r="V214" s="1384">
        <v>24.809706366249493</v>
      </c>
      <c r="W214" s="1384">
        <v>27.761166612128218</v>
      </c>
      <c r="X214" s="1384">
        <v>6.5272501523987918</v>
      </c>
      <c r="Y214" s="1285">
        <f t="shared" si="42"/>
        <v>9.1396345250697758E-2</v>
      </c>
      <c r="Z214" s="1384">
        <v>30.817711732500001</v>
      </c>
      <c r="AA214" s="1384">
        <v>54.75</v>
      </c>
      <c r="AB214" s="1384">
        <v>9.4657934249999993</v>
      </c>
      <c r="AC214" s="1384">
        <f t="shared" si="43"/>
        <v>6.1148051962716039</v>
      </c>
      <c r="AD214" s="1284">
        <f t="shared" si="44"/>
        <v>0.67668404701038387</v>
      </c>
      <c r="AE214" s="1384">
        <v>4.5861038972037029</v>
      </c>
      <c r="AF214" s="1384">
        <v>4.5173123387456471</v>
      </c>
      <c r="AG214" s="1384">
        <v>4.4495526536644627</v>
      </c>
      <c r="AH214" s="1263"/>
      <c r="AI214" s="1263"/>
      <c r="AJ214" s="1263"/>
      <c r="AK214" s="1263"/>
      <c r="AL214" s="1263"/>
      <c r="AM214" s="1263"/>
      <c r="AN214" s="1263"/>
      <c r="AO214" s="1263"/>
      <c r="AP214" s="1263"/>
      <c r="AQ214" s="1383">
        <f t="shared" si="38"/>
        <v>0</v>
      </c>
      <c r="AR214" s="1266"/>
    </row>
    <row r="215" spans="1:44">
      <c r="A215" s="1521">
        <v>213</v>
      </c>
      <c r="B215" s="1700" t="s">
        <v>1879</v>
      </c>
      <c r="C215" s="1347" t="s">
        <v>29</v>
      </c>
      <c r="D215" s="1737">
        <v>53115</v>
      </c>
      <c r="E215" s="1737" t="s">
        <v>2720</v>
      </c>
      <c r="F215" s="1738" t="s">
        <v>2721</v>
      </c>
      <c r="G215" s="1347" t="s">
        <v>2741</v>
      </c>
      <c r="H215" s="1492">
        <v>200000</v>
      </c>
      <c r="I215" s="1348" t="s">
        <v>35</v>
      </c>
      <c r="J215" s="1348" t="s">
        <v>2306</v>
      </c>
      <c r="K215" s="1493">
        <v>45562</v>
      </c>
      <c r="L215" s="1493">
        <v>45562</v>
      </c>
      <c r="M215" s="1493">
        <v>45566</v>
      </c>
      <c r="N215" s="1493"/>
      <c r="O215" s="1540"/>
      <c r="P215" s="1347" t="s">
        <v>2557</v>
      </c>
      <c r="Q215" s="1623">
        <v>0.70586515999999999</v>
      </c>
      <c r="R215" s="1623">
        <v>0.50519999999999998</v>
      </c>
      <c r="S215" s="1495">
        <f t="shared" si="34"/>
        <v>0.71571743249093067</v>
      </c>
      <c r="T215" s="1496">
        <v>42.112654829600004</v>
      </c>
      <c r="U215" s="1496">
        <v>61.481913996052128</v>
      </c>
      <c r="V215" s="1496">
        <v>3.7682103965626075</v>
      </c>
      <c r="W215" s="1496">
        <v>0</v>
      </c>
      <c r="X215" s="1496">
        <v>0.93863616773361924</v>
      </c>
      <c r="Y215" s="1497">
        <f t="shared" si="42"/>
        <v>6.2239946889695245E-2</v>
      </c>
      <c r="Z215" s="1496">
        <v>54.481593697781243</v>
      </c>
      <c r="AA215" s="1496">
        <v>14.5</v>
      </c>
      <c r="AB215" s="1496">
        <v>3.42587011</v>
      </c>
      <c r="AC215" s="1496">
        <f t="shared" si="43"/>
        <v>1.2296382799210426</v>
      </c>
      <c r="AD215" s="1498">
        <f t="shared" si="44"/>
        <v>0.69557936636695006</v>
      </c>
      <c r="AE215" s="1496">
        <v>0.61481913996052118</v>
      </c>
      <c r="AF215" s="1496">
        <v>0.60867094856091597</v>
      </c>
      <c r="AG215" s="1496">
        <v>0.60258423907530689</v>
      </c>
      <c r="AH215" s="1641" t="s">
        <v>2775</v>
      </c>
      <c r="AI215" s="1641"/>
      <c r="AJ215" s="1641">
        <v>61.48</v>
      </c>
      <c r="AK215" s="1764">
        <v>63.73</v>
      </c>
      <c r="AL215" s="1641"/>
      <c r="AM215" s="1641">
        <v>3.43</v>
      </c>
      <c r="AN215" s="1641">
        <v>-0.61</v>
      </c>
      <c r="AO215" s="1641">
        <v>-0.61</v>
      </c>
      <c r="AP215" s="1641">
        <v>-0.6</v>
      </c>
      <c r="AQ215" s="1646">
        <f t="shared" si="38"/>
        <v>1.2296</v>
      </c>
      <c r="AR215" s="1647"/>
    </row>
    <row r="216" spans="1:44" ht="21.75" thickBot="1">
      <c r="A216" s="1521">
        <v>214</v>
      </c>
      <c r="B216" s="1513" t="s">
        <v>1879</v>
      </c>
      <c r="C216" s="1263" t="s">
        <v>29</v>
      </c>
      <c r="D216" s="1466">
        <v>53115</v>
      </c>
      <c r="E216" s="1466" t="s">
        <v>2722</v>
      </c>
      <c r="F216" s="1651" t="s">
        <v>2723</v>
      </c>
      <c r="G216" s="1263" t="s">
        <v>2741</v>
      </c>
      <c r="H216" s="1264">
        <v>200000</v>
      </c>
      <c r="I216" s="1265" t="s">
        <v>35</v>
      </c>
      <c r="J216" s="1265" t="s">
        <v>2306</v>
      </c>
      <c r="K216" s="1283">
        <v>45562</v>
      </c>
      <c r="L216" s="1283">
        <v>45562</v>
      </c>
      <c r="M216" s="1283">
        <v>45566</v>
      </c>
      <c r="N216" s="1283"/>
      <c r="O216" s="1394"/>
      <c r="P216" s="1263" t="s">
        <v>2557</v>
      </c>
      <c r="Q216" s="1383">
        <v>0.70586515999999999</v>
      </c>
      <c r="R216" s="1383">
        <v>0.50519999999999998</v>
      </c>
      <c r="S216" s="1455">
        <f t="shared" si="34"/>
        <v>0.71571743249093067</v>
      </c>
      <c r="T216" s="1384">
        <v>41.652654829600003</v>
      </c>
      <c r="U216" s="1384">
        <v>59.481660108132914</v>
      </c>
      <c r="V216" s="1384">
        <v>3.4622909883298916</v>
      </c>
      <c r="W216" s="1384"/>
      <c r="X216" s="1384">
        <v>0.85145198539857025</v>
      </c>
      <c r="Y216" s="1285">
        <f t="shared" si="42"/>
        <v>5.9053022310309004E-2</v>
      </c>
      <c r="Z216" s="1384">
        <v>54.481593697781243</v>
      </c>
      <c r="AA216" s="1384">
        <v>4</v>
      </c>
      <c r="AB216" s="1384">
        <v>3.42587011</v>
      </c>
      <c r="AC216" s="1384">
        <f t="shared" si="43"/>
        <v>1.1896332021626583</v>
      </c>
      <c r="AD216" s="1284">
        <f t="shared" si="44"/>
        <v>0.71042993302029311</v>
      </c>
      <c r="AE216" s="1384">
        <v>0.59481660108132928</v>
      </c>
      <c r="AF216" s="1384">
        <v>0.58886843507051601</v>
      </c>
      <c r="AG216" s="1384">
        <v>0.58297975071981079</v>
      </c>
      <c r="AH216" s="1561" t="s">
        <v>2775</v>
      </c>
      <c r="AI216" s="1561"/>
      <c r="AJ216" s="1561">
        <v>59.48</v>
      </c>
      <c r="AK216" s="1766">
        <v>58.48</v>
      </c>
      <c r="AL216" s="1561"/>
      <c r="AM216" s="1561">
        <v>3.43</v>
      </c>
      <c r="AN216" s="1561">
        <v>-0.59</v>
      </c>
      <c r="AO216" s="1561">
        <v>-0.59</v>
      </c>
      <c r="AP216" s="1561">
        <v>-0.57999999999999996</v>
      </c>
      <c r="AQ216" s="1648">
        <f t="shared" si="38"/>
        <v>1.1896</v>
      </c>
      <c r="AR216" s="1564"/>
    </row>
    <row r="217" spans="1:44">
      <c r="A217" s="1521">
        <v>215</v>
      </c>
      <c r="B217" s="1700" t="s">
        <v>2300</v>
      </c>
      <c r="C217" s="1347" t="s">
        <v>29</v>
      </c>
      <c r="D217" s="1490">
        <v>50990</v>
      </c>
      <c r="E217" s="1490" t="s">
        <v>2724</v>
      </c>
      <c r="F217" s="1491" t="s">
        <v>2725</v>
      </c>
      <c r="G217" s="1493" t="s">
        <v>2222</v>
      </c>
      <c r="H217" s="1492">
        <v>172211</v>
      </c>
      <c r="I217" s="1348" t="s">
        <v>35</v>
      </c>
      <c r="J217" s="1348" t="s">
        <v>2306</v>
      </c>
      <c r="K217" s="1493">
        <v>45568</v>
      </c>
      <c r="L217" s="1493">
        <v>45568</v>
      </c>
      <c r="M217" s="1493"/>
      <c r="N217" s="1493"/>
      <c r="O217" s="1540"/>
      <c r="P217" s="1347" t="s">
        <v>2557</v>
      </c>
      <c r="Q217" s="1623">
        <v>1.7756283930000001</v>
      </c>
      <c r="R217" s="1623">
        <v>0.98899999999999999</v>
      </c>
      <c r="S217" s="1495">
        <f t="shared" si="34"/>
        <v>0.5569859120854912</v>
      </c>
      <c r="T217" s="1743">
        <v>83.466132780190009</v>
      </c>
      <c r="U217" s="1496">
        <v>140.50530536908772</v>
      </c>
      <c r="V217" s="1496">
        <v>11.638154845064118</v>
      </c>
      <c r="W217" s="1496">
        <v>7.2851175994083972</v>
      </c>
      <c r="X217" s="1496">
        <v>3.0719366893187261</v>
      </c>
      <c r="Y217" s="1497">
        <f t="shared" si="42"/>
        <v>8.9422291490325836E-2</v>
      </c>
      <c r="Z217" s="1496">
        <v>129.19923165129751</v>
      </c>
      <c r="AA217" s="1496">
        <v>27.15</v>
      </c>
      <c r="AB217" s="1496">
        <v>7.2814186999999988</v>
      </c>
      <c r="AC217" s="1496">
        <f t="shared" si="43"/>
        <v>2.4196559142915963</v>
      </c>
      <c r="AD217" s="1498">
        <f t="shared" si="44"/>
        <v>0.64131582320421265</v>
      </c>
      <c r="AE217" s="1496">
        <v>2.1075795805363158</v>
      </c>
      <c r="AF217" s="1496">
        <v>2.0759658868282713</v>
      </c>
      <c r="AG217" s="1496">
        <v>2.044826398525847</v>
      </c>
      <c r="AH217" s="1347"/>
      <c r="AI217" s="1347"/>
      <c r="AJ217" s="1347"/>
      <c r="AK217" s="1347"/>
      <c r="AL217" s="1347"/>
      <c r="AM217" s="1347"/>
      <c r="AN217" s="1347"/>
      <c r="AO217" s="1347"/>
      <c r="AP217" s="1347"/>
      <c r="AQ217" s="1623">
        <f t="shared" si="38"/>
        <v>0</v>
      </c>
      <c r="AR217" s="1350"/>
    </row>
    <row r="218" spans="1:44" ht="21.75" thickBot="1">
      <c r="A218" s="1521">
        <v>216</v>
      </c>
      <c r="B218" s="1513" t="s">
        <v>2300</v>
      </c>
      <c r="C218" s="1263" t="s">
        <v>29</v>
      </c>
      <c r="D218" s="1458">
        <v>50990</v>
      </c>
      <c r="E218" s="1458" t="s">
        <v>2726</v>
      </c>
      <c r="F218" s="1316" t="s">
        <v>2727</v>
      </c>
      <c r="G218" s="1283" t="s">
        <v>2222</v>
      </c>
      <c r="H218" s="1264">
        <v>172211</v>
      </c>
      <c r="I218" s="1265" t="s">
        <v>35</v>
      </c>
      <c r="J218" s="1265" t="s">
        <v>2306</v>
      </c>
      <c r="K218" s="1283">
        <v>45568</v>
      </c>
      <c r="L218" s="1283">
        <v>45568</v>
      </c>
      <c r="M218" s="1283"/>
      <c r="N218" s="1283"/>
      <c r="O218" s="1394"/>
      <c r="P218" s="1263" t="s">
        <v>2557</v>
      </c>
      <c r="Q218" s="1383">
        <v>1.7756283930000001</v>
      </c>
      <c r="R218" s="1383">
        <v>0.98799999999999999</v>
      </c>
      <c r="S218" s="1455">
        <f t="shared" si="34"/>
        <v>0.55642273118348362</v>
      </c>
      <c r="T218" s="1407">
        <v>83.42295278019003</v>
      </c>
      <c r="U218" s="1384">
        <v>140.45927339108772</v>
      </c>
      <c r="V218" s="1384">
        <v>11.637291245064121</v>
      </c>
      <c r="W218" s="1384">
        <v>7.2851175994083972</v>
      </c>
      <c r="X218" s="1384">
        <v>3.0718460113187263</v>
      </c>
      <c r="Y218" s="1285">
        <f t="shared" si="42"/>
        <v>8.9447230143033254E-2</v>
      </c>
      <c r="Z218" s="1384">
        <v>129.19923165129751</v>
      </c>
      <c r="AA218" s="1384">
        <v>27.15</v>
      </c>
      <c r="AB218" s="1384">
        <v>7.2814186999999988</v>
      </c>
      <c r="AC218" s="1384">
        <f t="shared" si="43"/>
        <v>2.4188631929952606</v>
      </c>
      <c r="AD218" s="1284">
        <f t="shared" si="44"/>
        <v>0.64121038989257839</v>
      </c>
      <c r="AE218" s="1384">
        <v>2.1068891008663164</v>
      </c>
      <c r="AF218" s="1384">
        <v>2.075285764353322</v>
      </c>
      <c r="AG218" s="1384">
        <v>2.0441564778880221</v>
      </c>
      <c r="AH218" s="1263"/>
      <c r="AI218" s="1263"/>
      <c r="AJ218" s="1263"/>
      <c r="AK218" s="1263"/>
      <c r="AL218" s="1263"/>
      <c r="AM218" s="1263"/>
      <c r="AN218" s="1263"/>
      <c r="AO218" s="1263"/>
      <c r="AP218" s="1263"/>
      <c r="AQ218" s="1383">
        <f t="shared" si="38"/>
        <v>0</v>
      </c>
      <c r="AR218" s="1266"/>
    </row>
    <row r="219" spans="1:44">
      <c r="A219" s="1521">
        <v>217</v>
      </c>
      <c r="B219" s="1519" t="s">
        <v>2435</v>
      </c>
      <c r="C219" s="1317" t="s">
        <v>29</v>
      </c>
      <c r="D219" s="1469">
        <v>53715</v>
      </c>
      <c r="E219" s="1467" t="s">
        <v>2728</v>
      </c>
      <c r="F219" s="1318" t="s">
        <v>2729</v>
      </c>
      <c r="G219" s="1325" t="s">
        <v>2222</v>
      </c>
      <c r="H219" s="1319">
        <v>195000</v>
      </c>
      <c r="I219" s="1320" t="s">
        <v>35</v>
      </c>
      <c r="J219" s="1320" t="s">
        <v>2467</v>
      </c>
      <c r="K219" s="1325">
        <v>45568</v>
      </c>
      <c r="L219" s="1325">
        <v>45568</v>
      </c>
      <c r="M219" s="1325"/>
      <c r="N219" s="1325"/>
      <c r="O219" s="1538"/>
      <c r="P219" s="1317" t="s">
        <v>2379</v>
      </c>
      <c r="Q219" s="1436">
        <v>0.87085858860000009</v>
      </c>
      <c r="R219" s="1436">
        <v>0.54200000000000004</v>
      </c>
      <c r="S219" s="1453">
        <f t="shared" si="34"/>
        <v>0.62237429485689977</v>
      </c>
      <c r="T219" s="1437">
        <v>46.31338786311801</v>
      </c>
      <c r="U219" s="1437">
        <v>70.705559730773089</v>
      </c>
      <c r="V219" s="1437">
        <v>5.013270606265209</v>
      </c>
      <c r="W219" s="1437"/>
      <c r="X219" s="1437">
        <v>1.2848243709228042</v>
      </c>
      <c r="Y219" s="1339">
        <f t="shared" ref="Y219" si="45">V219/(U219-W219-X219)</f>
        <v>7.2215751969182548E-2</v>
      </c>
      <c r="Z219" s="1437">
        <v>63.747763008929994</v>
      </c>
      <c r="AA219" s="1437">
        <v>5</v>
      </c>
      <c r="AB219" s="1437">
        <v>3.0498805999999998</v>
      </c>
      <c r="AC219" s="1437">
        <f t="shared" ref="AC219:AC243" si="46">U219*H219/10^7</f>
        <v>1.3787584147500751</v>
      </c>
      <c r="AD219" s="1338">
        <f t="shared" ref="AD219:AD243" si="47">T219/(U219-W219-X219)</f>
        <v>0.66714055423134444</v>
      </c>
      <c r="AE219" s="1437">
        <v>0.70705559730773093</v>
      </c>
      <c r="AF219" s="1437">
        <v>0.69998504133465367</v>
      </c>
      <c r="AG219" s="1437">
        <v>0.69298519092130706</v>
      </c>
      <c r="AH219" s="1317"/>
      <c r="AI219" s="1317"/>
      <c r="AJ219" s="1317"/>
      <c r="AK219" s="1317"/>
      <c r="AL219" s="1317"/>
      <c r="AM219" s="1317"/>
      <c r="AN219" s="1317"/>
      <c r="AO219" s="1317"/>
      <c r="AP219" s="1579"/>
      <c r="AQ219" s="1436">
        <f t="shared" si="38"/>
        <v>0</v>
      </c>
      <c r="AR219" s="1616"/>
    </row>
    <row r="220" spans="1:44" ht="21.75" thickBot="1">
      <c r="A220" s="1521">
        <v>218</v>
      </c>
      <c r="B220" s="1513" t="s">
        <v>2435</v>
      </c>
      <c r="C220" s="1263" t="s">
        <v>29</v>
      </c>
      <c r="D220" s="1458">
        <v>53715</v>
      </c>
      <c r="E220" s="1466" t="s">
        <v>2730</v>
      </c>
      <c r="F220" s="1316" t="s">
        <v>2731</v>
      </c>
      <c r="G220" s="1283" t="s">
        <v>2222</v>
      </c>
      <c r="H220" s="1264">
        <v>195000</v>
      </c>
      <c r="I220" s="1265" t="s">
        <v>35</v>
      </c>
      <c r="J220" s="1265" t="s">
        <v>2467</v>
      </c>
      <c r="K220" s="1283">
        <v>45568</v>
      </c>
      <c r="L220" s="1283">
        <v>45568</v>
      </c>
      <c r="M220" s="1283"/>
      <c r="N220" s="1283"/>
      <c r="O220" s="1394"/>
      <c r="P220" s="1263" t="s">
        <v>2379</v>
      </c>
      <c r="Q220" s="1383">
        <v>0.87085858860000009</v>
      </c>
      <c r="R220" s="1383">
        <v>0.54200000000000004</v>
      </c>
      <c r="S220" s="1286">
        <f t="shared" si="34"/>
        <v>0.62237429485689977</v>
      </c>
      <c r="T220" s="1384">
        <v>46.31338786311801</v>
      </c>
      <c r="U220" s="1384">
        <v>70.705559730773089</v>
      </c>
      <c r="V220" s="1384">
        <v>5.013270606265209</v>
      </c>
      <c r="W220" s="1384"/>
      <c r="X220" s="1384">
        <v>1.2848243709228042</v>
      </c>
      <c r="Y220" s="1285">
        <f t="shared" ref="Y220:Y243" si="48">V220/(U220-W220-X220)</f>
        <v>7.2215751969182548E-2</v>
      </c>
      <c r="Z220" s="1384">
        <v>63.747763008929994</v>
      </c>
      <c r="AA220" s="1384">
        <v>5</v>
      </c>
      <c r="AB220" s="1384">
        <v>3.0498805999999998</v>
      </c>
      <c r="AC220" s="1384">
        <f t="shared" si="46"/>
        <v>1.3787584147500751</v>
      </c>
      <c r="AD220" s="1284">
        <f t="shared" si="47"/>
        <v>0.66714055423134444</v>
      </c>
      <c r="AE220" s="1384">
        <v>0.70705559730773093</v>
      </c>
      <c r="AF220" s="1384">
        <v>0.69998504133465367</v>
      </c>
      <c r="AG220" s="1384">
        <v>0.69298519092130706</v>
      </c>
      <c r="AH220" s="1263"/>
      <c r="AI220" s="1263"/>
      <c r="AJ220" s="1263"/>
      <c r="AK220" s="1263"/>
      <c r="AL220" s="1263"/>
      <c r="AM220" s="1263"/>
      <c r="AN220" s="1263"/>
      <c r="AO220" s="1263"/>
      <c r="AP220" s="1571"/>
      <c r="AQ220" s="1390">
        <f t="shared" si="38"/>
        <v>0</v>
      </c>
      <c r="AR220" s="1610"/>
    </row>
    <row r="221" spans="1:44" ht="21.75" thickBot="1">
      <c r="A221" s="1521">
        <v>219</v>
      </c>
      <c r="B221" s="1514" t="s">
        <v>1879</v>
      </c>
      <c r="C221" s="1267" t="s">
        <v>29</v>
      </c>
      <c r="D221" s="1468">
        <v>53564</v>
      </c>
      <c r="E221" s="1468" t="s">
        <v>2732</v>
      </c>
      <c r="F221" s="1654" t="s">
        <v>2733</v>
      </c>
      <c r="G221" s="1267" t="s">
        <v>2741</v>
      </c>
      <c r="H221" s="1268">
        <v>103500</v>
      </c>
      <c r="I221" s="1269" t="s">
        <v>35</v>
      </c>
      <c r="J221" s="1269" t="s">
        <v>2306</v>
      </c>
      <c r="K221" s="1386">
        <v>45568</v>
      </c>
      <c r="L221" s="1386">
        <v>45568</v>
      </c>
      <c r="M221" s="1386">
        <v>45579</v>
      </c>
      <c r="N221" s="1386"/>
      <c r="O221" s="1401">
        <v>45589</v>
      </c>
      <c r="P221" s="1267" t="s">
        <v>2379</v>
      </c>
      <c r="Q221" s="1387">
        <v>1.0582322519999998</v>
      </c>
      <c r="R221" s="1387">
        <v>0.73060000000000003</v>
      </c>
      <c r="S221" s="1286">
        <f t="shared" si="34"/>
        <v>0.69039664839094339</v>
      </c>
      <c r="T221" s="1388">
        <v>60.944217291520005</v>
      </c>
      <c r="U221" s="1388">
        <v>89.83525006455514</v>
      </c>
      <c r="V221" s="1388">
        <v>5.9446750377671043</v>
      </c>
      <c r="W221" s="1388">
        <v>1.5011626087978001</v>
      </c>
      <c r="X221" s="1388">
        <v>0</v>
      </c>
      <c r="Y221" s="1276">
        <f t="shared" si="48"/>
        <v>6.7297633439011073E-2</v>
      </c>
      <c r="Z221" s="1388">
        <v>50.626411415002494</v>
      </c>
      <c r="AA221" s="1388">
        <v>32.25</v>
      </c>
      <c r="AB221" s="1388">
        <v>7.8545251599999997</v>
      </c>
      <c r="AC221" s="1388">
        <f t="shared" si="46"/>
        <v>0.92979483816814568</v>
      </c>
      <c r="AD221" s="1275">
        <f t="shared" si="47"/>
        <v>0.68992864529272779</v>
      </c>
      <c r="AE221" s="1388">
        <v>1.1229406258069397</v>
      </c>
      <c r="AF221" s="1388">
        <v>1.108903867984353</v>
      </c>
      <c r="AG221" s="1388">
        <v>1.0950425696345485</v>
      </c>
      <c r="AH221" s="1267"/>
      <c r="AI221" s="1267"/>
      <c r="AJ221" s="1267"/>
      <c r="AK221" s="1267"/>
      <c r="AL221" s="1267"/>
      <c r="AM221" s="1267"/>
      <c r="AN221" s="1267"/>
      <c r="AO221" s="1267"/>
      <c r="AP221" s="1572"/>
      <c r="AQ221" s="1390">
        <f t="shared" si="38"/>
        <v>0</v>
      </c>
      <c r="AR221" s="1611"/>
    </row>
    <row r="222" spans="1:44" ht="21.75" thickBot="1">
      <c r="A222" s="1521">
        <v>220</v>
      </c>
      <c r="B222" s="1516" t="s">
        <v>1879</v>
      </c>
      <c r="C222" s="1471" t="s">
        <v>29</v>
      </c>
      <c r="D222" s="1481">
        <v>52439</v>
      </c>
      <c r="E222" s="1481" t="s">
        <v>2734</v>
      </c>
      <c r="F222" s="1655" t="s">
        <v>2735</v>
      </c>
      <c r="G222" s="1471" t="s">
        <v>2741</v>
      </c>
      <c r="H222" s="1473">
        <v>37221</v>
      </c>
      <c r="I222" s="1471" t="s">
        <v>35</v>
      </c>
      <c r="J222" s="1471" t="s">
        <v>2306</v>
      </c>
      <c r="K222" s="1475">
        <v>45568</v>
      </c>
      <c r="L222" s="1475">
        <v>45568</v>
      </c>
      <c r="M222" s="1475"/>
      <c r="N222" s="1475"/>
      <c r="O222" s="1539"/>
      <c r="P222" s="1471" t="s">
        <v>2777</v>
      </c>
      <c r="Q222" s="1476"/>
      <c r="R222" s="1476"/>
      <c r="S222" s="1477"/>
      <c r="T222" s="1478"/>
      <c r="U222" s="1478"/>
      <c r="V222" s="1478"/>
      <c r="W222" s="1478"/>
      <c r="X222" s="1478"/>
      <c r="Y222" s="1482"/>
      <c r="Z222" s="1478"/>
      <c r="AA222" s="1478"/>
      <c r="AB222" s="1478"/>
      <c r="AC222" s="1478"/>
      <c r="AD222" s="1477"/>
      <c r="AE222" s="1478"/>
      <c r="AF222" s="1478"/>
      <c r="AG222" s="1478"/>
      <c r="AH222" s="1471"/>
      <c r="AI222" s="1471"/>
      <c r="AJ222" s="1471"/>
      <c r="AK222" s="1471"/>
      <c r="AL222" s="1471"/>
      <c r="AM222" s="1471"/>
      <c r="AN222" s="1471"/>
      <c r="AO222" s="1471"/>
      <c r="AP222" s="1574"/>
      <c r="AQ222" s="1390">
        <f t="shared" si="38"/>
        <v>0</v>
      </c>
      <c r="AR222" s="1613"/>
    </row>
    <row r="223" spans="1:44">
      <c r="A223" s="1521">
        <v>221</v>
      </c>
      <c r="B223" s="1700" t="s">
        <v>1879</v>
      </c>
      <c r="C223" s="1260" t="s">
        <v>29</v>
      </c>
      <c r="D223" s="1464">
        <v>53219</v>
      </c>
      <c r="E223" s="1464" t="s">
        <v>2779</v>
      </c>
      <c r="F223" s="1650" t="s">
        <v>2749</v>
      </c>
      <c r="G223" s="1260" t="s">
        <v>2741</v>
      </c>
      <c r="H223" s="1295">
        <v>103500</v>
      </c>
      <c r="I223" s="1261" t="s">
        <v>35</v>
      </c>
      <c r="J223" s="1261" t="s">
        <v>2306</v>
      </c>
      <c r="K223" s="1277">
        <v>45580</v>
      </c>
      <c r="L223" s="1277">
        <v>45581</v>
      </c>
      <c r="M223" s="1277"/>
      <c r="N223" s="1277"/>
      <c r="O223" s="1406"/>
      <c r="P223" s="1260" t="s">
        <v>2379</v>
      </c>
      <c r="Q223" s="1424">
        <v>8.9795130450789458</v>
      </c>
      <c r="R223" s="1424">
        <v>5.7337000000000007</v>
      </c>
      <c r="S223" s="1286">
        <f t="shared" ref="S223:S243" si="49">R223/Q223</f>
        <v>0.63853128462709319</v>
      </c>
      <c r="T223" s="1427">
        <v>449.15719858518622</v>
      </c>
      <c r="U223" s="1427">
        <v>851.81808133165077</v>
      </c>
      <c r="V223" s="1382">
        <v>80.746859810721773</v>
      </c>
      <c r="W223" s="1382">
        <v>103.60352900608677</v>
      </c>
      <c r="X223" s="1382">
        <v>21.79571554796642</v>
      </c>
      <c r="Y223" s="1279">
        <f t="shared" si="48"/>
        <v>0.11115744212927597</v>
      </c>
      <c r="Z223" s="1425">
        <v>241.76720778383248</v>
      </c>
      <c r="AA223" s="1382">
        <v>249.25</v>
      </c>
      <c r="AB223" s="1382">
        <v>33.475919975000004</v>
      </c>
      <c r="AC223" s="1382">
        <f t="shared" si="46"/>
        <v>8.8163171417825854</v>
      </c>
      <c r="AD223" s="1278">
        <f t="shared" si="47"/>
        <v>0.61831711382603016</v>
      </c>
      <c r="AE223" s="1382">
        <v>12.777271219974763</v>
      </c>
      <c r="AF223" s="1382">
        <v>12.585612151675141</v>
      </c>
      <c r="AG223" s="1382">
        <v>12.396827969400015</v>
      </c>
      <c r="AH223" s="1260"/>
      <c r="AI223" s="1260"/>
      <c r="AJ223" s="1260"/>
      <c r="AK223" s="1260"/>
      <c r="AL223" s="1260"/>
      <c r="AM223" s="1260"/>
      <c r="AN223" s="1260"/>
      <c r="AO223" s="1260"/>
      <c r="AP223" s="1570"/>
      <c r="AQ223" s="1390">
        <f t="shared" si="38"/>
        <v>0</v>
      </c>
      <c r="AR223" s="1609"/>
    </row>
    <row r="224" spans="1:44" ht="21.75" thickBot="1">
      <c r="A224" s="1521">
        <v>222</v>
      </c>
      <c r="B224" s="1513" t="s">
        <v>1879</v>
      </c>
      <c r="C224" s="1263" t="s">
        <v>29</v>
      </c>
      <c r="D224" s="1466">
        <v>53219</v>
      </c>
      <c r="E224" s="1466" t="s">
        <v>2780</v>
      </c>
      <c r="F224" s="1651" t="s">
        <v>2749</v>
      </c>
      <c r="G224" s="1263" t="s">
        <v>2741</v>
      </c>
      <c r="H224" s="1296">
        <v>96500</v>
      </c>
      <c r="I224" s="1265" t="s">
        <v>35</v>
      </c>
      <c r="J224" s="1265" t="s">
        <v>2306</v>
      </c>
      <c r="K224" s="1283">
        <v>45580</v>
      </c>
      <c r="L224" s="1283">
        <v>45581</v>
      </c>
      <c r="M224" s="1283"/>
      <c r="N224" s="1283"/>
      <c r="O224" s="1394"/>
      <c r="P224" s="1263" t="s">
        <v>2379</v>
      </c>
      <c r="Q224" s="1426">
        <v>8.9434405580789456</v>
      </c>
      <c r="R224" s="1426">
        <v>5.653900000000001</v>
      </c>
      <c r="S224" s="1286">
        <f t="shared" si="49"/>
        <v>0.63218399711871742</v>
      </c>
      <c r="T224" s="1428">
        <v>445.02985249089619</v>
      </c>
      <c r="U224" s="1428">
        <v>849.77357069726258</v>
      </c>
      <c r="V224" s="1384">
        <v>81.119312888835964</v>
      </c>
      <c r="W224" s="1384">
        <v>103.60352900608677</v>
      </c>
      <c r="X224" s="1384">
        <v>21.919258121168415</v>
      </c>
      <c r="Y224" s="1285">
        <f t="shared" si="48"/>
        <v>0.11200445305558282</v>
      </c>
      <c r="Z224" s="1407">
        <v>108.55069948799999</v>
      </c>
      <c r="AA224" s="1384">
        <v>6.25</v>
      </c>
      <c r="AB224" s="1384">
        <v>0</v>
      </c>
      <c r="AC224" s="1384">
        <f t="shared" si="46"/>
        <v>8.2003149572285849</v>
      </c>
      <c r="AD224" s="1284">
        <f t="shared" si="47"/>
        <v>0.61446927305654597</v>
      </c>
      <c r="AE224" s="1384">
        <v>12.746603560458938</v>
      </c>
      <c r="AF224" s="1384">
        <v>12.555404507052053</v>
      </c>
      <c r="AG224" s="1384">
        <v>12.367073439446273</v>
      </c>
      <c r="AH224" s="1263"/>
      <c r="AI224" s="1263"/>
      <c r="AJ224" s="1263"/>
      <c r="AK224" s="1263"/>
      <c r="AL224" s="1263"/>
      <c r="AM224" s="1263"/>
      <c r="AN224" s="1263"/>
      <c r="AO224" s="1263"/>
      <c r="AP224" s="1571"/>
      <c r="AQ224" s="1390">
        <f t="shared" si="38"/>
        <v>0</v>
      </c>
      <c r="AR224" s="1610"/>
    </row>
    <row r="225" spans="1:44" ht="21.75" thickBot="1">
      <c r="A225" s="1521">
        <v>223</v>
      </c>
      <c r="B225" s="1520" t="s">
        <v>1879</v>
      </c>
      <c r="C225" s="1307" t="s">
        <v>29</v>
      </c>
      <c r="D225" s="1341">
        <v>53231</v>
      </c>
      <c r="E225" s="1341" t="s">
        <v>2750</v>
      </c>
      <c r="F225" s="1326" t="s">
        <v>2117</v>
      </c>
      <c r="G225" s="1307" t="s">
        <v>2741</v>
      </c>
      <c r="H225" s="1324">
        <v>96500</v>
      </c>
      <c r="I225" s="1309" t="s">
        <v>35</v>
      </c>
      <c r="J225" s="1309" t="s">
        <v>2306</v>
      </c>
      <c r="K225" s="1421">
        <v>45580</v>
      </c>
      <c r="L225" s="1421">
        <v>45581</v>
      </c>
      <c r="M225" s="1421"/>
      <c r="N225" s="1421"/>
      <c r="O225" s="1536"/>
      <c r="P225" s="1263" t="s">
        <v>2379</v>
      </c>
      <c r="Q225" s="1422">
        <v>3.78</v>
      </c>
      <c r="R225" s="1422">
        <v>1.67</v>
      </c>
      <c r="S225" s="1286">
        <f t="shared" si="49"/>
        <v>0.4417989417989418</v>
      </c>
      <c r="T225" s="1423">
        <v>174.69</v>
      </c>
      <c r="U225" s="1423">
        <v>283.7</v>
      </c>
      <c r="V225" s="1423">
        <v>21.72</v>
      </c>
      <c r="W225" s="1423">
        <v>11.47</v>
      </c>
      <c r="X225" s="1423">
        <v>5.66</v>
      </c>
      <c r="Y225" s="1285">
        <f t="shared" si="48"/>
        <v>8.147953633192033E-2</v>
      </c>
      <c r="Z225" s="1423">
        <v>332.94</v>
      </c>
      <c r="AA225" s="1423">
        <v>37.75</v>
      </c>
      <c r="AB225" s="1423">
        <v>11.67</v>
      </c>
      <c r="AC225" s="1384">
        <f t="shared" si="46"/>
        <v>2.7377050000000001</v>
      </c>
      <c r="AD225" s="1284">
        <f t="shared" si="47"/>
        <v>0.65532505533255825</v>
      </c>
      <c r="AE225" s="1423">
        <v>4.26</v>
      </c>
      <c r="AF225" s="1423">
        <v>4.1900000000000004</v>
      </c>
      <c r="AG225" s="1423">
        <v>4.13</v>
      </c>
      <c r="AH225" s="1569" t="s">
        <v>2775</v>
      </c>
      <c r="AI225" s="1569"/>
      <c r="AJ225" s="1569">
        <v>278.3</v>
      </c>
      <c r="AK225" s="1767">
        <v>355.71</v>
      </c>
      <c r="AL225" s="1307"/>
      <c r="AM225" s="1569">
        <v>11.67</v>
      </c>
      <c r="AN225" s="1569">
        <v>-4.87</v>
      </c>
      <c r="AO225" s="1569">
        <v>-4.79</v>
      </c>
      <c r="AP225" s="1578">
        <v>-4.7</v>
      </c>
      <c r="AQ225" s="1642">
        <f t="shared" si="38"/>
        <v>2.6855950000000002</v>
      </c>
      <c r="AR225" s="1621"/>
    </row>
    <row r="226" spans="1:44" ht="21.75" thickBot="1">
      <c r="A226" s="1521">
        <v>224</v>
      </c>
      <c r="B226" s="1516" t="s">
        <v>1879</v>
      </c>
      <c r="C226" s="1471" t="s">
        <v>29</v>
      </c>
      <c r="D226" s="1472">
        <v>53436</v>
      </c>
      <c r="E226" s="1472" t="s">
        <v>2751</v>
      </c>
      <c r="F226" s="1483" t="s">
        <v>2752</v>
      </c>
      <c r="G226" s="1471" t="s">
        <v>2741</v>
      </c>
      <c r="H226" s="1473">
        <v>96500</v>
      </c>
      <c r="I226" s="1474" t="s">
        <v>35</v>
      </c>
      <c r="J226" s="1474" t="s">
        <v>2306</v>
      </c>
      <c r="K226" s="1475">
        <v>45580</v>
      </c>
      <c r="L226" s="1475">
        <v>45581</v>
      </c>
      <c r="M226" s="1475"/>
      <c r="N226" s="1475"/>
      <c r="O226" s="1539"/>
      <c r="P226" s="1471" t="s">
        <v>2379</v>
      </c>
      <c r="Q226" s="1442">
        <v>1.0679391369230768</v>
      </c>
      <c r="R226" s="1442">
        <v>0.57290000000000008</v>
      </c>
      <c r="S226" s="1499">
        <f t="shared" si="49"/>
        <v>0.53645379234871682</v>
      </c>
      <c r="T226" s="1478">
        <v>59.916433439815378</v>
      </c>
      <c r="U226" s="1478">
        <v>117.42972705236963</v>
      </c>
      <c r="V226" s="1478">
        <v>10.989501438834198</v>
      </c>
      <c r="W226" s="1478">
        <v>19.376417413518261</v>
      </c>
      <c r="X226" s="1478">
        <v>2.9708595694031934</v>
      </c>
      <c r="Y226" s="1420">
        <f t="shared" si="48"/>
        <v>0.11557865232550771</v>
      </c>
      <c r="Z226" s="1478">
        <v>31.468678662959999</v>
      </c>
      <c r="AA226" s="1443">
        <v>29.574999999999999</v>
      </c>
      <c r="AB226" s="1478">
        <v>8.9453792700000001</v>
      </c>
      <c r="AC226" s="1415">
        <f t="shared" si="46"/>
        <v>1.1331968660553668</v>
      </c>
      <c r="AD226" s="1416">
        <f t="shared" si="47"/>
        <v>0.63015239296055625</v>
      </c>
      <c r="AE226" s="1478">
        <v>1.4678715881546205</v>
      </c>
      <c r="AF226" s="1478">
        <v>1.4495231933026878</v>
      </c>
      <c r="AG226" s="1478">
        <v>1.4314041533864041</v>
      </c>
      <c r="AH226" s="1471"/>
      <c r="AI226" s="1471"/>
      <c r="AJ226" s="1471"/>
      <c r="AK226" s="1471"/>
      <c r="AL226" s="1471"/>
      <c r="AM226" s="1471"/>
      <c r="AN226" s="1471"/>
      <c r="AO226" s="1471"/>
      <c r="AP226" s="1574"/>
      <c r="AQ226" s="1390">
        <f t="shared" si="38"/>
        <v>0</v>
      </c>
      <c r="AR226" s="1613"/>
    </row>
    <row r="227" spans="1:44" ht="24" thickBot="1">
      <c r="A227" s="1521">
        <v>225</v>
      </c>
      <c r="B227" s="1514" t="s">
        <v>2507</v>
      </c>
      <c r="C227" s="1267" t="s">
        <v>29</v>
      </c>
      <c r="D227" s="1459">
        <v>54175</v>
      </c>
      <c r="E227" s="1459" t="s">
        <v>2754</v>
      </c>
      <c r="F227" s="1450" t="s">
        <v>2755</v>
      </c>
      <c r="G227" s="1267" t="s">
        <v>2222</v>
      </c>
      <c r="H227" s="1268">
        <v>84150</v>
      </c>
      <c r="I227" s="1267" t="s">
        <v>35</v>
      </c>
      <c r="J227" s="1267" t="s">
        <v>2467</v>
      </c>
      <c r="K227" s="1386">
        <v>45603</v>
      </c>
      <c r="L227" s="1386">
        <v>45603</v>
      </c>
      <c r="M227" s="1386">
        <v>45609</v>
      </c>
      <c r="N227" s="1386">
        <v>45624</v>
      </c>
      <c r="O227" s="1408"/>
      <c r="P227" s="1267" t="s">
        <v>2379</v>
      </c>
      <c r="Q227" s="1501">
        <v>7.0201094040000012</v>
      </c>
      <c r="R227" s="1501">
        <v>3.4470000000000001</v>
      </c>
      <c r="S227" s="1502">
        <f t="shared" si="49"/>
        <v>0.49101798869914015</v>
      </c>
      <c r="T227" s="1388">
        <v>349.57033941015999</v>
      </c>
      <c r="U227" s="1388">
        <v>495.1238459084459</v>
      </c>
      <c r="V227" s="1503">
        <v>29.30892427813863</v>
      </c>
      <c r="W227" s="1504">
        <v>16.451114135748981</v>
      </c>
      <c r="X227" s="1504">
        <v>7.2189306519797158</v>
      </c>
      <c r="Y227" s="1276">
        <f t="shared" si="48"/>
        <v>6.2167118407926436E-2</v>
      </c>
      <c r="Z227" s="1388">
        <v>228.79202760069003</v>
      </c>
      <c r="AA227" s="1505">
        <v>66.5</v>
      </c>
      <c r="AB227" s="1388">
        <v>21.280980799999998</v>
      </c>
      <c r="AC227" s="1388">
        <f t="shared" si="46"/>
        <v>4.166467163319572</v>
      </c>
      <c r="AD227" s="1275">
        <f t="shared" si="47"/>
        <v>0.74147315936191038</v>
      </c>
      <c r="AE227" s="1388">
        <v>4.9512384590844594</v>
      </c>
      <c r="AF227" s="1388">
        <v>4.9017260744936157</v>
      </c>
      <c r="AG227" s="1388">
        <v>4.8527088137486789</v>
      </c>
      <c r="AH227" s="1267"/>
      <c r="AI227" s="1267"/>
      <c r="AJ227" s="1267"/>
      <c r="AK227" s="1267"/>
      <c r="AL227" s="1267"/>
      <c r="AM227" s="1267"/>
      <c r="AN227" s="1267"/>
      <c r="AO227" s="1267"/>
      <c r="AP227" s="1572"/>
      <c r="AQ227" s="1390">
        <f t="shared" si="38"/>
        <v>0</v>
      </c>
      <c r="AR227" s="1611"/>
    </row>
    <row r="228" spans="1:44">
      <c r="A228" s="1521">
        <v>226</v>
      </c>
      <c r="B228" s="1519" t="s">
        <v>2507</v>
      </c>
      <c r="C228" s="1317" t="s">
        <v>29</v>
      </c>
      <c r="D228" s="1469">
        <v>53920</v>
      </c>
      <c r="E228" s="1469" t="s">
        <v>2756</v>
      </c>
      <c r="F228" s="1318" t="s">
        <v>2761</v>
      </c>
      <c r="G228" s="1317" t="s">
        <v>2222</v>
      </c>
      <c r="H228" s="1319">
        <v>181512</v>
      </c>
      <c r="I228" s="1317" t="s">
        <v>35</v>
      </c>
      <c r="J228" s="1317" t="s">
        <v>2467</v>
      </c>
      <c r="K228" s="1325">
        <v>45603</v>
      </c>
      <c r="L228" s="1325">
        <v>45603</v>
      </c>
      <c r="M228" s="1325">
        <v>45609</v>
      </c>
      <c r="N228" s="1325">
        <v>45640</v>
      </c>
      <c r="O228" s="1538"/>
      <c r="P228" s="1317" t="s">
        <v>2883</v>
      </c>
      <c r="Q228" s="1500">
        <v>5.4829541312000005</v>
      </c>
      <c r="R228" s="1500">
        <v>3.2142999999999993</v>
      </c>
      <c r="S228" s="1453">
        <f t="shared" si="49"/>
        <v>0.58623507019864796</v>
      </c>
      <c r="T228" s="1437">
        <v>274.14987904135995</v>
      </c>
      <c r="U228" s="1437">
        <v>442.39913500605479</v>
      </c>
      <c r="V228" s="1437">
        <v>34.520862642202403</v>
      </c>
      <c r="W228" s="1437">
        <v>22.562956122209442</v>
      </c>
      <c r="X228" s="1437">
        <v>9.0132886795350213</v>
      </c>
      <c r="Y228" s="1339">
        <f t="shared" si="48"/>
        <v>8.4028576462802484E-2</v>
      </c>
      <c r="Z228" s="1437">
        <v>215.71264448188995</v>
      </c>
      <c r="AA228" s="1437">
        <v>122</v>
      </c>
      <c r="AB228" s="1437">
        <v>17.66891103333333</v>
      </c>
      <c r="AC228" s="1437">
        <f t="shared" si="46"/>
        <v>8.0300751793219014</v>
      </c>
      <c r="AD228" s="1338">
        <f t="shared" si="47"/>
        <v>0.6673188996480206</v>
      </c>
      <c r="AE228" s="1437">
        <v>7.7419848626059604</v>
      </c>
      <c r="AF228" s="1437">
        <v>7.6065001275103565</v>
      </c>
      <c r="AG228" s="1437">
        <v>7.4733863752789258</v>
      </c>
      <c r="AH228" s="1770" t="s">
        <v>2775</v>
      </c>
      <c r="AI228" s="1770"/>
      <c r="AJ228" s="1770">
        <v>438</v>
      </c>
      <c r="AK228" s="1770">
        <v>335.71</v>
      </c>
      <c r="AL228" s="1317"/>
      <c r="AM228" s="1770">
        <v>17.670000000000002</v>
      </c>
      <c r="AN228" s="1770">
        <v>-7.67</v>
      </c>
      <c r="AO228" s="1770">
        <v>-7.53</v>
      </c>
      <c r="AP228" s="1771">
        <v>-7.4</v>
      </c>
      <c r="AQ228" s="1642">
        <f t="shared" si="38"/>
        <v>7.9502255999999996</v>
      </c>
      <c r="AR228" s="1772"/>
    </row>
    <row r="229" spans="1:44">
      <c r="A229" s="1521">
        <v>227</v>
      </c>
      <c r="B229" s="1515" t="s">
        <v>2507</v>
      </c>
      <c r="C229" s="1270" t="s">
        <v>29</v>
      </c>
      <c r="D229" s="1448">
        <v>53920</v>
      </c>
      <c r="E229" s="1448" t="s">
        <v>2757</v>
      </c>
      <c r="F229" s="1315" t="s">
        <v>2761</v>
      </c>
      <c r="G229" s="1270" t="s">
        <v>2222</v>
      </c>
      <c r="H229" s="1271">
        <v>116158</v>
      </c>
      <c r="I229" s="1270" t="s">
        <v>35</v>
      </c>
      <c r="J229" s="1270" t="s">
        <v>2467</v>
      </c>
      <c r="K229" s="1280">
        <v>45603</v>
      </c>
      <c r="L229" s="1280">
        <v>45603</v>
      </c>
      <c r="M229" s="1280">
        <v>45609</v>
      </c>
      <c r="N229" s="1280">
        <v>45640</v>
      </c>
      <c r="O229" s="1533"/>
      <c r="P229" s="1270" t="s">
        <v>2883</v>
      </c>
      <c r="Q229" s="1379">
        <v>5.4829541312000005</v>
      </c>
      <c r="R229" s="1379">
        <v>3.2059999999999995</v>
      </c>
      <c r="S229" s="1286">
        <f t="shared" si="49"/>
        <v>0.5847212877008573</v>
      </c>
      <c r="T229" s="1391">
        <v>335.83450830066397</v>
      </c>
      <c r="U229" s="1391">
        <v>507.25816401087894</v>
      </c>
      <c r="V229" s="1391">
        <v>35.929555227388477</v>
      </c>
      <c r="W229" s="1391">
        <v>22.562956122209442</v>
      </c>
      <c r="X229" s="1391">
        <v>9.1936764009795606</v>
      </c>
      <c r="Y229" s="1282">
        <f t="shared" si="48"/>
        <v>7.5561386973826472E-2</v>
      </c>
      <c r="Z229" s="1391">
        <v>0</v>
      </c>
      <c r="AA229" s="1391">
        <v>0</v>
      </c>
      <c r="AB229" s="1391">
        <v>0</v>
      </c>
      <c r="AC229" s="1391">
        <f t="shared" si="46"/>
        <v>5.8922093815175671</v>
      </c>
      <c r="AD229" s="1281">
        <f t="shared" si="47"/>
        <v>0.70627429369143513</v>
      </c>
      <c r="AE229" s="1391">
        <v>8.8770178701903841</v>
      </c>
      <c r="AF229" s="1391">
        <v>8.7216700574620507</v>
      </c>
      <c r="AG229" s="1391">
        <v>8.5690408314564657</v>
      </c>
      <c r="AH229" s="1560" t="s">
        <v>2775</v>
      </c>
      <c r="AI229" s="1560"/>
      <c r="AJ229" s="1560">
        <v>503.15</v>
      </c>
      <c r="AK229" s="1560">
        <v>0</v>
      </c>
      <c r="AL229" s="1270"/>
      <c r="AM229" s="1560">
        <v>0</v>
      </c>
      <c r="AN229" s="1560">
        <v>-8.81</v>
      </c>
      <c r="AO229" s="1560">
        <v>-8.65</v>
      </c>
      <c r="AP229" s="1577">
        <v>-8.5</v>
      </c>
      <c r="AQ229" s="1642">
        <f t="shared" si="38"/>
        <v>5.8444897699999991</v>
      </c>
      <c r="AR229" s="1618"/>
    </row>
    <row r="230" spans="1:44">
      <c r="A230" s="1521">
        <v>228</v>
      </c>
      <c r="B230" s="1515" t="s">
        <v>2507</v>
      </c>
      <c r="C230" s="1270" t="s">
        <v>29</v>
      </c>
      <c r="D230" s="1448">
        <v>53920</v>
      </c>
      <c r="E230" s="1448" t="s">
        <v>2758</v>
      </c>
      <c r="F230" s="1315" t="s">
        <v>2762</v>
      </c>
      <c r="G230" s="1270" t="s">
        <v>2222</v>
      </c>
      <c r="H230" s="1273">
        <v>181512</v>
      </c>
      <c r="I230" s="1270" t="s">
        <v>35</v>
      </c>
      <c r="J230" s="1270" t="s">
        <v>2467</v>
      </c>
      <c r="K230" s="1280">
        <v>45603</v>
      </c>
      <c r="L230" s="1280">
        <v>45603</v>
      </c>
      <c r="M230" s="1280">
        <v>45609</v>
      </c>
      <c r="N230" s="1280">
        <v>45640</v>
      </c>
      <c r="O230" s="1533"/>
      <c r="P230" s="1270" t="s">
        <v>2883</v>
      </c>
      <c r="Q230" s="1379">
        <v>4.9608283032000005</v>
      </c>
      <c r="R230" s="1379">
        <v>2.8599999999999994</v>
      </c>
      <c r="S230" s="1286">
        <f t="shared" si="49"/>
        <v>0.57651662690183125</v>
      </c>
      <c r="T230" s="1391">
        <v>246.34754540635998</v>
      </c>
      <c r="U230" s="1391">
        <v>386.35450397726544</v>
      </c>
      <c r="V230" s="1391">
        <v>28.767630415110556</v>
      </c>
      <c r="W230" s="1391">
        <v>22.562956122209442</v>
      </c>
      <c r="X230" s="1391">
        <v>7.4447501478110913</v>
      </c>
      <c r="Y230" s="1282">
        <f t="shared" si="48"/>
        <v>8.0729308079104639E-2</v>
      </c>
      <c r="Z230" s="1391">
        <v>204.07374246556992</v>
      </c>
      <c r="AA230" s="1391">
        <v>122</v>
      </c>
      <c r="AB230" s="1391">
        <v>17.66891103333333</v>
      </c>
      <c r="AC230" s="1391">
        <f t="shared" si="46"/>
        <v>7.0127978725921407</v>
      </c>
      <c r="AD230" s="1281">
        <f t="shared" si="47"/>
        <v>0.69131404292496457</v>
      </c>
      <c r="AE230" s="1391">
        <v>6.7612038196021462</v>
      </c>
      <c r="AF230" s="1391">
        <v>6.6428827527591086</v>
      </c>
      <c r="AG230" s="1391">
        <v>6.5266323045858234</v>
      </c>
      <c r="AH230" s="1560" t="s">
        <v>2775</v>
      </c>
      <c r="AI230" s="1560"/>
      <c r="AJ230" s="1560">
        <v>382</v>
      </c>
      <c r="AK230" s="1560">
        <v>324.07</v>
      </c>
      <c r="AL230" s="1270"/>
      <c r="AM230" s="1560">
        <v>17.670000000000002</v>
      </c>
      <c r="AN230" s="1560">
        <v>-6.69</v>
      </c>
      <c r="AO230" s="1560">
        <v>-6.57</v>
      </c>
      <c r="AP230" s="1577">
        <v>-6.45</v>
      </c>
      <c r="AQ230" s="1642">
        <f t="shared" si="38"/>
        <v>6.9337584000000003</v>
      </c>
      <c r="AR230" s="1618"/>
    </row>
    <row r="231" spans="1:44">
      <c r="A231" s="1521">
        <v>229</v>
      </c>
      <c r="B231" s="1515" t="s">
        <v>2507</v>
      </c>
      <c r="C231" s="1270" t="s">
        <v>29</v>
      </c>
      <c r="D231" s="1448">
        <v>53920</v>
      </c>
      <c r="E231" s="1448" t="s">
        <v>2759</v>
      </c>
      <c r="F231" s="1315" t="s">
        <v>2762</v>
      </c>
      <c r="G231" s="1270" t="s">
        <v>2222</v>
      </c>
      <c r="H231" s="1271">
        <v>68118</v>
      </c>
      <c r="I231" s="1270" t="s">
        <v>35</v>
      </c>
      <c r="J231" s="1270" t="s">
        <v>2467</v>
      </c>
      <c r="K231" s="1280">
        <v>45603</v>
      </c>
      <c r="L231" s="1280">
        <v>45603</v>
      </c>
      <c r="M231" s="1280">
        <v>45609</v>
      </c>
      <c r="N231" s="1280">
        <v>45640</v>
      </c>
      <c r="O231" s="1533"/>
      <c r="P231" s="1270" t="s">
        <v>2883</v>
      </c>
      <c r="Q231" s="1379">
        <v>4.9608283032000005</v>
      </c>
      <c r="R231" s="1379">
        <v>2.8579999999999997</v>
      </c>
      <c r="S231" s="1286">
        <f t="shared" si="49"/>
        <v>0.57611346842148037</v>
      </c>
      <c r="T231" s="1391">
        <v>303.50231236966403</v>
      </c>
      <c r="U231" s="1391">
        <v>451.26835079490809</v>
      </c>
      <c r="V231" s="1391">
        <v>31.009725754376639</v>
      </c>
      <c r="W231" s="1391">
        <v>22.562956122209442</v>
      </c>
      <c r="X231" s="1391">
        <v>7.8841131584340296</v>
      </c>
      <c r="Y231" s="1282">
        <f t="shared" si="48"/>
        <v>7.3688587332828376E-2</v>
      </c>
      <c r="Z231" s="1391">
        <v>0</v>
      </c>
      <c r="AA231" s="1391">
        <v>0</v>
      </c>
      <c r="AB231" s="1391">
        <v>0</v>
      </c>
      <c r="AC231" s="1391">
        <f t="shared" si="46"/>
        <v>3.0739497519447552</v>
      </c>
      <c r="AD231" s="1281">
        <f t="shared" si="47"/>
        <v>0.72121426767570973</v>
      </c>
      <c r="AE231" s="1391">
        <v>7.89719613891089</v>
      </c>
      <c r="AF231" s="1391">
        <v>7.7589952064799501</v>
      </c>
      <c r="AG231" s="1391">
        <v>7.6232127903665505</v>
      </c>
      <c r="AH231" s="1560" t="s">
        <v>2775</v>
      </c>
      <c r="AI231" s="1560"/>
      <c r="AJ231" s="1560">
        <v>447</v>
      </c>
      <c r="AK231" s="1560">
        <v>0</v>
      </c>
      <c r="AL231" s="1270"/>
      <c r="AM231" s="1560">
        <v>0</v>
      </c>
      <c r="AN231" s="1560">
        <v>-7.83</v>
      </c>
      <c r="AO231" s="1560">
        <v>-7.69</v>
      </c>
      <c r="AP231" s="1577">
        <v>-7.45</v>
      </c>
      <c r="AQ231" s="1642">
        <f t="shared" si="38"/>
        <v>3.0448746</v>
      </c>
      <c r="AR231" s="1618"/>
    </row>
    <row r="232" spans="1:44" ht="21.75" thickBot="1">
      <c r="A232" s="1521">
        <v>230</v>
      </c>
      <c r="B232" s="1622" t="s">
        <v>2507</v>
      </c>
      <c r="C232" s="1292" t="s">
        <v>29</v>
      </c>
      <c r="D232" s="1470">
        <v>53920</v>
      </c>
      <c r="E232" s="1470" t="s">
        <v>2760</v>
      </c>
      <c r="F232" s="1321" t="s">
        <v>2762</v>
      </c>
      <c r="G232" s="1292" t="s">
        <v>2222</v>
      </c>
      <c r="H232" s="1323">
        <v>48040</v>
      </c>
      <c r="I232" s="1292" t="s">
        <v>35</v>
      </c>
      <c r="J232" s="1292" t="s">
        <v>2467</v>
      </c>
      <c r="K232" s="1413">
        <v>45603</v>
      </c>
      <c r="L232" s="1413">
        <v>45603</v>
      </c>
      <c r="M232" s="1413">
        <v>45609</v>
      </c>
      <c r="N232" s="1413">
        <v>45640</v>
      </c>
      <c r="O232" s="1535"/>
      <c r="P232" s="1292" t="s">
        <v>2883</v>
      </c>
      <c r="Q232" s="1506">
        <v>5.1811591832000001</v>
      </c>
      <c r="R232" s="1506">
        <v>2.9989999999999997</v>
      </c>
      <c r="S232" s="1499">
        <f t="shared" si="49"/>
        <v>0.57882799851514111</v>
      </c>
      <c r="T232" s="1415">
        <v>322.93367741606403</v>
      </c>
      <c r="U232" s="1415">
        <v>486.41243342317307</v>
      </c>
      <c r="V232" s="1415">
        <v>34.277581573435256</v>
      </c>
      <c r="W232" s="1415">
        <v>22.562956122209442</v>
      </c>
      <c r="X232" s="1415">
        <v>8.7615405687282806</v>
      </c>
      <c r="Y232" s="1420">
        <f t="shared" si="48"/>
        <v>7.5320787053961183E-2</v>
      </c>
      <c r="Z232" s="1415">
        <v>15.186678537839999</v>
      </c>
      <c r="AA232" s="1415">
        <v>0</v>
      </c>
      <c r="AB232" s="1415">
        <v>0</v>
      </c>
      <c r="AC232" s="1415">
        <f t="shared" si="46"/>
        <v>2.3367253301649233</v>
      </c>
      <c r="AD232" s="1416">
        <f t="shared" si="47"/>
        <v>0.70960720192869398</v>
      </c>
      <c r="AE232" s="1415">
        <v>8.5122175849055299</v>
      </c>
      <c r="AF232" s="1415">
        <v>8.3632537771696818</v>
      </c>
      <c r="AG232" s="1415">
        <v>8.2168968360692123</v>
      </c>
      <c r="AH232" s="1769" t="s">
        <v>2775</v>
      </c>
      <c r="AI232" s="1769"/>
      <c r="AJ232" s="1769">
        <v>482.9</v>
      </c>
      <c r="AK232" s="1769">
        <v>15.19</v>
      </c>
      <c r="AL232" s="1292"/>
      <c r="AM232" s="1769">
        <v>0</v>
      </c>
      <c r="AN232" s="1769">
        <v>-8.4499999999999993</v>
      </c>
      <c r="AO232" s="1769">
        <v>-8.3000000000000007</v>
      </c>
      <c r="AP232" s="1773">
        <v>-8.16</v>
      </c>
      <c r="AQ232" s="1683">
        <f t="shared" si="38"/>
        <v>2.3198515999999998</v>
      </c>
      <c r="AR232" s="1774"/>
    </row>
    <row r="233" spans="1:44">
      <c r="A233" s="1521">
        <v>231</v>
      </c>
      <c r="B233" s="1700" t="s">
        <v>2507</v>
      </c>
      <c r="C233" s="1347" t="s">
        <v>29</v>
      </c>
      <c r="D233" s="1490">
        <v>54254</v>
      </c>
      <c r="E233" s="1490" t="s">
        <v>2763</v>
      </c>
      <c r="F233" s="1491" t="s">
        <v>2735</v>
      </c>
      <c r="G233" s="1347" t="s">
        <v>2764</v>
      </c>
      <c r="H233" s="1697">
        <v>68148</v>
      </c>
      <c r="I233" s="1700" t="s">
        <v>35</v>
      </c>
      <c r="J233" s="1687" t="s">
        <v>2467</v>
      </c>
      <c r="K233" s="1692">
        <v>45603</v>
      </c>
      <c r="L233" s="1693">
        <v>45603</v>
      </c>
      <c r="M233" s="1688">
        <v>45609</v>
      </c>
      <c r="N233" s="1493">
        <v>45625</v>
      </c>
      <c r="O233" s="1685"/>
      <c r="P233" s="1346" t="s">
        <v>2379</v>
      </c>
      <c r="Q233" s="1494">
        <v>2.743292244</v>
      </c>
      <c r="R233" s="1494">
        <v>1.494</v>
      </c>
      <c r="S233" s="1495">
        <f t="shared" si="49"/>
        <v>0.5446011095856107</v>
      </c>
      <c r="T233" s="1496">
        <v>144.11578219832001</v>
      </c>
      <c r="U233" s="1496">
        <v>307.32870973293279</v>
      </c>
      <c r="V233" s="1496">
        <v>22.728353893220344</v>
      </c>
      <c r="W233" s="1496">
        <v>18.058427087021389</v>
      </c>
      <c r="X233" s="1496">
        <v>9.0106627975387426</v>
      </c>
      <c r="Y233" s="1497">
        <f t="shared" si="48"/>
        <v>8.1097497761243476E-2</v>
      </c>
      <c r="Z233" s="1496">
        <v>181.97463880169749</v>
      </c>
      <c r="AA233" s="1496">
        <v>58.5</v>
      </c>
      <c r="AB233" s="1496">
        <v>18.1369908</v>
      </c>
      <c r="AC233" s="1496">
        <f t="shared" si="46"/>
        <v>2.0943836910879901</v>
      </c>
      <c r="AD233" s="1498">
        <f t="shared" si="47"/>
        <v>0.51422242803401441</v>
      </c>
      <c r="AE233" s="1496">
        <v>4.6099306459939928</v>
      </c>
      <c r="AF233" s="1496">
        <v>4.5407816863040829</v>
      </c>
      <c r="AG233" s="1496">
        <v>4.4726699610095215</v>
      </c>
      <c r="AH233" s="1641" t="s">
        <v>2775</v>
      </c>
      <c r="AI233" s="1641"/>
      <c r="AJ233" s="1641">
        <v>307.08</v>
      </c>
      <c r="AK233" s="1647">
        <v>235.47</v>
      </c>
      <c r="AL233" s="1689"/>
      <c r="AM233" s="1695">
        <v>17.64</v>
      </c>
      <c r="AN233" s="1641">
        <v>-4.6100000000000003</v>
      </c>
      <c r="AO233" s="1641">
        <v>-4.54</v>
      </c>
      <c r="AP233" s="1641">
        <v>-4.47</v>
      </c>
      <c r="AQ233" s="1646">
        <f t="shared" si="38"/>
        <v>2.0926887839999999</v>
      </c>
      <c r="AR233" s="1647"/>
    </row>
    <row r="234" spans="1:44" ht="21.75" thickBot="1">
      <c r="A234" s="1521">
        <v>232</v>
      </c>
      <c r="B234" s="1513" t="s">
        <v>2507</v>
      </c>
      <c r="C234" s="1263" t="s">
        <v>29</v>
      </c>
      <c r="D234" s="1458">
        <v>54254</v>
      </c>
      <c r="E234" s="1458" t="s">
        <v>2897</v>
      </c>
      <c r="F234" s="1316" t="s">
        <v>2735</v>
      </c>
      <c r="G234" s="1263" t="s">
        <v>2764</v>
      </c>
      <c r="H234" s="1698">
        <v>48040</v>
      </c>
      <c r="I234" s="1513" t="s">
        <v>35</v>
      </c>
      <c r="J234" s="1571" t="s">
        <v>2467</v>
      </c>
      <c r="K234" s="1558">
        <v>45603</v>
      </c>
      <c r="L234" s="1532">
        <v>45603</v>
      </c>
      <c r="M234" s="1529">
        <v>45609</v>
      </c>
      <c r="N234" s="1283">
        <v>45625</v>
      </c>
      <c r="O234" s="1686"/>
      <c r="P234" s="1262" t="s">
        <v>2379</v>
      </c>
      <c r="Q234" s="1426">
        <v>2.6080934880000002</v>
      </c>
      <c r="R234" s="1426">
        <v>1.47</v>
      </c>
      <c r="S234" s="1455">
        <f t="shared" si="49"/>
        <v>0.56363010251111056</v>
      </c>
      <c r="T234" s="1384">
        <v>136.34293941663998</v>
      </c>
      <c r="U234" s="1384">
        <v>295.48274452830225</v>
      </c>
      <c r="V234" s="1384">
        <v>22.034208922145964</v>
      </c>
      <c r="W234" s="1384">
        <v>18.058427087021389</v>
      </c>
      <c r="X234" s="1384">
        <v>8.7821464339755</v>
      </c>
      <c r="Y234" s="1285">
        <f t="shared" si="48"/>
        <v>8.2020662800356761E-2</v>
      </c>
      <c r="Z234" s="1384">
        <v>176.769794032535</v>
      </c>
      <c r="AA234" s="1384">
        <v>0</v>
      </c>
      <c r="AB234" s="1384">
        <v>0</v>
      </c>
      <c r="AC234" s="1384">
        <f t="shared" si="46"/>
        <v>1.419499104713964</v>
      </c>
      <c r="AD234" s="1284">
        <f t="shared" si="47"/>
        <v>0.50752619704272839</v>
      </c>
      <c r="AE234" s="1384">
        <v>4.4322411679245324</v>
      </c>
      <c r="AF234" s="1384">
        <v>4.3657575504056645</v>
      </c>
      <c r="AG234" s="1384">
        <v>4.3002711871495798</v>
      </c>
      <c r="AH234" s="1561" t="s">
        <v>2775</v>
      </c>
      <c r="AI234" s="1561"/>
      <c r="AJ234" s="1561">
        <v>295.23</v>
      </c>
      <c r="AK234" s="1564">
        <v>173.77</v>
      </c>
      <c r="AL234" s="1592"/>
      <c r="AM234" s="1566">
        <v>0</v>
      </c>
      <c r="AN234" s="1561">
        <v>-4.43</v>
      </c>
      <c r="AO234" s="1561">
        <v>-4.37</v>
      </c>
      <c r="AP234" s="1561">
        <v>-4.3</v>
      </c>
      <c r="AQ234" s="1648">
        <f t="shared" si="38"/>
        <v>1.4182849200000001</v>
      </c>
      <c r="AR234" s="1564"/>
    </row>
    <row r="235" spans="1:44" ht="21.75" thickBot="1">
      <c r="A235" s="1521">
        <v>233</v>
      </c>
      <c r="B235" s="1520" t="s">
        <v>2507</v>
      </c>
      <c r="C235" s="1307" t="s">
        <v>29</v>
      </c>
      <c r="D235" s="1341">
        <v>54054</v>
      </c>
      <c r="E235" s="1341" t="s">
        <v>2765</v>
      </c>
      <c r="F235" s="1326" t="s">
        <v>2766</v>
      </c>
      <c r="G235" s="1307"/>
      <c r="H235" s="1324">
        <v>232372</v>
      </c>
      <c r="I235" s="1307" t="s">
        <v>35</v>
      </c>
      <c r="J235" s="1307" t="s">
        <v>2467</v>
      </c>
      <c r="K235" s="1421">
        <v>45608</v>
      </c>
      <c r="L235" s="1421">
        <v>45608</v>
      </c>
      <c r="M235" s="1421">
        <v>45612</v>
      </c>
      <c r="N235" s="1421"/>
      <c r="O235" s="1536"/>
      <c r="P235" s="1307" t="s">
        <v>2777</v>
      </c>
      <c r="Q235" s="1522"/>
      <c r="R235" s="1333"/>
      <c r="S235" s="1334"/>
      <c r="T235" s="1423"/>
      <c r="U235" s="1423"/>
      <c r="V235" s="1423"/>
      <c r="W235" s="1423"/>
      <c r="X235" s="1423"/>
      <c r="Y235" s="1335"/>
      <c r="Z235" s="1423"/>
      <c r="AA235" s="1336"/>
      <c r="AB235" s="1423"/>
      <c r="AC235" s="1423"/>
      <c r="AD235" s="1334"/>
      <c r="AE235" s="1423"/>
      <c r="AF235" s="1423"/>
      <c r="AG235" s="1423"/>
      <c r="AH235" s="1307"/>
      <c r="AI235" s="1307"/>
      <c r="AJ235" s="1307"/>
      <c r="AK235" s="1307"/>
      <c r="AL235" s="1307"/>
      <c r="AM235" s="1307"/>
      <c r="AN235" s="1307"/>
      <c r="AO235" s="1307"/>
      <c r="AP235" s="1581"/>
      <c r="AQ235" s="1436">
        <f t="shared" si="38"/>
        <v>0</v>
      </c>
      <c r="AR235" s="1621"/>
    </row>
    <row r="236" spans="1:44">
      <c r="A236" s="1521">
        <v>234</v>
      </c>
      <c r="B236" s="1519" t="s">
        <v>2507</v>
      </c>
      <c r="C236" s="1317" t="s">
        <v>29</v>
      </c>
      <c r="D236" s="1469">
        <v>54446</v>
      </c>
      <c r="E236" s="1469" t="s">
        <v>2767</v>
      </c>
      <c r="F236" s="1318" t="s">
        <v>200</v>
      </c>
      <c r="G236" s="1317" t="s">
        <v>2222</v>
      </c>
      <c r="H236" s="1319">
        <v>158655</v>
      </c>
      <c r="I236" s="1317" t="s">
        <v>35</v>
      </c>
      <c r="J236" s="1317" t="s">
        <v>2467</v>
      </c>
      <c r="K236" s="1325">
        <v>45611</v>
      </c>
      <c r="L236" s="1325">
        <v>45614</v>
      </c>
      <c r="M236" s="1325">
        <v>45621</v>
      </c>
      <c r="N236" s="1325">
        <v>45640</v>
      </c>
      <c r="O236" s="1538"/>
      <c r="P236" s="1270" t="s">
        <v>2557</v>
      </c>
      <c r="Q236" s="1500">
        <v>10.373232745565387</v>
      </c>
      <c r="R236" s="1337">
        <v>7.915</v>
      </c>
      <c r="S236" s="1286">
        <f t="shared" si="49"/>
        <v>0.76302153765745839</v>
      </c>
      <c r="T236" s="1437">
        <v>723.16675700924077</v>
      </c>
      <c r="U236" s="1437">
        <v>1069.0590818810094</v>
      </c>
      <c r="V236" s="1437">
        <v>71.704928510696007</v>
      </c>
      <c r="W236" s="1437">
        <v>45.997910548658872</v>
      </c>
      <c r="X236" s="1437">
        <v>18.151421749093661</v>
      </c>
      <c r="Y236" s="1282">
        <f t="shared" si="48"/>
        <v>7.1354595316079419E-2</v>
      </c>
      <c r="Z236" s="1437">
        <v>186.52870734776749</v>
      </c>
      <c r="AA236" s="1437">
        <v>234.25</v>
      </c>
      <c r="AB236" s="1437">
        <v>53.605525849999992</v>
      </c>
      <c r="AC236" s="1391">
        <f t="shared" si="46"/>
        <v>16.961156863583156</v>
      </c>
      <c r="AD236" s="1281">
        <f t="shared" si="47"/>
        <v>0.71963353655305173</v>
      </c>
      <c r="AE236" s="1437">
        <v>16.035886228215141</v>
      </c>
      <c r="AF236" s="1437">
        <v>15.795347934791915</v>
      </c>
      <c r="AG236" s="1437">
        <v>15.558417715770037</v>
      </c>
      <c r="AH236" s="1770" t="s">
        <v>2775</v>
      </c>
      <c r="AI236" s="1770"/>
      <c r="AJ236" s="1770">
        <v>1054.06</v>
      </c>
      <c r="AK236" s="1770">
        <v>414.73</v>
      </c>
      <c r="AL236" s="1317"/>
      <c r="AM236" s="1770">
        <v>50</v>
      </c>
      <c r="AN236" s="1770">
        <v>-15.81</v>
      </c>
      <c r="AO236" s="1770">
        <v>-15.57</v>
      </c>
      <c r="AP236" s="1771">
        <v>-15.34</v>
      </c>
      <c r="AQ236" s="1642">
        <f t="shared" si="38"/>
        <v>16.723188929999999</v>
      </c>
      <c r="AR236" s="1772"/>
    </row>
    <row r="237" spans="1:44">
      <c r="A237" s="1521">
        <v>235</v>
      </c>
      <c r="B237" s="1515" t="s">
        <v>2507</v>
      </c>
      <c r="C237" s="1270" t="s">
        <v>29</v>
      </c>
      <c r="D237" s="1448">
        <v>54446</v>
      </c>
      <c r="E237" s="1448" t="s">
        <v>2768</v>
      </c>
      <c r="F237" s="1315" t="s">
        <v>200</v>
      </c>
      <c r="G237" s="1270" t="s">
        <v>2222</v>
      </c>
      <c r="H237" s="1300">
        <v>15018</v>
      </c>
      <c r="I237" s="1270" t="s">
        <v>35</v>
      </c>
      <c r="J237" s="1270" t="s">
        <v>2467</v>
      </c>
      <c r="K237" s="1280">
        <v>45611</v>
      </c>
      <c r="L237" s="1280">
        <v>45614</v>
      </c>
      <c r="M237" s="1280">
        <v>45621</v>
      </c>
      <c r="N237" s="1325">
        <v>45640</v>
      </c>
      <c r="O237" s="1533"/>
      <c r="P237" s="1270" t="s">
        <v>2557</v>
      </c>
      <c r="Q237" s="1379">
        <v>10.058765777873079</v>
      </c>
      <c r="R237" s="1329">
        <v>7.6850000000000005</v>
      </c>
      <c r="S237" s="1286">
        <f t="shared" si="49"/>
        <v>0.76401023442708993</v>
      </c>
      <c r="T237" s="1391">
        <v>699.10415611703149</v>
      </c>
      <c r="U237" s="1391">
        <v>1018.0041595006129</v>
      </c>
      <c r="V237" s="1391">
        <v>66.32741687895961</v>
      </c>
      <c r="W237" s="1391">
        <v>45.997910548658872</v>
      </c>
      <c r="X237" s="1391">
        <v>16.678177136554766</v>
      </c>
      <c r="Y237" s="1282">
        <f t="shared" si="48"/>
        <v>6.9428941570740574E-2</v>
      </c>
      <c r="Z237" s="1391">
        <v>23.878255945699998</v>
      </c>
      <c r="AA237" s="1330">
        <v>0</v>
      </c>
      <c r="AB237" s="1391">
        <v>0</v>
      </c>
      <c r="AC237" s="1391">
        <f t="shared" si="46"/>
        <v>1.5288386467380206</v>
      </c>
      <c r="AD237" s="1281">
        <f t="shared" si="47"/>
        <v>0.73179484277954032</v>
      </c>
      <c r="AE237" s="1391">
        <v>15.270062392509193</v>
      </c>
      <c r="AF237" s="1391">
        <v>15.041011456621554</v>
      </c>
      <c r="AG237" s="1391">
        <v>14.815396284772232</v>
      </c>
      <c r="AH237" s="1560" t="s">
        <v>2775</v>
      </c>
      <c r="AI237" s="1560"/>
      <c r="AJ237" s="1560">
        <v>1003.75</v>
      </c>
      <c r="AK237" s="1560">
        <v>23.71</v>
      </c>
      <c r="AL237" s="1270"/>
      <c r="AM237" s="1560">
        <v>0</v>
      </c>
      <c r="AN237" s="1560">
        <v>-15.06</v>
      </c>
      <c r="AO237" s="1560">
        <v>-14.83</v>
      </c>
      <c r="AP237" s="1577">
        <v>-14.61</v>
      </c>
      <c r="AQ237" s="1642">
        <f t="shared" si="38"/>
        <v>1.5074317500000001</v>
      </c>
      <c r="AR237" s="1618"/>
    </row>
    <row r="238" spans="1:44">
      <c r="A238" s="1521">
        <v>236</v>
      </c>
      <c r="B238" s="1515" t="s">
        <v>2507</v>
      </c>
      <c r="C238" s="1270" t="s">
        <v>29</v>
      </c>
      <c r="D238" s="1448">
        <v>54446</v>
      </c>
      <c r="E238" s="1448" t="s">
        <v>2769</v>
      </c>
      <c r="F238" s="1315" t="s">
        <v>200</v>
      </c>
      <c r="G238" s="1270" t="s">
        <v>2222</v>
      </c>
      <c r="H238" s="1300">
        <v>1803</v>
      </c>
      <c r="I238" s="1270" t="s">
        <v>35</v>
      </c>
      <c r="J238" s="1270" t="s">
        <v>2467</v>
      </c>
      <c r="K238" s="1280">
        <v>45611</v>
      </c>
      <c r="L238" s="1280">
        <v>45614</v>
      </c>
      <c r="M238" s="1280">
        <v>45621</v>
      </c>
      <c r="N238" s="1325">
        <v>45640</v>
      </c>
      <c r="O238" s="1533"/>
      <c r="P238" s="1270" t="s">
        <v>2557</v>
      </c>
      <c r="Q238" s="1379">
        <v>10.573328441873079</v>
      </c>
      <c r="R238" s="1329">
        <v>7.99</v>
      </c>
      <c r="S238" s="1286">
        <f t="shared" si="49"/>
        <v>0.75567500280777822</v>
      </c>
      <c r="T238" s="1391">
        <v>732.95614636439154</v>
      </c>
      <c r="U238" s="1391">
        <v>1061.7466122314745</v>
      </c>
      <c r="V238" s="1391">
        <v>69.011313018221699</v>
      </c>
      <c r="W238" s="1391">
        <v>45.997910548658872</v>
      </c>
      <c r="X238" s="1391">
        <v>17.33240142807372</v>
      </c>
      <c r="Y238" s="1282">
        <f t="shared" si="48"/>
        <v>6.9120779579233363E-2</v>
      </c>
      <c r="Z238" s="1391">
        <v>99.030424407919995</v>
      </c>
      <c r="AA238" s="1330">
        <v>0</v>
      </c>
      <c r="AB238" s="1391">
        <v>0</v>
      </c>
      <c r="AC238" s="1391">
        <f t="shared" si="46"/>
        <v>0.19143291418533487</v>
      </c>
      <c r="AD238" s="1281">
        <f t="shared" si="47"/>
        <v>0.7341187700735462</v>
      </c>
      <c r="AE238" s="1391">
        <v>15.926199183472116</v>
      </c>
      <c r="AF238" s="1391">
        <v>15.687306195720035</v>
      </c>
      <c r="AG238" s="1391">
        <v>15.451996602784233</v>
      </c>
      <c r="AH238" s="1560" t="s">
        <v>2775</v>
      </c>
      <c r="AI238" s="1560"/>
      <c r="AJ238" s="1560">
        <v>1046.8900000000001</v>
      </c>
      <c r="AK238" s="1560">
        <v>98.53</v>
      </c>
      <c r="AL238" s="1270"/>
      <c r="AM238" s="1560">
        <v>0</v>
      </c>
      <c r="AN238" s="1560">
        <v>-15.7</v>
      </c>
      <c r="AO238" s="1560">
        <v>-15.47</v>
      </c>
      <c r="AP238" s="1577">
        <v>-15.24</v>
      </c>
      <c r="AQ238" s="1642">
        <f t="shared" si="38"/>
        <v>0.188754267</v>
      </c>
      <c r="AR238" s="1618"/>
    </row>
    <row r="239" spans="1:44">
      <c r="A239" s="1521">
        <v>237</v>
      </c>
      <c r="B239" s="1515" t="s">
        <v>2507</v>
      </c>
      <c r="C239" s="1270" t="s">
        <v>29</v>
      </c>
      <c r="D239" s="1448">
        <v>54446</v>
      </c>
      <c r="E239" s="1448" t="s">
        <v>2770</v>
      </c>
      <c r="F239" s="1315" t="s">
        <v>200</v>
      </c>
      <c r="G239" s="1270" t="s">
        <v>2222</v>
      </c>
      <c r="H239" s="1300">
        <v>26122</v>
      </c>
      <c r="I239" s="1270" t="s">
        <v>35</v>
      </c>
      <c r="J239" s="1270" t="s">
        <v>2467</v>
      </c>
      <c r="K239" s="1280">
        <v>45611</v>
      </c>
      <c r="L239" s="1280">
        <v>45614</v>
      </c>
      <c r="M239" s="1280">
        <v>45621</v>
      </c>
      <c r="N239" s="1325">
        <v>45640</v>
      </c>
      <c r="O239" s="1533"/>
      <c r="P239" s="1270" t="s">
        <v>2557</v>
      </c>
      <c r="Q239" s="1379">
        <v>10.402410813257696</v>
      </c>
      <c r="R239" s="1329">
        <v>7.91</v>
      </c>
      <c r="S239" s="1286">
        <f t="shared" si="49"/>
        <v>0.76040065538642632</v>
      </c>
      <c r="T239" s="1391">
        <v>729.02442903210851</v>
      </c>
      <c r="U239" s="1391">
        <v>1077.2089335359253</v>
      </c>
      <c r="V239" s="1391">
        <v>72.102081951153352</v>
      </c>
      <c r="W239" s="1391">
        <v>45.997910548658872</v>
      </c>
      <c r="X239" s="1391">
        <v>18.245082860341679</v>
      </c>
      <c r="Y239" s="1282">
        <f t="shared" si="48"/>
        <v>7.1179177003837801E-2</v>
      </c>
      <c r="Z239" s="1391">
        <v>12.931810885920001</v>
      </c>
      <c r="AA239" s="1330">
        <v>0</v>
      </c>
      <c r="AB239" s="1391">
        <v>0</v>
      </c>
      <c r="AC239" s="1391">
        <f t="shared" si="46"/>
        <v>2.8138851761825441</v>
      </c>
      <c r="AD239" s="1281">
        <f t="shared" si="47"/>
        <v>0.71969293354598041</v>
      </c>
      <c r="AE239" s="1391">
        <v>16.158134003038878</v>
      </c>
      <c r="AF239" s="1391">
        <v>15.915761992993296</v>
      </c>
      <c r="AG239" s="1391">
        <v>15.677025563098397</v>
      </c>
      <c r="AH239" s="1560" t="s">
        <v>2775</v>
      </c>
      <c r="AI239" s="1560"/>
      <c r="AJ239" s="1560">
        <v>1062.1300000000001</v>
      </c>
      <c r="AK239" s="1560">
        <v>12.18</v>
      </c>
      <c r="AL239" s="1270"/>
      <c r="AM239" s="1560">
        <v>0</v>
      </c>
      <c r="AN239" s="1560">
        <v>-15.93</v>
      </c>
      <c r="AO239" s="1560">
        <v>-15.69</v>
      </c>
      <c r="AP239" s="1577">
        <v>-15.46</v>
      </c>
      <c r="AQ239" s="1642">
        <f t="shared" si="38"/>
        <v>2.7744959860000002</v>
      </c>
      <c r="AR239" s="1618"/>
    </row>
    <row r="240" spans="1:44">
      <c r="A240" s="1521">
        <v>238</v>
      </c>
      <c r="B240" s="1515" t="s">
        <v>2507</v>
      </c>
      <c r="C240" s="1270" t="s">
        <v>29</v>
      </c>
      <c r="D240" s="1448">
        <v>54446</v>
      </c>
      <c r="E240" s="1448" t="s">
        <v>2771</v>
      </c>
      <c r="F240" s="1315" t="s">
        <v>200</v>
      </c>
      <c r="G240" s="1270" t="s">
        <v>2222</v>
      </c>
      <c r="H240" s="1300">
        <v>30522</v>
      </c>
      <c r="I240" s="1270" t="s">
        <v>35</v>
      </c>
      <c r="J240" s="1270" t="s">
        <v>2467</v>
      </c>
      <c r="K240" s="1280">
        <v>45611</v>
      </c>
      <c r="L240" s="1280">
        <v>45614</v>
      </c>
      <c r="M240" s="1280">
        <v>45621</v>
      </c>
      <c r="N240" s="1325">
        <v>45640</v>
      </c>
      <c r="O240" s="1533"/>
      <c r="P240" s="1270" t="s">
        <v>2557</v>
      </c>
      <c r="Q240" s="1379">
        <v>10.087943845565388</v>
      </c>
      <c r="R240" s="1329">
        <v>7.6870000000000003</v>
      </c>
      <c r="S240" s="1286">
        <f t="shared" si="49"/>
        <v>0.76199869048430213</v>
      </c>
      <c r="T240" s="1391">
        <v>698.34982358853915</v>
      </c>
      <c r="U240" s="1391">
        <v>1019.3122012353135</v>
      </c>
      <c r="V240" s="1391">
        <v>66.592330228389756</v>
      </c>
      <c r="W240" s="1391">
        <v>45.997910548658872</v>
      </c>
      <c r="X240" s="1391">
        <v>16.757953038244928</v>
      </c>
      <c r="Y240" s="1282">
        <f t="shared" si="48"/>
        <v>6.9616736210331112E-2</v>
      </c>
      <c r="Z240" s="1391">
        <v>0</v>
      </c>
      <c r="AA240" s="1330">
        <v>0</v>
      </c>
      <c r="AB240" s="1391">
        <v>0</v>
      </c>
      <c r="AC240" s="1391">
        <f t="shared" si="46"/>
        <v>3.1111447006104238</v>
      </c>
      <c r="AD240" s="1281">
        <f t="shared" si="47"/>
        <v>0.73006659001952423</v>
      </c>
      <c r="AE240" s="1391">
        <v>15.289683018529702</v>
      </c>
      <c r="AF240" s="1391">
        <v>15.060337773251756</v>
      </c>
      <c r="AG240" s="1391">
        <v>14.834432706652981</v>
      </c>
      <c r="AH240" s="1560" t="s">
        <v>2775</v>
      </c>
      <c r="AI240" s="1560"/>
      <c r="AJ240" s="1560">
        <v>1005.04</v>
      </c>
      <c r="AK240" s="1560">
        <v>0</v>
      </c>
      <c r="AL240" s="1270"/>
      <c r="AM240" s="1560">
        <v>0</v>
      </c>
      <c r="AN240" s="1560">
        <v>-15.08</v>
      </c>
      <c r="AO240" s="1560">
        <v>-14.85</v>
      </c>
      <c r="AP240" s="1577">
        <v>-14.63</v>
      </c>
      <c r="AQ240" s="1642">
        <f t="shared" si="38"/>
        <v>3.0675830879999997</v>
      </c>
      <c r="AR240" s="1618"/>
    </row>
    <row r="241" spans="1:44">
      <c r="A241" s="1521">
        <v>239</v>
      </c>
      <c r="B241" s="1515" t="s">
        <v>2507</v>
      </c>
      <c r="C241" s="1270" t="s">
        <v>29</v>
      </c>
      <c r="D241" s="1448">
        <v>54446</v>
      </c>
      <c r="E241" s="1448" t="s">
        <v>2772</v>
      </c>
      <c r="F241" s="1315" t="s">
        <v>200</v>
      </c>
      <c r="G241" s="1270" t="s">
        <v>2222</v>
      </c>
      <c r="H241" s="1300">
        <v>17510</v>
      </c>
      <c r="I241" s="1270" t="s">
        <v>35</v>
      </c>
      <c r="J241" s="1270" t="s">
        <v>2467</v>
      </c>
      <c r="K241" s="1280">
        <v>45611</v>
      </c>
      <c r="L241" s="1280">
        <v>45614</v>
      </c>
      <c r="M241" s="1280">
        <v>45621</v>
      </c>
      <c r="N241" s="1325">
        <v>45640</v>
      </c>
      <c r="O241" s="1533"/>
      <c r="P241" s="1270" t="s">
        <v>2557</v>
      </c>
      <c r="Q241" s="1379">
        <v>10.663689169565387</v>
      </c>
      <c r="R241" s="1329">
        <v>8.0340000000000007</v>
      </c>
      <c r="S241" s="1286">
        <f t="shared" si="49"/>
        <v>0.75339780372906695</v>
      </c>
      <c r="T241" s="1391">
        <v>738.83445337869932</v>
      </c>
      <c r="U241" s="1391">
        <v>1073.3997174360131</v>
      </c>
      <c r="V241" s="1391">
        <v>69.265379158507855</v>
      </c>
      <c r="W241" s="1391">
        <v>45.997910548658872</v>
      </c>
      <c r="X241" s="1391">
        <v>17.384408872803764</v>
      </c>
      <c r="Y241" s="1282">
        <f t="shared" si="48"/>
        <v>6.8578402010368147E-2</v>
      </c>
      <c r="Z241" s="1391">
        <v>0</v>
      </c>
      <c r="AA241" s="1330">
        <v>0</v>
      </c>
      <c r="AB241" s="1391">
        <v>0</v>
      </c>
      <c r="AC241" s="1391">
        <f t="shared" si="46"/>
        <v>1.8795229052304587</v>
      </c>
      <c r="AD241" s="1281">
        <f t="shared" si="47"/>
        <v>0.73150666001503428</v>
      </c>
      <c r="AE241" s="1391">
        <v>16.100995761540197</v>
      </c>
      <c r="AF241" s="1391">
        <v>15.859480825117094</v>
      </c>
      <c r="AG241" s="1391">
        <v>15.621588612740338</v>
      </c>
      <c r="AH241" s="1560" t="s">
        <v>2775</v>
      </c>
      <c r="AI241" s="1560"/>
      <c r="AJ241" s="1560">
        <v>1058.3699999999999</v>
      </c>
      <c r="AK241" s="1560">
        <v>0</v>
      </c>
      <c r="AL241" s="1270"/>
      <c r="AM241" s="1560">
        <v>0</v>
      </c>
      <c r="AN241" s="1560">
        <v>-15.88</v>
      </c>
      <c r="AO241" s="1560">
        <v>-15.64</v>
      </c>
      <c r="AP241" s="1577">
        <v>-15.4</v>
      </c>
      <c r="AQ241" s="1642">
        <f t="shared" si="38"/>
        <v>1.85320587</v>
      </c>
      <c r="AR241" s="1618"/>
    </row>
    <row r="242" spans="1:44">
      <c r="A242" s="1521">
        <v>240</v>
      </c>
      <c r="B242" s="1515" t="s">
        <v>2507</v>
      </c>
      <c r="C242" s="1270" t="s">
        <v>29</v>
      </c>
      <c r="D242" s="1448">
        <v>54446</v>
      </c>
      <c r="E242" s="1448" t="s">
        <v>2773</v>
      </c>
      <c r="F242" s="1315" t="s">
        <v>200</v>
      </c>
      <c r="G242" s="1270" t="s">
        <v>2222</v>
      </c>
      <c r="H242" s="1300">
        <v>42310</v>
      </c>
      <c r="I242" s="1270" t="s">
        <v>35</v>
      </c>
      <c r="J242" s="1270" t="s">
        <v>2467</v>
      </c>
      <c r="K242" s="1280">
        <v>45611</v>
      </c>
      <c r="L242" s="1280">
        <v>45614</v>
      </c>
      <c r="M242" s="1280">
        <v>45621</v>
      </c>
      <c r="N242" s="1325">
        <v>45640</v>
      </c>
      <c r="O242" s="1533"/>
      <c r="P242" s="1270" t="s">
        <v>2557</v>
      </c>
      <c r="Q242" s="1379">
        <v>10.258997319873078</v>
      </c>
      <c r="R242" s="1329">
        <v>7.8150000000000004</v>
      </c>
      <c r="S242" s="1286">
        <f t="shared" si="49"/>
        <v>0.7617703520461282</v>
      </c>
      <c r="T242" s="1391">
        <v>711.26184025609155</v>
      </c>
      <c r="U242" s="1391">
        <v>1029.0101893665565</v>
      </c>
      <c r="V242" s="1391">
        <v>66.218426896055689</v>
      </c>
      <c r="W242" s="1391">
        <v>45.997910548658872</v>
      </c>
      <c r="X242" s="1391">
        <v>16.601385385246289</v>
      </c>
      <c r="Y242" s="1282">
        <f t="shared" si="48"/>
        <v>6.8519950826351497E-2</v>
      </c>
      <c r="Z242" s="1391">
        <v>207.53556973104003</v>
      </c>
      <c r="AA242" s="1330">
        <v>0</v>
      </c>
      <c r="AB242" s="1391">
        <v>0</v>
      </c>
      <c r="AC242" s="1391">
        <f t="shared" si="46"/>
        <v>4.3537421112099004</v>
      </c>
      <c r="AD242" s="1281">
        <f t="shared" si="47"/>
        <v>0.73598284651957835</v>
      </c>
      <c r="AE242" s="1391">
        <v>15.435152840498347</v>
      </c>
      <c r="AF242" s="1391">
        <v>15.203625547890871</v>
      </c>
      <c r="AG242" s="1391">
        <v>14.975571164672507</v>
      </c>
      <c r="AH242" s="1560" t="s">
        <v>2775</v>
      </c>
      <c r="AI242" s="1560"/>
      <c r="AJ242" s="1560">
        <v>1014.6</v>
      </c>
      <c r="AK242" s="1560">
        <v>203.91</v>
      </c>
      <c r="AL242" s="1270"/>
      <c r="AM242" s="1560">
        <v>0</v>
      </c>
      <c r="AN242" s="1560">
        <v>-15.22</v>
      </c>
      <c r="AO242" s="1560">
        <v>-14.99</v>
      </c>
      <c r="AP242" s="1577">
        <v>-14.77</v>
      </c>
      <c r="AQ242" s="1642">
        <f t="shared" si="38"/>
        <v>4.2927726000000002</v>
      </c>
      <c r="AR242" s="1618"/>
    </row>
    <row r="243" spans="1:44" ht="21.75" thickBot="1">
      <c r="A243" s="1521">
        <v>241</v>
      </c>
      <c r="B243" s="1622" t="s">
        <v>2507</v>
      </c>
      <c r="C243" s="1292" t="s">
        <v>29</v>
      </c>
      <c r="D243" s="1470">
        <v>54446</v>
      </c>
      <c r="E243" s="1470" t="s">
        <v>2774</v>
      </c>
      <c r="F243" s="1321" t="s">
        <v>200</v>
      </c>
      <c r="G243" s="1292" t="s">
        <v>2222</v>
      </c>
      <c r="H243" s="1305">
        <v>5730</v>
      </c>
      <c r="I243" s="1292" t="s">
        <v>35</v>
      </c>
      <c r="J243" s="1292" t="s">
        <v>2467</v>
      </c>
      <c r="K243" s="1413">
        <v>45611</v>
      </c>
      <c r="L243" s="1413">
        <v>45614</v>
      </c>
      <c r="M243" s="1413">
        <v>45621</v>
      </c>
      <c r="N243" s="1325">
        <v>45640</v>
      </c>
      <c r="O243" s="1535"/>
      <c r="P243" s="1292" t="s">
        <v>2557</v>
      </c>
      <c r="Q243" s="1506">
        <v>10.224259077873079</v>
      </c>
      <c r="R243" s="1444">
        <v>7.7770000000000001</v>
      </c>
      <c r="S243" s="1286">
        <f t="shared" si="49"/>
        <v>0.76064191456480834</v>
      </c>
      <c r="T243" s="1415">
        <v>707.44444619303147</v>
      </c>
      <c r="U243" s="1415">
        <v>1024.5183752202072</v>
      </c>
      <c r="V243" s="1415">
        <v>66.051341458584574</v>
      </c>
      <c r="W243" s="1415">
        <v>45.997910548658872</v>
      </c>
      <c r="X243" s="1415">
        <v>16.567003116380867</v>
      </c>
      <c r="Y243" s="1282">
        <f t="shared" si="48"/>
        <v>6.8663759836989344E-2</v>
      </c>
      <c r="Z243" s="1415">
        <v>32.831359761359998</v>
      </c>
      <c r="AA243" s="1445">
        <v>0</v>
      </c>
      <c r="AB243" s="1415">
        <v>0</v>
      </c>
      <c r="AC243" s="1391">
        <f t="shared" si="46"/>
        <v>0.58704902900117872</v>
      </c>
      <c r="AD243" s="1281">
        <f t="shared" si="47"/>
        <v>0.73542481467796039</v>
      </c>
      <c r="AE243" s="1415">
        <v>15.367775628303111</v>
      </c>
      <c r="AF243" s="1415">
        <v>15.137258993878564</v>
      </c>
      <c r="AG243" s="1415">
        <v>14.910200108970384</v>
      </c>
      <c r="AH243" s="1769" t="s">
        <v>2775</v>
      </c>
      <c r="AI243" s="1769"/>
      <c r="AJ243" s="1769">
        <v>1010.18</v>
      </c>
      <c r="AK243" s="1769">
        <v>32.58</v>
      </c>
      <c r="AL243" s="1292"/>
      <c r="AM243" s="1769">
        <v>0</v>
      </c>
      <c r="AN243" s="1769">
        <v>-15.15</v>
      </c>
      <c r="AO243" s="1769">
        <v>-14.93</v>
      </c>
      <c r="AP243" s="1773">
        <v>-14.7</v>
      </c>
      <c r="AQ243" s="1642">
        <f t="shared" si="38"/>
        <v>0.57883313999999997</v>
      </c>
      <c r="AR243" s="1774"/>
    </row>
    <row r="244" spans="1:44" ht="21.75" thickBot="1">
      <c r="A244" s="1521">
        <v>242</v>
      </c>
      <c r="B244" s="1516" t="s">
        <v>2781</v>
      </c>
      <c r="C244" s="1471" t="s">
        <v>2845</v>
      </c>
      <c r="D244" s="1472" t="s">
        <v>1261</v>
      </c>
      <c r="E244" s="1472" t="s">
        <v>2782</v>
      </c>
      <c r="F244" s="1483" t="s">
        <v>2783</v>
      </c>
      <c r="G244" s="1471" t="s">
        <v>2823</v>
      </c>
      <c r="H244" s="1509">
        <v>180000</v>
      </c>
      <c r="I244" s="1471"/>
      <c r="J244" s="1471"/>
      <c r="K244" s="1475">
        <v>45594</v>
      </c>
      <c r="L244" s="1475">
        <v>45594</v>
      </c>
      <c r="M244" s="1475"/>
      <c r="N244" s="1475"/>
      <c r="O244" s="1539"/>
      <c r="P244" s="1471" t="s">
        <v>2557</v>
      </c>
      <c r="Q244" s="1523">
        <v>1.5191021999999998</v>
      </c>
      <c r="R244" s="1510">
        <v>0.66900000000000004</v>
      </c>
      <c r="S244" s="1477">
        <f>R244/Q244</f>
        <v>0.44039169978162107</v>
      </c>
      <c r="T244" s="1478">
        <v>80.474828723999991</v>
      </c>
      <c r="U244" s="1478">
        <v>126.35765211369596</v>
      </c>
      <c r="V244" s="1478">
        <v>8.6494965744800005</v>
      </c>
      <c r="W244" s="1478">
        <v>0</v>
      </c>
      <c r="X244" s="1478">
        <v>0</v>
      </c>
      <c r="Y244" s="1482">
        <f t="shared" ref="Y244:Y246" si="50">V244/(U244-W244-X244)</f>
        <v>6.8452495197498825E-2</v>
      </c>
      <c r="Z244" s="1478">
        <v>189.83088450468748</v>
      </c>
      <c r="AA244" s="1511"/>
      <c r="AB244" s="1478">
        <v>11.016359816</v>
      </c>
      <c r="AC244" s="1478">
        <f t="shared" ref="AC244:AC246" si="51">U244*H244/10^7</f>
        <v>2.2744377380465273</v>
      </c>
      <c r="AD244" s="1477">
        <f t="shared" ref="AD244:AD246" si="52">T244/(U244-W244-X244)</f>
        <v>0.63688132359082739</v>
      </c>
      <c r="AE244" s="1478">
        <v>1.2635765211369596</v>
      </c>
      <c r="AF244" s="1478">
        <v>1.2509407559255901</v>
      </c>
      <c r="AG244" s="1478">
        <v>1.2384313483663343</v>
      </c>
      <c r="AH244" s="1471"/>
      <c r="AI244" s="1471"/>
      <c r="AJ244" s="1471"/>
      <c r="AK244" s="1471"/>
      <c r="AL244" s="1471"/>
      <c r="AM244" s="1471"/>
      <c r="AN244" s="1471"/>
      <c r="AO244" s="1471"/>
      <c r="AP244" s="1574"/>
      <c r="AQ244" s="1390">
        <f t="shared" si="38"/>
        <v>0</v>
      </c>
      <c r="AR244" s="1613"/>
    </row>
    <row r="245" spans="1:44" ht="21.75" thickBot="1">
      <c r="A245" s="1521">
        <v>243</v>
      </c>
      <c r="B245" s="1516" t="s">
        <v>2507</v>
      </c>
      <c r="C245" s="1471" t="s">
        <v>29</v>
      </c>
      <c r="D245" s="1472">
        <v>54549</v>
      </c>
      <c r="E245" s="1472" t="s">
        <v>2846</v>
      </c>
      <c r="F245" s="1483" t="s">
        <v>2847</v>
      </c>
      <c r="G245" s="1471" t="s">
        <v>2222</v>
      </c>
      <c r="H245" s="1509">
        <v>45900</v>
      </c>
      <c r="I245" s="1471"/>
      <c r="J245" s="1471"/>
      <c r="K245" s="1475">
        <v>45616</v>
      </c>
      <c r="L245" s="1475">
        <v>45616</v>
      </c>
      <c r="M245" s="1475">
        <v>45623</v>
      </c>
      <c r="N245" s="1475">
        <v>45629</v>
      </c>
      <c r="O245" s="1534">
        <v>45651</v>
      </c>
      <c r="P245" s="1471" t="s">
        <v>2557</v>
      </c>
      <c r="Q245" s="1523">
        <v>3.3524207466256408</v>
      </c>
      <c r="R245" s="1510">
        <v>1.962</v>
      </c>
      <c r="S245" s="1477">
        <f>R245/Q245</f>
        <v>0.58524873465684146</v>
      </c>
      <c r="T245" s="1478">
        <v>228.38607367315527</v>
      </c>
      <c r="U245" s="1478">
        <v>357.11713089405237</v>
      </c>
      <c r="V245" s="1478">
        <v>26.542431872093367</v>
      </c>
      <c r="W245" s="1478">
        <v>27.332840673457937</v>
      </c>
      <c r="X245" s="1478">
        <v>6.8648337476870473</v>
      </c>
      <c r="Y245" s="1482">
        <f t="shared" si="50"/>
        <v>8.2195207938237841E-2</v>
      </c>
      <c r="Z245" s="1478">
        <v>143.99737566026252</v>
      </c>
      <c r="AA245" s="1478">
        <v>46</v>
      </c>
      <c r="AB245" s="1478">
        <v>15.699524199999999</v>
      </c>
      <c r="AC245" s="1478">
        <f t="shared" si="51"/>
        <v>1.6391676308037004</v>
      </c>
      <c r="AD245" s="1477">
        <f t="shared" si="52"/>
        <v>0.70725398886677682</v>
      </c>
      <c r="AE245" s="1478">
        <v>3.5711713089405239</v>
      </c>
      <c r="AF245" s="1478">
        <v>3.5354595958511186</v>
      </c>
      <c r="AG245" s="1478">
        <v>3.5001049998926073</v>
      </c>
      <c r="AH245" s="1471"/>
      <c r="AI245" s="1471"/>
      <c r="AJ245" s="1471"/>
      <c r="AK245" s="1471"/>
      <c r="AL245" s="1471"/>
      <c r="AM245" s="1471"/>
      <c r="AN245" s="1471"/>
      <c r="AO245" s="1471"/>
      <c r="AP245" s="1574"/>
      <c r="AQ245" s="1390">
        <f t="shared" si="38"/>
        <v>0</v>
      </c>
      <c r="AR245" s="1613"/>
    </row>
    <row r="246" spans="1:44" ht="21.75" thickBot="1">
      <c r="A246" s="1521">
        <v>244</v>
      </c>
      <c r="B246" s="1514" t="s">
        <v>2507</v>
      </c>
      <c r="C246" s="1267" t="s">
        <v>29</v>
      </c>
      <c r="D246" s="1459">
        <v>54515</v>
      </c>
      <c r="E246" s="1459" t="s">
        <v>2848</v>
      </c>
      <c r="F246" s="1450" t="s">
        <v>2849</v>
      </c>
      <c r="G246" s="1267" t="s">
        <v>2222</v>
      </c>
      <c r="H246" s="1451">
        <v>255852</v>
      </c>
      <c r="I246" s="1267"/>
      <c r="J246" s="1267"/>
      <c r="K246" s="1386">
        <v>45616</v>
      </c>
      <c r="L246" s="1386">
        <v>45616</v>
      </c>
      <c r="M246" s="1386">
        <v>45623</v>
      </c>
      <c r="N246" s="1386"/>
      <c r="O246" s="1401">
        <v>45642</v>
      </c>
      <c r="P246" s="1267" t="s">
        <v>2557</v>
      </c>
      <c r="Q246" s="1501">
        <v>2.3683846955999996</v>
      </c>
      <c r="R246" s="1452">
        <v>1.3949999999999998</v>
      </c>
      <c r="S246" s="1275">
        <f>R246/Q246</f>
        <v>0.58900904172858393</v>
      </c>
      <c r="T246" s="1388">
        <v>117.53616812302798</v>
      </c>
      <c r="U246" s="1388">
        <v>213.29385878153423</v>
      </c>
      <c r="V246" s="1388">
        <v>19.245966855109987</v>
      </c>
      <c r="W246" s="1388">
        <v>8.2007274767711067</v>
      </c>
      <c r="X246" s="1388">
        <v>5.1561009907796356</v>
      </c>
      <c r="Y246" s="1276">
        <f t="shared" si="50"/>
        <v>9.6260141630021681E-2</v>
      </c>
      <c r="Z246" s="1388">
        <v>185.56199295019502</v>
      </c>
      <c r="AA246" s="1388">
        <v>47</v>
      </c>
      <c r="AB246" s="1388">
        <v>14.645885799999997</v>
      </c>
      <c r="AC246" s="1388">
        <f t="shared" si="51"/>
        <v>5.45716603569731</v>
      </c>
      <c r="AD246" s="1275">
        <f t="shared" si="52"/>
        <v>0.58786592928007275</v>
      </c>
      <c r="AE246" s="1388">
        <v>3.1994078817230132</v>
      </c>
      <c r="AF246" s="1388">
        <v>3.1514167634971684</v>
      </c>
      <c r="AG246" s="1388">
        <v>3.1041455120447106</v>
      </c>
      <c r="AH246" s="1267"/>
      <c r="AI246" s="1267"/>
      <c r="AJ246" s="1267"/>
      <c r="AK246" s="1267"/>
      <c r="AL246" s="1267"/>
      <c r="AM246" s="1267"/>
      <c r="AN246" s="1267"/>
      <c r="AO246" s="1267"/>
      <c r="AP246" s="1572"/>
      <c r="AQ246" s="1390">
        <f t="shared" si="38"/>
        <v>0</v>
      </c>
      <c r="AR246" s="1611"/>
    </row>
    <row r="247" spans="1:44" ht="21.75" thickBot="1">
      <c r="A247" s="1521">
        <v>245</v>
      </c>
      <c r="B247" s="1256" t="s">
        <v>2507</v>
      </c>
      <c r="C247" s="1317" t="s">
        <v>29</v>
      </c>
      <c r="D247" s="1469">
        <v>54380</v>
      </c>
      <c r="E247" s="1469" t="s">
        <v>2784</v>
      </c>
      <c r="F247" s="1318" t="s">
        <v>2787</v>
      </c>
      <c r="G247" s="1317" t="s">
        <v>2222</v>
      </c>
      <c r="H247" s="1449">
        <v>102238</v>
      </c>
      <c r="I247" s="1317"/>
      <c r="J247" s="1317"/>
      <c r="K247" s="1325">
        <v>45617</v>
      </c>
      <c r="L247" s="1325">
        <v>45617</v>
      </c>
      <c r="M247" s="1325">
        <v>45622</v>
      </c>
      <c r="N247" s="1325"/>
      <c r="O247" s="1541">
        <v>45640</v>
      </c>
      <c r="P247" s="1317" t="s">
        <v>2557</v>
      </c>
      <c r="Q247" s="1500">
        <v>2.2580738693333329</v>
      </c>
      <c r="R247" s="1337">
        <v>1.1080000000000001</v>
      </c>
      <c r="S247" s="1453">
        <f t="shared" ref="S247:S266" si="53">R247/Q247</f>
        <v>0.49068368180847988</v>
      </c>
      <c r="T247" s="1437">
        <v>111.41887431041997</v>
      </c>
      <c r="U247" s="1437">
        <v>210.11061296849218</v>
      </c>
      <c r="V247" s="1437">
        <v>19.729609792214255</v>
      </c>
      <c r="W247" s="1437">
        <v>12.639265544095673</v>
      </c>
      <c r="X247" s="1437">
        <v>5.3193377089684413</v>
      </c>
      <c r="Y247" s="1339">
        <f t="shared" ref="Y247:Y266" si="54">V247/(U247-W247-X247)</f>
        <v>0.10267709310682348</v>
      </c>
      <c r="Z247" s="1437">
        <v>253.18649349310002</v>
      </c>
      <c r="AA247" s="1437">
        <v>61.5</v>
      </c>
      <c r="AB247" s="1437">
        <v>17.920996900000002</v>
      </c>
      <c r="AC247" s="1437">
        <f t="shared" ref="AC247:AC266" si="55">U247*H247/10^7</f>
        <v>2.1481288848672704</v>
      </c>
      <c r="AD247" s="1338">
        <f t="shared" ref="AD247:AD266" si="56">T247/(U247-W247-X247)</f>
        <v>0.57984756170611129</v>
      </c>
      <c r="AE247" s="1437">
        <v>3.1516591945273826</v>
      </c>
      <c r="AF247" s="1437">
        <v>3.1043843066094716</v>
      </c>
      <c r="AG247" s="1437">
        <v>3.0578185420103301</v>
      </c>
      <c r="AH247" s="1317"/>
      <c r="AI247" s="1317"/>
      <c r="AJ247" s="1317"/>
      <c r="AK247" s="1317"/>
      <c r="AL247" s="1317"/>
      <c r="AM247" s="1317"/>
      <c r="AN247" s="1317"/>
      <c r="AO247" s="1317"/>
      <c r="AP247" s="1579"/>
      <c r="AQ247" s="1390">
        <f t="shared" si="38"/>
        <v>0</v>
      </c>
      <c r="AR247" s="1616"/>
    </row>
    <row r="248" spans="1:44">
      <c r="A248" s="1521">
        <v>246</v>
      </c>
      <c r="B248" s="1256" t="s">
        <v>2507</v>
      </c>
      <c r="C248" s="1270" t="s">
        <v>29</v>
      </c>
      <c r="D248" s="1448">
        <v>54380</v>
      </c>
      <c r="E248" s="1448" t="s">
        <v>2785</v>
      </c>
      <c r="F248" s="1315" t="s">
        <v>2787</v>
      </c>
      <c r="G248" s="1270" t="s">
        <v>2222</v>
      </c>
      <c r="H248" s="1300">
        <v>69464</v>
      </c>
      <c r="I248" s="1270"/>
      <c r="J248" s="1270"/>
      <c r="K248" s="1277">
        <v>45617</v>
      </c>
      <c r="L248" s="1277">
        <v>45617</v>
      </c>
      <c r="M248" s="1277">
        <v>45622</v>
      </c>
      <c r="N248" s="1325"/>
      <c r="O248" s="1541">
        <v>45640</v>
      </c>
      <c r="P248" s="1270" t="s">
        <v>2557</v>
      </c>
      <c r="Q248" s="1379">
        <v>2.2580738693333329</v>
      </c>
      <c r="R248" s="1329">
        <v>1.107</v>
      </c>
      <c r="S248" s="1286">
        <f t="shared" si="53"/>
        <v>0.4902408264999884</v>
      </c>
      <c r="T248" s="1391">
        <v>133.20449492099996</v>
      </c>
      <c r="U248" s="1391">
        <v>232.70298010372466</v>
      </c>
      <c r="V248" s="1391">
        <v>20.165322204425856</v>
      </c>
      <c r="W248" s="1391">
        <v>12.639265544095673</v>
      </c>
      <c r="X248" s="1391">
        <v>5.3650875122506587</v>
      </c>
      <c r="Y248" s="1282">
        <f t="shared" si="54"/>
        <v>9.3923852619588022E-2</v>
      </c>
      <c r="Z248" s="1391">
        <v>0</v>
      </c>
      <c r="AA248" s="1330">
        <v>0</v>
      </c>
      <c r="AB248" s="1391">
        <v>0</v>
      </c>
      <c r="AC248" s="1391">
        <f t="shared" si="55"/>
        <v>1.616447980992513</v>
      </c>
      <c r="AD248" s="1281">
        <f t="shared" si="56"/>
        <v>0.62042546220663652</v>
      </c>
      <c r="AE248" s="1391">
        <v>3.4905447015558702</v>
      </c>
      <c r="AF248" s="1391">
        <v>3.4381865310325321</v>
      </c>
      <c r="AG248" s="1391">
        <v>3.3866137330670441</v>
      </c>
      <c r="AH248" s="1270"/>
      <c r="AI248" s="1270"/>
      <c r="AJ248" s="1270"/>
      <c r="AK248" s="1270"/>
      <c r="AL248" s="1270"/>
      <c r="AM248" s="1270"/>
      <c r="AN248" s="1270"/>
      <c r="AO248" s="1270"/>
      <c r="AP248" s="1573"/>
      <c r="AQ248" s="1390">
        <f t="shared" si="38"/>
        <v>0</v>
      </c>
      <c r="AR248" s="1612"/>
    </row>
    <row r="249" spans="1:44" ht="21.75" thickBot="1">
      <c r="A249" s="1521">
        <v>247</v>
      </c>
      <c r="B249" s="1622" t="s">
        <v>2507</v>
      </c>
      <c r="C249" s="1292" t="s">
        <v>29</v>
      </c>
      <c r="D249" s="1470">
        <v>54380</v>
      </c>
      <c r="E249" s="1470" t="s">
        <v>2786</v>
      </c>
      <c r="F249" s="1321" t="s">
        <v>2787</v>
      </c>
      <c r="G249" s="1292" t="s">
        <v>2222</v>
      </c>
      <c r="H249" s="1305">
        <v>84150</v>
      </c>
      <c r="I249" s="1292"/>
      <c r="J249" s="1292"/>
      <c r="K249" s="1413">
        <v>45617</v>
      </c>
      <c r="L249" s="1413">
        <v>45617</v>
      </c>
      <c r="M249" s="1413">
        <v>45622</v>
      </c>
      <c r="N249" s="1430"/>
      <c r="O249" s="1541">
        <v>45640</v>
      </c>
      <c r="P249" s="1292" t="s">
        <v>2557</v>
      </c>
      <c r="Q249" s="1506">
        <v>2.2580738693333329</v>
      </c>
      <c r="R249" s="1444">
        <v>1.105</v>
      </c>
      <c r="S249" s="1499">
        <f t="shared" si="53"/>
        <v>0.48935511588300562</v>
      </c>
      <c r="T249" s="1415">
        <v>111.31024431041996</v>
      </c>
      <c r="U249" s="1415">
        <v>209.99345279549217</v>
      </c>
      <c r="V249" s="1415">
        <v>19.727437192214257</v>
      </c>
      <c r="W249" s="1415">
        <v>12.639265544095673</v>
      </c>
      <c r="X249" s="1415">
        <v>5.3191095859684401</v>
      </c>
      <c r="Y249" s="1420">
        <f t="shared" si="54"/>
        <v>0.10272830064194972</v>
      </c>
      <c r="Z249" s="1415">
        <v>0</v>
      </c>
      <c r="AA249" s="1445">
        <v>0</v>
      </c>
      <c r="AB249" s="1415">
        <v>0</v>
      </c>
      <c r="AC249" s="1415">
        <f t="shared" si="55"/>
        <v>1.7670949052740668</v>
      </c>
      <c r="AD249" s="1416">
        <f t="shared" si="56"/>
        <v>0.57963495869410675</v>
      </c>
      <c r="AE249" s="1415">
        <v>3.1499017919323822</v>
      </c>
      <c r="AF249" s="1415">
        <v>3.1026532650533962</v>
      </c>
      <c r="AG249" s="1415">
        <v>3.0561134660775955</v>
      </c>
      <c r="AH249" s="1292"/>
      <c r="AI249" s="1292"/>
      <c r="AJ249" s="1292"/>
      <c r="AK249" s="1292"/>
      <c r="AL249" s="1292"/>
      <c r="AM249" s="1292"/>
      <c r="AN249" s="1292"/>
      <c r="AO249" s="1292"/>
      <c r="AP249" s="1576"/>
      <c r="AQ249" s="1390">
        <f t="shared" si="38"/>
        <v>0</v>
      </c>
      <c r="AR249" s="1617"/>
    </row>
    <row r="250" spans="1:44">
      <c r="A250" s="1521">
        <v>248</v>
      </c>
      <c r="B250" s="1700" t="s">
        <v>2507</v>
      </c>
      <c r="C250" s="1347" t="s">
        <v>29</v>
      </c>
      <c r="D250" s="1490">
        <v>54411</v>
      </c>
      <c r="E250" s="1490" t="s">
        <v>2788</v>
      </c>
      <c r="F250" s="1491" t="s">
        <v>791</v>
      </c>
      <c r="G250" s="1347" t="s">
        <v>2222</v>
      </c>
      <c r="H250" s="1507">
        <v>186388</v>
      </c>
      <c r="I250" s="1347"/>
      <c r="J250" s="1347"/>
      <c r="K250" s="1493">
        <v>45617</v>
      </c>
      <c r="L250" s="1493">
        <v>45617</v>
      </c>
      <c r="M250" s="1493">
        <v>45622</v>
      </c>
      <c r="N250" s="1493">
        <v>45640</v>
      </c>
      <c r="O250" s="1525">
        <v>45640</v>
      </c>
      <c r="P250" s="1347" t="s">
        <v>2557</v>
      </c>
      <c r="Q250" s="1494">
        <v>4.6668577956000012</v>
      </c>
      <c r="R250" s="1508">
        <v>2.742</v>
      </c>
      <c r="S250" s="1495">
        <f t="shared" si="53"/>
        <v>0.58754736486404358</v>
      </c>
      <c r="T250" s="1496">
        <v>241.40641091596797</v>
      </c>
      <c r="U250" s="1496">
        <v>425.83033503926714</v>
      </c>
      <c r="V250" s="1496">
        <v>37.505326017653722</v>
      </c>
      <c r="W250" s="1496">
        <v>24.60218243031332</v>
      </c>
      <c r="X250" s="1496">
        <v>10.002013509187261</v>
      </c>
      <c r="Y250" s="1497">
        <f t="shared" si="54"/>
        <v>9.5866104713646164E-2</v>
      </c>
      <c r="Z250" s="1496">
        <v>280.52418491768998</v>
      </c>
      <c r="AA250" s="1496">
        <v>140.5</v>
      </c>
      <c r="AB250" s="1496">
        <v>24.395117066666668</v>
      </c>
      <c r="AC250" s="1496">
        <f t="shared" si="55"/>
        <v>7.9369664487298923</v>
      </c>
      <c r="AD250" s="1498">
        <f t="shared" si="56"/>
        <v>0.61705082250244769</v>
      </c>
      <c r="AE250" s="1496">
        <v>7.4520308631871774</v>
      </c>
      <c r="AF250" s="1496">
        <v>7.3216203230814019</v>
      </c>
      <c r="AG250" s="1496">
        <v>7.1934919674274775</v>
      </c>
      <c r="AH250" s="1641" t="s">
        <v>2775</v>
      </c>
      <c r="AI250" s="1641"/>
      <c r="AJ250" s="1641">
        <v>417</v>
      </c>
      <c r="AK250" s="1641">
        <v>404.86</v>
      </c>
      <c r="AL250" s="1641"/>
      <c r="AM250" s="1641">
        <v>24.4</v>
      </c>
      <c r="AN250" s="1641">
        <v>-8.34</v>
      </c>
      <c r="AO250" s="1641">
        <v>-8.17</v>
      </c>
      <c r="AP250" s="1575">
        <v>-8.01</v>
      </c>
      <c r="AQ250" s="1642">
        <f t="shared" si="38"/>
        <v>7.7723795999999998</v>
      </c>
      <c r="AR250" s="1614"/>
    </row>
    <row r="251" spans="1:44" ht="21.75" thickBot="1">
      <c r="A251" s="1521">
        <v>249</v>
      </c>
      <c r="B251" s="1513" t="s">
        <v>2507</v>
      </c>
      <c r="C251" s="1263" t="s">
        <v>29</v>
      </c>
      <c r="D251" s="1458">
        <v>54411</v>
      </c>
      <c r="E251" s="1458" t="s">
        <v>2789</v>
      </c>
      <c r="F251" s="1316" t="s">
        <v>791</v>
      </c>
      <c r="G251" s="1263" t="s">
        <v>2222</v>
      </c>
      <c r="H251" s="1512">
        <v>69464</v>
      </c>
      <c r="I251" s="1263"/>
      <c r="J251" s="1263"/>
      <c r="K251" s="1283">
        <v>45617</v>
      </c>
      <c r="L251" s="1283">
        <v>45617</v>
      </c>
      <c r="M251" s="1283">
        <v>45622</v>
      </c>
      <c r="N251" s="1283">
        <v>45640</v>
      </c>
      <c r="O251" s="1404">
        <v>45640</v>
      </c>
      <c r="P251" s="1263" t="s">
        <v>2557</v>
      </c>
      <c r="Q251" s="1426">
        <v>4.6668577956000012</v>
      </c>
      <c r="R251" s="1331">
        <v>2.7410000000000001</v>
      </c>
      <c r="S251" s="1455">
        <f t="shared" si="53"/>
        <v>0.58733308792572703</v>
      </c>
      <c r="T251" s="1384">
        <v>279.12191920024787</v>
      </c>
      <c r="U251" s="1384">
        <v>464.94358868089387</v>
      </c>
      <c r="V251" s="1384">
        <v>38.259636183339325</v>
      </c>
      <c r="W251" s="1384">
        <v>24.60218243031332</v>
      </c>
      <c r="X251" s="1384">
        <v>10.081216076584248</v>
      </c>
      <c r="Y251" s="1285">
        <f t="shared" si="54"/>
        <v>8.8922091927368899E-2</v>
      </c>
      <c r="Z251" s="1384">
        <v>0</v>
      </c>
      <c r="AA251" s="1332">
        <v>0</v>
      </c>
      <c r="AB251" s="1384">
        <v>0</v>
      </c>
      <c r="AC251" s="1384">
        <f t="shared" si="55"/>
        <v>3.2296841444129614</v>
      </c>
      <c r="AD251" s="1284">
        <f t="shared" si="56"/>
        <v>0.64872820115514651</v>
      </c>
      <c r="AE251" s="1384">
        <v>8.136512801915643</v>
      </c>
      <c r="AF251" s="1384">
        <v>7.9941238278821203</v>
      </c>
      <c r="AG251" s="1384">
        <v>7.8542266608941835</v>
      </c>
      <c r="AH251" s="1561" t="s">
        <v>2775</v>
      </c>
      <c r="AI251" s="1561"/>
      <c r="AJ251" s="1561">
        <v>456</v>
      </c>
      <c r="AK251" s="1561">
        <v>0</v>
      </c>
      <c r="AL251" s="1561"/>
      <c r="AM251" s="1561">
        <v>0</v>
      </c>
      <c r="AN251" s="1561">
        <v>-9.1199999999999992</v>
      </c>
      <c r="AO251" s="1561">
        <v>8.94</v>
      </c>
      <c r="AP251" s="1567">
        <v>-8.76</v>
      </c>
      <c r="AQ251" s="1642">
        <f t="shared" si="38"/>
        <v>3.1675583999999999</v>
      </c>
      <c r="AR251" s="1615"/>
    </row>
    <row r="252" spans="1:44">
      <c r="A252" s="1521">
        <v>250</v>
      </c>
      <c r="B252" s="1519" t="s">
        <v>2507</v>
      </c>
      <c r="C252" s="1317" t="s">
        <v>29</v>
      </c>
      <c r="D252" s="1469">
        <v>54386</v>
      </c>
      <c r="E252" s="1469" t="s">
        <v>2790</v>
      </c>
      <c r="F252" s="1318" t="s">
        <v>2795</v>
      </c>
      <c r="G252" s="1317" t="s">
        <v>2222</v>
      </c>
      <c r="H252" s="1449">
        <v>186388</v>
      </c>
      <c r="I252" s="1317"/>
      <c r="J252" s="1317"/>
      <c r="K252" s="1325">
        <v>45617</v>
      </c>
      <c r="L252" s="1325">
        <v>45617</v>
      </c>
      <c r="M252" s="1325">
        <v>45622</v>
      </c>
      <c r="N252" s="1325">
        <v>45629</v>
      </c>
      <c r="O252" s="1541">
        <v>45643</v>
      </c>
      <c r="P252" s="1270" t="s">
        <v>2557</v>
      </c>
      <c r="Q252" s="1500">
        <v>4.1239311960000009</v>
      </c>
      <c r="R252" s="1337">
        <v>1.7349999999999999</v>
      </c>
      <c r="S252" s="1286">
        <f t="shared" si="53"/>
        <v>0.42071506956344468</v>
      </c>
      <c r="T252" s="1437">
        <v>175.93233863968004</v>
      </c>
      <c r="U252" s="1437">
        <v>284.52801596448103</v>
      </c>
      <c r="V252" s="1437">
        <v>21.064757435319606</v>
      </c>
      <c r="W252" s="1437">
        <v>5.2205662029960402</v>
      </c>
      <c r="X252" s="1437">
        <v>5.4678563522258843</v>
      </c>
      <c r="Y252" s="1282">
        <f t="shared" si="54"/>
        <v>7.6923709873604293E-2</v>
      </c>
      <c r="Z252" s="1437">
        <v>477.48973157275003</v>
      </c>
      <c r="AA252" s="1437">
        <v>32.5</v>
      </c>
      <c r="AB252" s="1437">
        <v>18.7212049</v>
      </c>
      <c r="AC252" s="1391">
        <f t="shared" si="55"/>
        <v>5.3032607839587689</v>
      </c>
      <c r="AD252" s="1281">
        <f t="shared" si="56"/>
        <v>0.64246494252109643</v>
      </c>
      <c r="AE252" s="1437">
        <v>4.2679202394672142</v>
      </c>
      <c r="AF252" s="1437">
        <v>4.2039014358752063</v>
      </c>
      <c r="AG252" s="1437">
        <v>4.1408429143370782</v>
      </c>
      <c r="AH252" s="1317"/>
      <c r="AI252" s="1317"/>
      <c r="AJ252" s="1317"/>
      <c r="AK252" s="1317"/>
      <c r="AL252" s="1317"/>
      <c r="AM252" s="1317"/>
      <c r="AN252" s="1317"/>
      <c r="AO252" s="1317"/>
      <c r="AP252" s="1579"/>
      <c r="AQ252" s="1390">
        <f t="shared" si="38"/>
        <v>0</v>
      </c>
      <c r="AR252" s="1616"/>
    </row>
    <row r="253" spans="1:44">
      <c r="A253" s="1521">
        <v>251</v>
      </c>
      <c r="B253" s="1515" t="s">
        <v>2507</v>
      </c>
      <c r="C253" s="1270" t="s">
        <v>29</v>
      </c>
      <c r="D253" s="1448">
        <v>54386</v>
      </c>
      <c r="E253" s="1448" t="s">
        <v>2791</v>
      </c>
      <c r="F253" s="1315" t="s">
        <v>2795</v>
      </c>
      <c r="G253" s="1270" t="s">
        <v>2222</v>
      </c>
      <c r="H253" s="1300">
        <v>69464</v>
      </c>
      <c r="I253" s="1270"/>
      <c r="J253" s="1270"/>
      <c r="K253" s="1280">
        <v>45617</v>
      </c>
      <c r="L253" s="1280">
        <v>45617</v>
      </c>
      <c r="M253" s="1280">
        <v>45622</v>
      </c>
      <c r="N253" s="1280">
        <v>45629</v>
      </c>
      <c r="O253" s="1541">
        <v>45643</v>
      </c>
      <c r="P253" s="1270" t="s">
        <v>2557</v>
      </c>
      <c r="Q253" s="1379">
        <v>4.1239311960000009</v>
      </c>
      <c r="R253" s="1329">
        <v>1.7349999999999999</v>
      </c>
      <c r="S253" s="1286">
        <f t="shared" si="53"/>
        <v>0.42071506956344468</v>
      </c>
      <c r="T253" s="1391">
        <v>218.48779878688003</v>
      </c>
      <c r="U253" s="1391">
        <v>328.66228368314211</v>
      </c>
      <c r="V253" s="1391">
        <v>21.915866638263605</v>
      </c>
      <c r="W253" s="1391">
        <v>5.2205662029960402</v>
      </c>
      <c r="X253" s="1391">
        <v>5.5572228185350037</v>
      </c>
      <c r="Y253" s="1282">
        <f t="shared" si="54"/>
        <v>6.8942861342114553E-2</v>
      </c>
      <c r="Z253" s="1391">
        <v>0</v>
      </c>
      <c r="AA253" s="1391">
        <v>0</v>
      </c>
      <c r="AB253" s="1391">
        <v>0</v>
      </c>
      <c r="AC253" s="1391">
        <f t="shared" si="55"/>
        <v>2.2830196873765782</v>
      </c>
      <c r="AD253" s="1281">
        <f t="shared" si="56"/>
        <v>0.68731820034022395</v>
      </c>
      <c r="AE253" s="1391">
        <v>4.9299342552471312</v>
      </c>
      <c r="AF253" s="1391">
        <v>4.8559852414184244</v>
      </c>
      <c r="AG253" s="1391">
        <v>4.7831454627971484</v>
      </c>
      <c r="AH253" s="1270"/>
      <c r="AI253" s="1270"/>
      <c r="AJ253" s="1270"/>
      <c r="AK253" s="1270"/>
      <c r="AL253" s="1270"/>
      <c r="AM253" s="1270"/>
      <c r="AN253" s="1270"/>
      <c r="AO253" s="1270"/>
      <c r="AP253" s="1573"/>
      <c r="AQ253" s="1390">
        <f t="shared" si="38"/>
        <v>0</v>
      </c>
      <c r="AR253" s="1612"/>
    </row>
    <row r="254" spans="1:44">
      <c r="A254" s="1521">
        <v>252</v>
      </c>
      <c r="B254" s="1515" t="s">
        <v>2507</v>
      </c>
      <c r="C254" s="1270" t="s">
        <v>29</v>
      </c>
      <c r="D254" s="1448">
        <v>54386</v>
      </c>
      <c r="E254" s="1448" t="s">
        <v>2792</v>
      </c>
      <c r="F254" s="1315" t="s">
        <v>2441</v>
      </c>
      <c r="G254" s="1270" t="s">
        <v>2222</v>
      </c>
      <c r="H254" s="1446">
        <v>140488</v>
      </c>
      <c r="I254" s="1270"/>
      <c r="J254" s="1270"/>
      <c r="K254" s="1280">
        <v>45617</v>
      </c>
      <c r="L254" s="1280">
        <v>45617</v>
      </c>
      <c r="M254" s="1280">
        <v>45622</v>
      </c>
      <c r="N254" s="1280">
        <v>45629</v>
      </c>
      <c r="O254" s="1541">
        <v>45643</v>
      </c>
      <c r="P254" s="1270" t="s">
        <v>2557</v>
      </c>
      <c r="Q254" s="1379">
        <v>4.6367188560000008</v>
      </c>
      <c r="R254" s="1329">
        <v>1.764</v>
      </c>
      <c r="S254" s="1286">
        <f t="shared" si="53"/>
        <v>0.38044144033390143</v>
      </c>
      <c r="T254" s="1391">
        <v>195.12712748608001</v>
      </c>
      <c r="U254" s="1391">
        <v>302.89172786001768</v>
      </c>
      <c r="V254" s="1391">
        <v>21.139560839579566</v>
      </c>
      <c r="W254" s="1391">
        <v>5.2205662029960402</v>
      </c>
      <c r="X254" s="1391">
        <v>5.4183519965166411</v>
      </c>
      <c r="Y254" s="1282">
        <f t="shared" si="54"/>
        <v>7.2333131250769858E-2</v>
      </c>
      <c r="Z254" s="1391">
        <v>580.50189871086002</v>
      </c>
      <c r="AA254" s="1391">
        <v>32.5</v>
      </c>
      <c r="AB254" s="1391">
        <v>18.7212049</v>
      </c>
      <c r="AC254" s="1391">
        <f t="shared" si="55"/>
        <v>4.2552653063598163</v>
      </c>
      <c r="AD254" s="1281">
        <f t="shared" si="56"/>
        <v>0.66766553147170471</v>
      </c>
      <c r="AE254" s="1391">
        <v>4.5433759179002644</v>
      </c>
      <c r="AF254" s="1391">
        <v>4.4752252791317604</v>
      </c>
      <c r="AG254" s="1391">
        <v>4.408096899944784</v>
      </c>
      <c r="AH254" s="1270"/>
      <c r="AI254" s="1270"/>
      <c r="AJ254" s="1270"/>
      <c r="AK254" s="1270"/>
      <c r="AL254" s="1270"/>
      <c r="AM254" s="1270"/>
      <c r="AN254" s="1270"/>
      <c r="AO254" s="1270"/>
      <c r="AP254" s="1573"/>
      <c r="AQ254" s="1390">
        <f t="shared" si="38"/>
        <v>0</v>
      </c>
      <c r="AR254" s="1612"/>
    </row>
    <row r="255" spans="1:44">
      <c r="A255" s="1521">
        <v>253</v>
      </c>
      <c r="B255" s="1515" t="s">
        <v>2507</v>
      </c>
      <c r="C255" s="1270" t="s">
        <v>29</v>
      </c>
      <c r="D255" s="1448">
        <v>54386</v>
      </c>
      <c r="E255" s="1448" t="s">
        <v>2793</v>
      </c>
      <c r="F255" s="1315" t="s">
        <v>2441</v>
      </c>
      <c r="G255" s="1270" t="s">
        <v>2222</v>
      </c>
      <c r="H255" s="1300">
        <v>69464</v>
      </c>
      <c r="I255" s="1270"/>
      <c r="J255" s="1270"/>
      <c r="K255" s="1280">
        <v>45617</v>
      </c>
      <c r="L255" s="1280">
        <v>45617</v>
      </c>
      <c r="M255" s="1280">
        <v>45622</v>
      </c>
      <c r="N255" s="1280">
        <v>45629</v>
      </c>
      <c r="O255" s="1541">
        <v>45643</v>
      </c>
      <c r="P255" s="1270" t="s">
        <v>2557</v>
      </c>
      <c r="Q255" s="1379">
        <v>4.6367188560000008</v>
      </c>
      <c r="R255" s="1329">
        <v>1.764</v>
      </c>
      <c r="S255" s="1286">
        <f t="shared" si="53"/>
        <v>0.38044144033390143</v>
      </c>
      <c r="T255" s="1391">
        <v>243.71657078847997</v>
      </c>
      <c r="U255" s="1391">
        <v>353.28383950893658</v>
      </c>
      <c r="V255" s="1391">
        <v>22.111349705627564</v>
      </c>
      <c r="W255" s="1391">
        <v>5.2205662029960402</v>
      </c>
      <c r="X255" s="1391">
        <v>5.5203898274516794</v>
      </c>
      <c r="Y255" s="1282">
        <f t="shared" si="54"/>
        <v>6.4550603069282911E-2</v>
      </c>
      <c r="Z255" s="1391">
        <v>0</v>
      </c>
      <c r="AA255" s="1391">
        <v>0</v>
      </c>
      <c r="AB255" s="1391">
        <v>0</v>
      </c>
      <c r="AC255" s="1391">
        <f t="shared" si="55"/>
        <v>2.4540508627648769</v>
      </c>
      <c r="AD255" s="1281">
        <f t="shared" si="56"/>
        <v>0.71149214461431065</v>
      </c>
      <c r="AE255" s="1391">
        <v>5.2992575926340493</v>
      </c>
      <c r="AF255" s="1391">
        <v>5.2197687287445387</v>
      </c>
      <c r="AG255" s="1391">
        <v>5.1414721978133704</v>
      </c>
      <c r="AH255" s="1270"/>
      <c r="AI255" s="1270"/>
      <c r="AJ255" s="1270"/>
      <c r="AK255" s="1270"/>
      <c r="AL255" s="1270"/>
      <c r="AM255" s="1270"/>
      <c r="AN255" s="1270"/>
      <c r="AO255" s="1270"/>
      <c r="AP255" s="1573"/>
      <c r="AQ255" s="1390">
        <f t="shared" si="38"/>
        <v>0</v>
      </c>
      <c r="AR255" s="1612"/>
    </row>
    <row r="256" spans="1:44" ht="21.75" thickBot="1">
      <c r="A256" s="1521">
        <v>254</v>
      </c>
      <c r="B256" s="1622" t="s">
        <v>2507</v>
      </c>
      <c r="C256" s="1292" t="s">
        <v>29</v>
      </c>
      <c r="D256" s="1470">
        <v>54386</v>
      </c>
      <c r="E256" s="1470" t="s">
        <v>2794</v>
      </c>
      <c r="F256" s="1321" t="s">
        <v>2441</v>
      </c>
      <c r="G256" s="1292" t="s">
        <v>2222</v>
      </c>
      <c r="H256" s="1305">
        <v>45900</v>
      </c>
      <c r="I256" s="1292"/>
      <c r="J256" s="1292"/>
      <c r="K256" s="1413">
        <v>45617</v>
      </c>
      <c r="L256" s="1413">
        <v>45617</v>
      </c>
      <c r="M256" s="1413">
        <v>45622</v>
      </c>
      <c r="N256" s="1413">
        <v>45629</v>
      </c>
      <c r="O256" s="1541">
        <v>45643</v>
      </c>
      <c r="P256" s="1270" t="s">
        <v>2557</v>
      </c>
      <c r="Q256" s="1506">
        <v>4.6367188560000008</v>
      </c>
      <c r="R256" s="1444">
        <v>1.7630000000000001</v>
      </c>
      <c r="S256" s="1286">
        <f t="shared" si="53"/>
        <v>0.38022577058314527</v>
      </c>
      <c r="T256" s="1415">
        <v>195.09091748608003</v>
      </c>
      <c r="U256" s="1415">
        <v>302.85267446901764</v>
      </c>
      <c r="V256" s="1415">
        <v>21.138836639579566</v>
      </c>
      <c r="W256" s="1415">
        <v>5.2205662029960402</v>
      </c>
      <c r="X256" s="1415">
        <v>5.4182759555166395</v>
      </c>
      <c r="Y256" s="1282">
        <f t="shared" si="54"/>
        <v>7.234030118436538E-2</v>
      </c>
      <c r="Z256" s="1415">
        <v>0</v>
      </c>
      <c r="AA256" s="1415">
        <v>0</v>
      </c>
      <c r="AB256" s="1415">
        <v>0</v>
      </c>
      <c r="AC256" s="1391">
        <f t="shared" si="55"/>
        <v>1.3900937758127909</v>
      </c>
      <c r="AD256" s="1281">
        <f t="shared" si="56"/>
        <v>0.66763067286553845</v>
      </c>
      <c r="AE256" s="1415">
        <v>4.5427901170352643</v>
      </c>
      <c r="AF256" s="1415">
        <v>4.4746482652797352</v>
      </c>
      <c r="AG256" s="1415">
        <v>4.4075285413005396</v>
      </c>
      <c r="AH256" s="1292"/>
      <c r="AI256" s="1292"/>
      <c r="AJ256" s="1292"/>
      <c r="AK256" s="1292"/>
      <c r="AL256" s="1292"/>
      <c r="AM256" s="1292"/>
      <c r="AN256" s="1292"/>
      <c r="AO256" s="1292"/>
      <c r="AP256" s="1576"/>
      <c r="AQ256" s="1390">
        <f t="shared" si="38"/>
        <v>0</v>
      </c>
      <c r="AR256" s="1617"/>
    </row>
    <row r="257" spans="1:44" ht="21.75" thickBot="1">
      <c r="A257" s="1521">
        <v>255</v>
      </c>
      <c r="B257" s="1700" t="s">
        <v>2507</v>
      </c>
      <c r="C257" s="1260" t="s">
        <v>29</v>
      </c>
      <c r="D257" s="1457">
        <v>54356</v>
      </c>
      <c r="E257" s="1457" t="s">
        <v>2796</v>
      </c>
      <c r="F257" s="1314" t="s">
        <v>2798</v>
      </c>
      <c r="G257" s="1260" t="s">
        <v>2222</v>
      </c>
      <c r="H257" s="1484">
        <v>255852</v>
      </c>
      <c r="I257" s="1260"/>
      <c r="J257" s="1260"/>
      <c r="K257" s="1277">
        <v>45617</v>
      </c>
      <c r="L257" s="1277">
        <v>45617</v>
      </c>
      <c r="M257" s="1277">
        <v>45622</v>
      </c>
      <c r="N257" s="1277">
        <v>45629</v>
      </c>
      <c r="O257" s="1541">
        <v>45643</v>
      </c>
      <c r="P257" s="1270" t="s">
        <v>2557</v>
      </c>
      <c r="Q257" s="1424">
        <v>1.297370844</v>
      </c>
      <c r="R257" s="1327">
        <v>0.68300000000000005</v>
      </c>
      <c r="S257" s="1286">
        <f t="shared" si="53"/>
        <v>0.5264493210701443</v>
      </c>
      <c r="T257" s="1382">
        <v>65.916535473479996</v>
      </c>
      <c r="U257" s="1382">
        <v>91.366826114282844</v>
      </c>
      <c r="V257" s="1382">
        <v>5.4068652873525664</v>
      </c>
      <c r="W257" s="1382"/>
      <c r="X257" s="1382">
        <v>1.3264360575534442</v>
      </c>
      <c r="Y257" s="1282">
        <f t="shared" si="54"/>
        <v>6.0049332126904428E-2</v>
      </c>
      <c r="Z257" s="1382">
        <v>125.920882397315</v>
      </c>
      <c r="AA257" s="1328">
        <v>0</v>
      </c>
      <c r="AB257" s="1382">
        <v>3.6778848000000002</v>
      </c>
      <c r="AC257" s="1391">
        <f t="shared" si="55"/>
        <v>2.3376385194991496</v>
      </c>
      <c r="AD257" s="1281">
        <f t="shared" si="56"/>
        <v>0.73207740917103636</v>
      </c>
      <c r="AE257" s="1382">
        <v>0.91366826114282851</v>
      </c>
      <c r="AF257" s="1382">
        <v>0.90453157853140009</v>
      </c>
      <c r="AG257" s="1382">
        <v>0.89548626274608611</v>
      </c>
      <c r="AH257" s="1559" t="s">
        <v>2775</v>
      </c>
      <c r="AI257" s="1559"/>
      <c r="AJ257" s="1559">
        <v>91</v>
      </c>
      <c r="AK257" s="1559">
        <v>114.93</v>
      </c>
      <c r="AL257" s="1260"/>
      <c r="AM257" s="1559">
        <v>3.68</v>
      </c>
      <c r="AN257" s="1559">
        <v>-0.91</v>
      </c>
      <c r="AO257" s="1559">
        <v>-0.9</v>
      </c>
      <c r="AP257" s="1575">
        <v>-0.89</v>
      </c>
      <c r="AQ257" s="1642">
        <f t="shared" si="38"/>
        <v>2.3282531999999998</v>
      </c>
      <c r="AR257" s="1609"/>
    </row>
    <row r="258" spans="1:44" ht="21.75" thickBot="1">
      <c r="A258" s="1521">
        <v>256</v>
      </c>
      <c r="B258" s="1622" t="s">
        <v>2507</v>
      </c>
      <c r="C258" s="1292" t="s">
        <v>29</v>
      </c>
      <c r="D258" s="1470">
        <v>54356</v>
      </c>
      <c r="E258" s="1470" t="s">
        <v>2797</v>
      </c>
      <c r="F258" s="1321" t="s">
        <v>2799</v>
      </c>
      <c r="G258" s="1292" t="s">
        <v>2222</v>
      </c>
      <c r="H258" s="1447">
        <v>255852</v>
      </c>
      <c r="I258" s="1292"/>
      <c r="J258" s="1292"/>
      <c r="K258" s="1413">
        <v>45617</v>
      </c>
      <c r="L258" s="1413">
        <v>45617</v>
      </c>
      <c r="M258" s="1413">
        <v>45622</v>
      </c>
      <c r="N258" s="1413">
        <v>45629</v>
      </c>
      <c r="O258" s="1543">
        <v>45643</v>
      </c>
      <c r="P258" s="1292" t="s">
        <v>2557</v>
      </c>
      <c r="Q258" s="1506">
        <v>1.297370844</v>
      </c>
      <c r="R258" s="1444">
        <v>0.68100000000000005</v>
      </c>
      <c r="S258" s="1499">
        <f t="shared" si="53"/>
        <v>0.52490774179907507</v>
      </c>
      <c r="T258" s="1415">
        <v>65.844115473479988</v>
      </c>
      <c r="U258" s="1415">
        <v>91.288719332282852</v>
      </c>
      <c r="V258" s="1415">
        <v>5.4054168873525663</v>
      </c>
      <c r="W258" s="1415">
        <v>0</v>
      </c>
      <c r="X258" s="1415">
        <v>1.3262839755534443</v>
      </c>
      <c r="Y258" s="1420">
        <f t="shared" si="54"/>
        <v>6.0085266321641753E-2</v>
      </c>
      <c r="Z258" s="1415">
        <v>125.920882397315</v>
      </c>
      <c r="AA258" s="1445">
        <v>0</v>
      </c>
      <c r="AB258" s="1415">
        <v>3.6778848000000002</v>
      </c>
      <c r="AC258" s="1415">
        <f t="shared" si="55"/>
        <v>2.3356401418603232</v>
      </c>
      <c r="AD258" s="1416">
        <f t="shared" si="56"/>
        <v>0.73190676989109205</v>
      </c>
      <c r="AE258" s="1415">
        <v>0.91288719332282831</v>
      </c>
      <c r="AF258" s="1415">
        <v>0.90375832138959999</v>
      </c>
      <c r="AG258" s="1415">
        <v>0.89472073817570397</v>
      </c>
      <c r="AH258" s="1769" t="s">
        <v>2775</v>
      </c>
      <c r="AI258" s="1769"/>
      <c r="AJ258" s="1769">
        <v>91</v>
      </c>
      <c r="AK258" s="1769">
        <v>114.93</v>
      </c>
      <c r="AL258" s="1292"/>
      <c r="AM258" s="1769">
        <v>3.68</v>
      </c>
      <c r="AN258" s="1769">
        <v>0.91</v>
      </c>
      <c r="AO258" s="1769">
        <v>-0.9</v>
      </c>
      <c r="AP258" s="1575">
        <v>-0.89</v>
      </c>
      <c r="AQ258" s="1642">
        <f t="shared" si="38"/>
        <v>2.3282531999999998</v>
      </c>
      <c r="AR258" s="1617"/>
    </row>
    <row r="259" spans="1:44">
      <c r="A259" s="1521">
        <v>257</v>
      </c>
      <c r="B259" s="1700" t="s">
        <v>2507</v>
      </c>
      <c r="C259" s="1260" t="s">
        <v>29</v>
      </c>
      <c r="D259" s="1457">
        <v>54360</v>
      </c>
      <c r="E259" s="1457" t="s">
        <v>2800</v>
      </c>
      <c r="F259" s="1314" t="s">
        <v>2804</v>
      </c>
      <c r="G259" s="1260" t="s">
        <v>2222</v>
      </c>
      <c r="H259" s="1484">
        <v>186388</v>
      </c>
      <c r="I259" s="1260"/>
      <c r="J259" s="1260"/>
      <c r="K259" s="1277">
        <v>45617</v>
      </c>
      <c r="L259" s="1277">
        <v>45617</v>
      </c>
      <c r="M259" s="1277">
        <v>45622</v>
      </c>
      <c r="N259" s="1277">
        <v>45629</v>
      </c>
      <c r="O259" s="1393">
        <v>45643</v>
      </c>
      <c r="P259" s="1260" t="s">
        <v>2557</v>
      </c>
      <c r="Q259" s="1424">
        <v>0.96103311150000004</v>
      </c>
      <c r="R259" s="1327">
        <v>0.41400000000000003</v>
      </c>
      <c r="S259" s="1480">
        <f t="shared" si="53"/>
        <v>0.43078640584383238</v>
      </c>
      <c r="T259" s="1382">
        <v>52.973401813404983</v>
      </c>
      <c r="U259" s="1382">
        <v>83.038531721726258</v>
      </c>
      <c r="V259" s="1382">
        <v>5.7600478471365673</v>
      </c>
      <c r="W259" s="1382">
        <v>2.4517638848078565</v>
      </c>
      <c r="X259" s="1382">
        <v>1.4770983345662168</v>
      </c>
      <c r="Y259" s="1279">
        <f t="shared" si="54"/>
        <v>7.2810920376368188E-2</v>
      </c>
      <c r="Z259" s="1382">
        <v>84.054715323122508</v>
      </c>
      <c r="AA259" s="1382">
        <v>20.75</v>
      </c>
      <c r="AB259" s="1382">
        <v>6.7664745000000002</v>
      </c>
      <c r="AC259" s="1382">
        <f t="shared" si="55"/>
        <v>1.5477385850549112</v>
      </c>
      <c r="AD259" s="1278">
        <f t="shared" si="56"/>
        <v>0.66961980939422228</v>
      </c>
      <c r="AE259" s="1382">
        <v>0.8303853172172625</v>
      </c>
      <c r="AF259" s="1382">
        <v>0.82208146404508986</v>
      </c>
      <c r="AG259" s="1382">
        <v>0.81386064940463898</v>
      </c>
      <c r="AH259" s="1260"/>
      <c r="AI259" s="1260"/>
      <c r="AJ259" s="1260"/>
      <c r="AK259" s="1260"/>
      <c r="AL259" s="1260"/>
      <c r="AM259" s="1260"/>
      <c r="AN259" s="1260"/>
      <c r="AO259" s="1260"/>
      <c r="AP259" s="1570"/>
      <c r="AQ259" s="1390">
        <f t="shared" si="38"/>
        <v>0</v>
      </c>
      <c r="AR259" s="1609"/>
    </row>
    <row r="260" spans="1:44">
      <c r="A260" s="1521">
        <v>258</v>
      </c>
      <c r="B260" s="1515" t="s">
        <v>2507</v>
      </c>
      <c r="C260" s="1270" t="s">
        <v>29</v>
      </c>
      <c r="D260" s="1448">
        <v>54360</v>
      </c>
      <c r="E260" s="1448" t="s">
        <v>2801</v>
      </c>
      <c r="F260" s="1315" t="s">
        <v>2804</v>
      </c>
      <c r="G260" s="1270" t="s">
        <v>2222</v>
      </c>
      <c r="H260" s="1300">
        <v>69464</v>
      </c>
      <c r="I260" s="1270"/>
      <c r="J260" s="1270"/>
      <c r="K260" s="1280">
        <v>45617</v>
      </c>
      <c r="L260" s="1280">
        <v>45617</v>
      </c>
      <c r="M260" s="1280">
        <v>45622</v>
      </c>
      <c r="N260" s="1280">
        <v>45629</v>
      </c>
      <c r="O260" s="1526">
        <v>45643</v>
      </c>
      <c r="P260" s="1270" t="s">
        <v>2557</v>
      </c>
      <c r="Q260" s="1379">
        <v>0.96103311150000004</v>
      </c>
      <c r="R260" s="1329">
        <v>0.41400000000000003</v>
      </c>
      <c r="S260" s="1286">
        <f t="shared" si="53"/>
        <v>0.43078640584383238</v>
      </c>
      <c r="T260" s="1391">
        <v>62.648553894999985</v>
      </c>
      <c r="U260" s="1391">
        <v>93.072631945548409</v>
      </c>
      <c r="V260" s="1391">
        <v>5.9535508887684676</v>
      </c>
      <c r="W260" s="1391">
        <v>2.4517638848078565</v>
      </c>
      <c r="X260" s="1391">
        <v>1.4974161539375663</v>
      </c>
      <c r="Y260" s="1282">
        <f t="shared" si="54"/>
        <v>6.6801170302448976E-2</v>
      </c>
      <c r="Z260" s="1391">
        <v>0</v>
      </c>
      <c r="AA260" s="1391"/>
      <c r="AB260" s="1391"/>
      <c r="AC260" s="1391">
        <f t="shared" si="55"/>
        <v>0.64651973054655743</v>
      </c>
      <c r="AD260" s="1281">
        <f t="shared" si="56"/>
        <v>0.70294128598735173</v>
      </c>
      <c r="AE260" s="1391">
        <v>0.93072631945548412</v>
      </c>
      <c r="AF260" s="1391">
        <v>0.92141905626092924</v>
      </c>
      <c r="AG260" s="1391">
        <v>0.91220486569831993</v>
      </c>
      <c r="AH260" s="1270"/>
      <c r="AI260" s="1270"/>
      <c r="AJ260" s="1270"/>
      <c r="AK260" s="1270"/>
      <c r="AL260" s="1270"/>
      <c r="AM260" s="1270"/>
      <c r="AN260" s="1270"/>
      <c r="AO260" s="1270"/>
      <c r="AP260" s="1573"/>
      <c r="AQ260" s="1390">
        <f t="shared" ref="AQ260:AQ321" si="57">AJ260*H260/10^7</f>
        <v>0</v>
      </c>
      <c r="AR260" s="1612"/>
    </row>
    <row r="261" spans="1:44">
      <c r="A261" s="1521">
        <v>259</v>
      </c>
      <c r="B261" s="1515" t="s">
        <v>2507</v>
      </c>
      <c r="C261" s="1270" t="s">
        <v>29</v>
      </c>
      <c r="D261" s="1448">
        <v>54360</v>
      </c>
      <c r="E261" s="1448" t="s">
        <v>2802</v>
      </c>
      <c r="F261" s="1315" t="s">
        <v>2805</v>
      </c>
      <c r="G261" s="1270" t="s">
        <v>2222</v>
      </c>
      <c r="H261" s="1446">
        <v>186388</v>
      </c>
      <c r="I261" s="1270"/>
      <c r="J261" s="1270"/>
      <c r="K261" s="1280">
        <v>45617</v>
      </c>
      <c r="L261" s="1280">
        <v>45617</v>
      </c>
      <c r="M261" s="1280">
        <v>45622</v>
      </c>
      <c r="N261" s="1280">
        <v>45629</v>
      </c>
      <c r="O261" s="1526">
        <v>45643</v>
      </c>
      <c r="P261" s="1270" t="s">
        <v>2557</v>
      </c>
      <c r="Q261" s="1379">
        <v>0.96103311150000004</v>
      </c>
      <c r="R261" s="1329">
        <v>0.41400000000000003</v>
      </c>
      <c r="S261" s="1286">
        <f t="shared" si="53"/>
        <v>0.43078640584383238</v>
      </c>
      <c r="T261" s="1391">
        <v>52.973401813404983</v>
      </c>
      <c r="U261" s="1391">
        <v>83.038531721726258</v>
      </c>
      <c r="V261" s="1391">
        <v>5.7600478471365673</v>
      </c>
      <c r="W261" s="1391">
        <v>2.4517638848078565</v>
      </c>
      <c r="X261" s="1391">
        <v>1.4770983345662168</v>
      </c>
      <c r="Y261" s="1282">
        <f t="shared" si="54"/>
        <v>7.2810920376368188E-2</v>
      </c>
      <c r="Z261" s="1391">
        <v>78.564196569362508</v>
      </c>
      <c r="AA261" s="1391">
        <v>20.75</v>
      </c>
      <c r="AB261" s="1391">
        <v>6.7664745000000002</v>
      </c>
      <c r="AC261" s="1391">
        <f t="shared" si="55"/>
        <v>1.5477385850549112</v>
      </c>
      <c r="AD261" s="1281">
        <f t="shared" si="56"/>
        <v>0.66961980939422228</v>
      </c>
      <c r="AE261" s="1391">
        <v>0.8303853172172625</v>
      </c>
      <c r="AF261" s="1391">
        <v>0.82208146404508986</v>
      </c>
      <c r="AG261" s="1391">
        <v>0.81386064940463898</v>
      </c>
      <c r="AH261" s="1270"/>
      <c r="AI261" s="1270"/>
      <c r="AJ261" s="1270"/>
      <c r="AK261" s="1270"/>
      <c r="AL261" s="1270"/>
      <c r="AM261" s="1270"/>
      <c r="AN261" s="1270"/>
      <c r="AO261" s="1270"/>
      <c r="AP261" s="1573"/>
      <c r="AQ261" s="1390">
        <f t="shared" si="57"/>
        <v>0</v>
      </c>
      <c r="AR261" s="1612"/>
    </row>
    <row r="262" spans="1:44" ht="21.75" thickBot="1">
      <c r="A262" s="1521">
        <v>260</v>
      </c>
      <c r="B262" s="1513" t="s">
        <v>2507</v>
      </c>
      <c r="C262" s="1263" t="s">
        <v>29</v>
      </c>
      <c r="D262" s="1458">
        <v>54360</v>
      </c>
      <c r="E262" s="1458" t="s">
        <v>2803</v>
      </c>
      <c r="F262" s="1316" t="s">
        <v>2805</v>
      </c>
      <c r="G262" s="1263" t="s">
        <v>2222</v>
      </c>
      <c r="H262" s="1512">
        <v>69464</v>
      </c>
      <c r="I262" s="1263"/>
      <c r="J262" s="1263"/>
      <c r="K262" s="1283">
        <v>45617</v>
      </c>
      <c r="L262" s="1283">
        <v>45617</v>
      </c>
      <c r="M262" s="1283">
        <v>45622</v>
      </c>
      <c r="N262" s="1283">
        <v>45629</v>
      </c>
      <c r="O262" s="1404">
        <v>45643</v>
      </c>
      <c r="P262" s="1263" t="s">
        <v>2557</v>
      </c>
      <c r="Q262" s="1426">
        <v>0.96103311150000004</v>
      </c>
      <c r="R262" s="1331">
        <v>0.41400000000000003</v>
      </c>
      <c r="S262" s="1455">
        <f t="shared" si="53"/>
        <v>0.43078640584383238</v>
      </c>
      <c r="T262" s="1384">
        <v>62.648553894999985</v>
      </c>
      <c r="U262" s="1384">
        <v>93.072631945548409</v>
      </c>
      <c r="V262" s="1384">
        <v>5.9535508887684676</v>
      </c>
      <c r="W262" s="1384">
        <v>2.4517638848078565</v>
      </c>
      <c r="X262" s="1384">
        <v>1.4974161539375663</v>
      </c>
      <c r="Y262" s="1285">
        <f t="shared" si="54"/>
        <v>6.6801170302448976E-2</v>
      </c>
      <c r="Z262" s="1384">
        <v>0</v>
      </c>
      <c r="AA262" s="1384"/>
      <c r="AB262" s="1384"/>
      <c r="AC262" s="1384">
        <f t="shared" si="55"/>
        <v>0.64651973054655743</v>
      </c>
      <c r="AD262" s="1284">
        <f t="shared" si="56"/>
        <v>0.70294128598735173</v>
      </c>
      <c r="AE262" s="1384">
        <v>0.93072631945548412</v>
      </c>
      <c r="AF262" s="1384">
        <v>0.92141905626092924</v>
      </c>
      <c r="AG262" s="1384">
        <v>0.91220486569831993</v>
      </c>
      <c r="AH262" s="1263"/>
      <c r="AI262" s="1263"/>
      <c r="AJ262" s="1263"/>
      <c r="AK262" s="1263"/>
      <c r="AL262" s="1263"/>
      <c r="AM262" s="1263"/>
      <c r="AN262" s="1263"/>
      <c r="AO262" s="1263"/>
      <c r="AP262" s="1571"/>
      <c r="AQ262" s="1390">
        <f t="shared" si="57"/>
        <v>0</v>
      </c>
      <c r="AR262" s="1610"/>
    </row>
    <row r="263" spans="1:44">
      <c r="A263" s="1521">
        <v>261</v>
      </c>
      <c r="B263" s="1519" t="s">
        <v>2507</v>
      </c>
      <c r="C263" s="1317" t="s">
        <v>29</v>
      </c>
      <c r="D263" s="1469">
        <v>54374</v>
      </c>
      <c r="E263" s="1469" t="s">
        <v>2806</v>
      </c>
      <c r="F263" s="1318" t="s">
        <v>2810</v>
      </c>
      <c r="G263" s="1317" t="s">
        <v>2222</v>
      </c>
      <c r="H263" s="1449">
        <v>186388</v>
      </c>
      <c r="I263" s="1317"/>
      <c r="J263" s="1317"/>
      <c r="K263" s="1325">
        <v>45617</v>
      </c>
      <c r="L263" s="1325">
        <v>45617</v>
      </c>
      <c r="M263" s="1325">
        <v>45622</v>
      </c>
      <c r="N263" s="1325">
        <v>45629</v>
      </c>
      <c r="O263" s="1541">
        <v>45646</v>
      </c>
      <c r="P263" s="1270" t="s">
        <v>2557</v>
      </c>
      <c r="Q263" s="1500">
        <v>1.3263521039999999</v>
      </c>
      <c r="R263" s="1337">
        <v>0.73599999999999999</v>
      </c>
      <c r="S263" s="1286">
        <f t="shared" si="53"/>
        <v>0.55490544160964372</v>
      </c>
      <c r="T263" s="1437">
        <v>62.618143820479993</v>
      </c>
      <c r="U263" s="1437">
        <v>125.70671611374559</v>
      </c>
      <c r="V263" s="1437">
        <v>12.230865116925226</v>
      </c>
      <c r="W263" s="1437">
        <v>2.4517638848078565</v>
      </c>
      <c r="X263" s="1437">
        <v>3.3215371816242634</v>
      </c>
      <c r="Y263" s="1282">
        <f t="shared" si="54"/>
        <v>0.10198046234321084</v>
      </c>
      <c r="Z263" s="1437">
        <v>132.15964946623501</v>
      </c>
      <c r="AA263" s="1437">
        <v>21.25</v>
      </c>
      <c r="AB263" s="1437">
        <v>8.9599721999999993</v>
      </c>
      <c r="AC263" s="1391">
        <f t="shared" si="55"/>
        <v>2.3430223403008812</v>
      </c>
      <c r="AD263" s="1281">
        <f t="shared" si="56"/>
        <v>0.52210756940238279</v>
      </c>
      <c r="AE263" s="1437">
        <v>2.1998675319905483</v>
      </c>
      <c r="AF263" s="1437">
        <v>2.1613698501807135</v>
      </c>
      <c r="AG263" s="1437">
        <v>2.1235458778025511</v>
      </c>
      <c r="AH263" s="1317"/>
      <c r="AI263" s="1317"/>
      <c r="AJ263" s="1317"/>
      <c r="AK263" s="1317"/>
      <c r="AL263" s="1317"/>
      <c r="AM263" s="1317"/>
      <c r="AN263" s="1317"/>
      <c r="AO263" s="1317"/>
      <c r="AP263" s="1579"/>
      <c r="AQ263" s="1390">
        <f t="shared" si="57"/>
        <v>0</v>
      </c>
      <c r="AR263" s="1616"/>
    </row>
    <row r="264" spans="1:44">
      <c r="A264" s="1521">
        <v>262</v>
      </c>
      <c r="B264" s="1515" t="s">
        <v>2507</v>
      </c>
      <c r="C264" s="1270" t="s">
        <v>29</v>
      </c>
      <c r="D264" s="1448">
        <v>54374</v>
      </c>
      <c r="E264" s="1448" t="s">
        <v>2807</v>
      </c>
      <c r="F264" s="1315" t="s">
        <v>2810</v>
      </c>
      <c r="G264" s="1270" t="s">
        <v>2222</v>
      </c>
      <c r="H264" s="1300">
        <v>69464</v>
      </c>
      <c r="I264" s="1270"/>
      <c r="J264" s="1270"/>
      <c r="K264" s="1280">
        <v>45617</v>
      </c>
      <c r="L264" s="1280">
        <v>45617</v>
      </c>
      <c r="M264" s="1280">
        <v>45622</v>
      </c>
      <c r="N264" s="1280">
        <v>45629</v>
      </c>
      <c r="O264" s="1541">
        <v>45646</v>
      </c>
      <c r="P264" s="1270" t="s">
        <v>2557</v>
      </c>
      <c r="Q264" s="1379">
        <v>1.3263521039999999</v>
      </c>
      <c r="R264" s="1329">
        <v>0.73599999999999999</v>
      </c>
      <c r="S264" s="1286">
        <f t="shared" si="53"/>
        <v>0.55490544160964372</v>
      </c>
      <c r="T264" s="1391">
        <v>74.525454990080007</v>
      </c>
      <c r="U264" s="1391">
        <v>138.0557885277378</v>
      </c>
      <c r="V264" s="1391">
        <v>12.469011340317227</v>
      </c>
      <c r="W264" s="1391">
        <v>2.4517638848078565</v>
      </c>
      <c r="X264" s="1391">
        <v>3.3465425350804225</v>
      </c>
      <c r="Y264" s="1282">
        <f t="shared" si="54"/>
        <v>9.4278305783481939E-2</v>
      </c>
      <c r="Z264" s="1391">
        <v>0</v>
      </c>
      <c r="AA264" s="1391">
        <v>0</v>
      </c>
      <c r="AB264" s="1391">
        <v>0</v>
      </c>
      <c r="AC264" s="1391">
        <f t="shared" si="55"/>
        <v>0.95899072942907793</v>
      </c>
      <c r="AD264" s="1281">
        <f t="shared" si="56"/>
        <v>0.56348762884589121</v>
      </c>
      <c r="AE264" s="1391">
        <v>2.4159762992354112</v>
      </c>
      <c r="AF264" s="1391">
        <v>2.3736967139987915</v>
      </c>
      <c r="AG264" s="1391">
        <v>2.332157021503813</v>
      </c>
      <c r="AH264" s="1270"/>
      <c r="AI264" s="1270"/>
      <c r="AJ264" s="1270"/>
      <c r="AK264" s="1270"/>
      <c r="AL264" s="1270"/>
      <c r="AM264" s="1270"/>
      <c r="AN264" s="1270"/>
      <c r="AO264" s="1270"/>
      <c r="AP264" s="1573"/>
      <c r="AQ264" s="1390">
        <f t="shared" si="57"/>
        <v>0</v>
      </c>
      <c r="AR264" s="1612"/>
    </row>
    <row r="265" spans="1:44">
      <c r="A265" s="1521">
        <v>263</v>
      </c>
      <c r="B265" s="1515" t="s">
        <v>2507</v>
      </c>
      <c r="C265" s="1270" t="s">
        <v>29</v>
      </c>
      <c r="D265" s="1448">
        <v>54374</v>
      </c>
      <c r="E265" s="1448" t="s">
        <v>2809</v>
      </c>
      <c r="F265" s="1315" t="s">
        <v>2811</v>
      </c>
      <c r="G265" s="1270" t="s">
        <v>2222</v>
      </c>
      <c r="H265" s="1446">
        <v>186388</v>
      </c>
      <c r="I265" s="1270"/>
      <c r="J265" s="1270"/>
      <c r="K265" s="1280">
        <v>45617</v>
      </c>
      <c r="L265" s="1280">
        <v>45617</v>
      </c>
      <c r="M265" s="1280">
        <v>45622</v>
      </c>
      <c r="N265" s="1280">
        <v>45629</v>
      </c>
      <c r="O265" s="1541">
        <v>45646</v>
      </c>
      <c r="P265" s="1270" t="s">
        <v>2557</v>
      </c>
      <c r="Q265" s="1379">
        <v>1.3263521039999999</v>
      </c>
      <c r="R265" s="1329">
        <v>0.73599999999999999</v>
      </c>
      <c r="S265" s="1286">
        <f t="shared" si="53"/>
        <v>0.55490544160964372</v>
      </c>
      <c r="T265" s="1391">
        <v>62.618143820479993</v>
      </c>
      <c r="U265" s="1391">
        <v>125.70671611374559</v>
      </c>
      <c r="V265" s="1391">
        <v>12.230865116925226</v>
      </c>
      <c r="W265" s="1391">
        <v>2.4517638848078565</v>
      </c>
      <c r="X265" s="1391">
        <v>3.3215371816242634</v>
      </c>
      <c r="Y265" s="1282">
        <f t="shared" si="54"/>
        <v>0.10198046234321084</v>
      </c>
      <c r="Z265" s="1391">
        <v>129.969259972635</v>
      </c>
      <c r="AA265" s="1391">
        <v>21.25</v>
      </c>
      <c r="AB265" s="1391">
        <v>8.9599721999999993</v>
      </c>
      <c r="AC265" s="1391">
        <f t="shared" si="55"/>
        <v>2.3430223403008812</v>
      </c>
      <c r="AD265" s="1281">
        <f t="shared" si="56"/>
        <v>0.52210756940238279</v>
      </c>
      <c r="AE265" s="1391">
        <v>2.1998675319905483</v>
      </c>
      <c r="AF265" s="1391">
        <v>2.1613698501807135</v>
      </c>
      <c r="AG265" s="1391">
        <v>2.1235458778025511</v>
      </c>
      <c r="AH265" s="1270"/>
      <c r="AI265" s="1270"/>
      <c r="AJ265" s="1270"/>
      <c r="AK265" s="1270"/>
      <c r="AL265" s="1270"/>
      <c r="AM265" s="1270"/>
      <c r="AN265" s="1270"/>
      <c r="AO265" s="1270"/>
      <c r="AP265" s="1573"/>
      <c r="AQ265" s="1390">
        <f t="shared" si="57"/>
        <v>0</v>
      </c>
      <c r="AR265" s="1612"/>
    </row>
    <row r="266" spans="1:44" ht="21.75" thickBot="1">
      <c r="A266" s="1521">
        <v>264</v>
      </c>
      <c r="B266" s="1622" t="s">
        <v>2507</v>
      </c>
      <c r="C266" s="1292" t="s">
        <v>29</v>
      </c>
      <c r="D266" s="1470">
        <v>54374</v>
      </c>
      <c r="E266" s="1470" t="s">
        <v>2808</v>
      </c>
      <c r="F266" s="1321" t="s">
        <v>2811</v>
      </c>
      <c r="G266" s="1292" t="s">
        <v>2222</v>
      </c>
      <c r="H266" s="1305">
        <v>69464</v>
      </c>
      <c r="I266" s="1292"/>
      <c r="J266" s="1292"/>
      <c r="K266" s="1413">
        <v>45617</v>
      </c>
      <c r="L266" s="1413">
        <v>45617</v>
      </c>
      <c r="M266" s="1413">
        <v>45622</v>
      </c>
      <c r="N266" s="1413">
        <v>45629</v>
      </c>
      <c r="O266" s="1541">
        <v>45646</v>
      </c>
      <c r="P266" s="1270" t="s">
        <v>2557</v>
      </c>
      <c r="Q266" s="1506">
        <v>1.3263521039999999</v>
      </c>
      <c r="R266" s="1444">
        <v>0.73599999999999999</v>
      </c>
      <c r="S266" s="1286">
        <f t="shared" si="53"/>
        <v>0.55490544160964372</v>
      </c>
      <c r="T266" s="1415">
        <v>74.525454990080007</v>
      </c>
      <c r="U266" s="1415">
        <v>138.0557885277378</v>
      </c>
      <c r="V266" s="1415">
        <v>12.469011340317227</v>
      </c>
      <c r="W266" s="1415">
        <v>2.4517638848078565</v>
      </c>
      <c r="X266" s="1415">
        <v>3.3465425350804225</v>
      </c>
      <c r="Y266" s="1282">
        <f t="shared" si="54"/>
        <v>9.4278305783481939E-2</v>
      </c>
      <c r="Z266" s="1415">
        <v>0</v>
      </c>
      <c r="AA266" s="1415">
        <v>0</v>
      </c>
      <c r="AB266" s="1415">
        <v>0</v>
      </c>
      <c r="AC266" s="1391">
        <f t="shared" si="55"/>
        <v>0.95899072942907793</v>
      </c>
      <c r="AD266" s="1281">
        <f t="shared" si="56"/>
        <v>0.56348762884589121</v>
      </c>
      <c r="AE266" s="1415">
        <v>2.4159762992354112</v>
      </c>
      <c r="AF266" s="1415">
        <v>2.3736967139987915</v>
      </c>
      <c r="AG266" s="1415">
        <v>2.332157021503813</v>
      </c>
      <c r="AH266" s="1292"/>
      <c r="AI266" s="1292"/>
      <c r="AJ266" s="1292"/>
      <c r="AK266" s="1292"/>
      <c r="AL266" s="1292"/>
      <c r="AM266" s="1292"/>
      <c r="AN266" s="1292"/>
      <c r="AO266" s="1292"/>
      <c r="AP266" s="1576"/>
      <c r="AQ266" s="1390">
        <f t="shared" si="57"/>
        <v>0</v>
      </c>
      <c r="AR266" s="1617"/>
    </row>
    <row r="267" spans="1:44">
      <c r="A267" s="1521">
        <v>265</v>
      </c>
      <c r="B267" s="1700" t="s">
        <v>2507</v>
      </c>
      <c r="C267" s="1260" t="s">
        <v>29</v>
      </c>
      <c r="D267" s="1457">
        <v>54364</v>
      </c>
      <c r="E267" s="1457" t="s">
        <v>2812</v>
      </c>
      <c r="F267" s="1314" t="s">
        <v>2816</v>
      </c>
      <c r="G267" s="1260" t="s">
        <v>2222</v>
      </c>
      <c r="H267" s="1484">
        <v>227589</v>
      </c>
      <c r="I267" s="1260"/>
      <c r="J267" s="1260"/>
      <c r="K267" s="1277">
        <v>45617</v>
      </c>
      <c r="L267" s="1277">
        <v>45617</v>
      </c>
      <c r="M267" s="1277">
        <v>45622</v>
      </c>
      <c r="N267" s="1277">
        <v>45629</v>
      </c>
      <c r="O267" s="1393">
        <v>45646</v>
      </c>
      <c r="P267" s="1260" t="s">
        <v>2557</v>
      </c>
      <c r="Q267" s="1424">
        <v>4.6034178960000007</v>
      </c>
      <c r="R267" s="1327">
        <v>3.3330000000000002</v>
      </c>
      <c r="S267" s="1480">
        <f t="shared" ref="S267:S272" si="58">R267/Q267</f>
        <v>0.72402725003439483</v>
      </c>
      <c r="T267" s="1382">
        <v>257.50010747008002</v>
      </c>
      <c r="U267" s="1382">
        <v>334.27279171840746</v>
      </c>
      <c r="V267" s="1382">
        <v>16.806216407776976</v>
      </c>
      <c r="W267" s="1382"/>
      <c r="X267" s="1382">
        <v>3.9277130544779562</v>
      </c>
      <c r="Y267" s="1279">
        <f t="shared" ref="Y267:Y272" si="59">V267/(U267-W267-X267)</f>
        <v>5.0874729164270285E-2</v>
      </c>
      <c r="Z267" s="1382">
        <v>409.81807208959998</v>
      </c>
      <c r="AA267" s="1328">
        <v>0</v>
      </c>
      <c r="AB267" s="1382">
        <v>55.944864899999985</v>
      </c>
      <c r="AC267" s="1382">
        <f t="shared" ref="AC267:AC272" si="60">U267*H267/10^7</f>
        <v>7.607681039440064</v>
      </c>
      <c r="AD267" s="1278">
        <f t="shared" ref="AD267:AD272" si="61">T267/(U267-W267-X267)</f>
        <v>0.77948825062426019</v>
      </c>
      <c r="AE267" s="1382">
        <v>3.3427279171840745</v>
      </c>
      <c r="AF267" s="1382">
        <v>3.3093006380122341</v>
      </c>
      <c r="AG267" s="1382">
        <v>3.2762076316321118</v>
      </c>
      <c r="AH267" s="1260"/>
      <c r="AI267" s="1260"/>
      <c r="AJ267" s="1260"/>
      <c r="AK267" s="1260"/>
      <c r="AL267" s="1260"/>
      <c r="AM267" s="1260"/>
      <c r="AN267" s="1260"/>
      <c r="AO267" s="1260"/>
      <c r="AP267" s="1570"/>
      <c r="AQ267" s="1390">
        <f t="shared" si="57"/>
        <v>0</v>
      </c>
      <c r="AR267" s="1609"/>
    </row>
    <row r="268" spans="1:44">
      <c r="A268" s="1521">
        <v>266</v>
      </c>
      <c r="B268" s="1515" t="s">
        <v>2507</v>
      </c>
      <c r="C268" s="1270" t="s">
        <v>29</v>
      </c>
      <c r="D268" s="1448">
        <v>54364</v>
      </c>
      <c r="E268" s="1448" t="s">
        <v>2814</v>
      </c>
      <c r="F268" s="1315" t="s">
        <v>2816</v>
      </c>
      <c r="G268" s="1270" t="s">
        <v>2222</v>
      </c>
      <c r="H268" s="1300">
        <v>20562</v>
      </c>
      <c r="I268" s="1270"/>
      <c r="J268" s="1270"/>
      <c r="K268" s="1280">
        <v>45617</v>
      </c>
      <c r="L268" s="1280">
        <v>45617</v>
      </c>
      <c r="M268" s="1280">
        <v>45622</v>
      </c>
      <c r="N268" s="1280">
        <v>45629</v>
      </c>
      <c r="O268" s="1526">
        <v>45646</v>
      </c>
      <c r="P268" s="1270" t="s">
        <v>2557</v>
      </c>
      <c r="Q268" s="1379">
        <v>4.6034178960000007</v>
      </c>
      <c r="R268" s="1329">
        <v>3.3370000000000002</v>
      </c>
      <c r="S268" s="1286">
        <f t="shared" si="58"/>
        <v>0.72489616962639525</v>
      </c>
      <c r="T268" s="1391">
        <v>314.26698759087998</v>
      </c>
      <c r="U268" s="1391">
        <v>393.15172309168906</v>
      </c>
      <c r="V268" s="1391">
        <v>17.941554010192977</v>
      </c>
      <c r="W268" s="1391">
        <v>0</v>
      </c>
      <c r="X268" s="1391">
        <v>4.0469235027316373</v>
      </c>
      <c r="Y268" s="1282">
        <f t="shared" si="59"/>
        <v>4.6109824471828875E-2</v>
      </c>
      <c r="Z268" s="1391">
        <v>0</v>
      </c>
      <c r="AA268" s="1330">
        <v>0</v>
      </c>
      <c r="AB268" s="1391">
        <v>0</v>
      </c>
      <c r="AC268" s="1391">
        <f>U268*H268/10^7</f>
        <v>0.80839857302113105</v>
      </c>
      <c r="AD268" s="1281">
        <f t="shared" si="61"/>
        <v>0.80766669525244972</v>
      </c>
      <c r="AE268" s="1391">
        <v>3.9315172309168909</v>
      </c>
      <c r="AF268" s="1391">
        <v>3.8922020586077219</v>
      </c>
      <c r="AG268" s="1391">
        <v>3.8532800380216448</v>
      </c>
      <c r="AH268" s="1270"/>
      <c r="AI268" s="1270"/>
      <c r="AJ268" s="1270"/>
      <c r="AK268" s="1270"/>
      <c r="AL268" s="1270"/>
      <c r="AM268" s="1270"/>
      <c r="AN268" s="1270"/>
      <c r="AO268" s="1270"/>
      <c r="AP268" s="1573"/>
      <c r="AQ268" s="1390">
        <f t="shared" si="57"/>
        <v>0</v>
      </c>
      <c r="AR268" s="1612"/>
    </row>
    <row r="269" spans="1:44">
      <c r="A269" s="1521">
        <v>267</v>
      </c>
      <c r="B269" s="1515" t="s">
        <v>2507</v>
      </c>
      <c r="C269" s="1270" t="s">
        <v>29</v>
      </c>
      <c r="D269" s="1448">
        <v>54364</v>
      </c>
      <c r="E269" s="1448" t="s">
        <v>2813</v>
      </c>
      <c r="F269" s="1315" t="s">
        <v>2816</v>
      </c>
      <c r="G269" s="1270" t="s">
        <v>2222</v>
      </c>
      <c r="H269" s="1300">
        <v>49519</v>
      </c>
      <c r="I269" s="1270"/>
      <c r="J269" s="1270"/>
      <c r="K269" s="1280">
        <v>45617</v>
      </c>
      <c r="L269" s="1280">
        <v>45617</v>
      </c>
      <c r="M269" s="1280">
        <v>45622</v>
      </c>
      <c r="N269" s="1280">
        <v>45629</v>
      </c>
      <c r="O269" s="1526">
        <v>45646</v>
      </c>
      <c r="P269" s="1270" t="s">
        <v>2557</v>
      </c>
      <c r="Q269" s="1379">
        <v>4.6034178960000007</v>
      </c>
      <c r="R269" s="1329">
        <v>3.3319999999999999</v>
      </c>
      <c r="S269" s="1286">
        <f t="shared" si="58"/>
        <v>0.72381002013639462</v>
      </c>
      <c r="T269" s="1391">
        <v>314.08593759087995</v>
      </c>
      <c r="U269" s="1391">
        <v>392.95645613668904</v>
      </c>
      <c r="V269" s="1391">
        <v>17.937933010192975</v>
      </c>
      <c r="W269" s="1391">
        <v>0</v>
      </c>
      <c r="X269" s="1391">
        <v>4.0465432977316356</v>
      </c>
      <c r="Y269" s="1282">
        <f t="shared" si="59"/>
        <v>4.6123619938741041E-2</v>
      </c>
      <c r="Z269" s="1391">
        <v>0</v>
      </c>
      <c r="AA269" s="1330"/>
      <c r="AB269" s="1391"/>
      <c r="AC269" s="1391">
        <f t="shared" si="60"/>
        <v>1.9458810751432705</v>
      </c>
      <c r="AD269" s="1281">
        <f t="shared" si="61"/>
        <v>0.80760589334975097</v>
      </c>
      <c r="AE269" s="1391">
        <v>3.9295645613668904</v>
      </c>
      <c r="AF269" s="1391">
        <v>3.890268915753222</v>
      </c>
      <c r="AG269" s="1391">
        <v>3.8513662265956898</v>
      </c>
      <c r="AH269" s="1270"/>
      <c r="AI269" s="1270"/>
      <c r="AJ269" s="1270"/>
      <c r="AK269" s="1270"/>
      <c r="AL269" s="1270"/>
      <c r="AM269" s="1270"/>
      <c r="AN269" s="1270"/>
      <c r="AO269" s="1270"/>
      <c r="AP269" s="1573"/>
      <c r="AQ269" s="1390">
        <f t="shared" si="57"/>
        <v>0</v>
      </c>
      <c r="AR269" s="1612"/>
    </row>
    <row r="270" spans="1:44">
      <c r="A270" s="1521">
        <v>268</v>
      </c>
      <c r="B270" s="1515" t="s">
        <v>2507</v>
      </c>
      <c r="C270" s="1270" t="s">
        <v>29</v>
      </c>
      <c r="D270" s="1448">
        <v>54364</v>
      </c>
      <c r="E270" s="1448" t="s">
        <v>2815</v>
      </c>
      <c r="F270" s="1315" t="s">
        <v>2817</v>
      </c>
      <c r="G270" s="1270" t="s">
        <v>2222</v>
      </c>
      <c r="H270" s="1446">
        <v>188291</v>
      </c>
      <c r="I270" s="1270"/>
      <c r="J270" s="1270"/>
      <c r="K270" s="1280">
        <v>45617</v>
      </c>
      <c r="L270" s="1280">
        <v>45617</v>
      </c>
      <c r="M270" s="1280">
        <v>45622</v>
      </c>
      <c r="N270" s="1280">
        <v>45629</v>
      </c>
      <c r="O270" s="1526">
        <v>45646</v>
      </c>
      <c r="P270" s="1270" t="s">
        <v>2557</v>
      </c>
      <c r="Q270" s="1379">
        <v>4.5575772395999996</v>
      </c>
      <c r="R270" s="1329">
        <v>3.331</v>
      </c>
      <c r="S270" s="1286">
        <f t="shared" si="58"/>
        <v>0.73087077297506176</v>
      </c>
      <c r="T270" s="1391">
        <v>256.03046426300796</v>
      </c>
      <c r="U270" s="1391">
        <v>332.92529474835294</v>
      </c>
      <c r="V270" s="1391">
        <v>16.811823543635537</v>
      </c>
      <c r="W270" s="1391">
        <v>0</v>
      </c>
      <c r="X270" s="1391">
        <v>3.9347968037431045</v>
      </c>
      <c r="Y270" s="1282">
        <f t="shared" si="59"/>
        <v>5.1101243496905015E-2</v>
      </c>
      <c r="Z270" s="1391">
        <v>251.53070857600002</v>
      </c>
      <c r="AA270" s="1330">
        <v>0</v>
      </c>
      <c r="AB270" s="1391">
        <v>0</v>
      </c>
      <c r="AC270" s="1391">
        <f t="shared" si="60"/>
        <v>6.2686836673462123</v>
      </c>
      <c r="AD270" s="1281">
        <f t="shared" si="61"/>
        <v>0.77823057462928391</v>
      </c>
      <c r="AE270" s="1391">
        <v>3.3292529474835302</v>
      </c>
      <c r="AF270" s="1391">
        <v>3.2959604180086943</v>
      </c>
      <c r="AG270" s="1391">
        <v>3.2630008138286075</v>
      </c>
      <c r="AH270" s="1270"/>
      <c r="AI270" s="1270"/>
      <c r="AJ270" s="1270"/>
      <c r="AK270" s="1270"/>
      <c r="AL270" s="1270"/>
      <c r="AM270" s="1270"/>
      <c r="AN270" s="1270"/>
      <c r="AO270" s="1270"/>
      <c r="AP270" s="1573"/>
      <c r="AQ270" s="1390">
        <f t="shared" si="57"/>
        <v>0</v>
      </c>
      <c r="AR270" s="1612"/>
    </row>
    <row r="271" spans="1:44">
      <c r="A271" s="1521">
        <v>269</v>
      </c>
      <c r="B271" s="1515" t="s">
        <v>2507</v>
      </c>
      <c r="C271" s="1270" t="s">
        <v>29</v>
      </c>
      <c r="D271" s="1448">
        <v>54364</v>
      </c>
      <c r="E271" s="1448" t="s">
        <v>2887</v>
      </c>
      <c r="F271" s="1315" t="s">
        <v>2817</v>
      </c>
      <c r="G271" s="1270" t="s">
        <v>2222</v>
      </c>
      <c r="H271" s="1300">
        <v>39298</v>
      </c>
      <c r="I271" s="1270"/>
      <c r="J271" s="1270"/>
      <c r="K271" s="1280">
        <v>45617</v>
      </c>
      <c r="L271" s="1280">
        <v>45617</v>
      </c>
      <c r="M271" s="1280">
        <v>45622</v>
      </c>
      <c r="N271" s="1280">
        <v>45629</v>
      </c>
      <c r="O271" s="1526">
        <v>45646</v>
      </c>
      <c r="P271" s="1270" t="s">
        <v>2557</v>
      </c>
      <c r="Q271" s="1379">
        <v>4.5575772395999996</v>
      </c>
      <c r="R271" s="1329">
        <v>3.327</v>
      </c>
      <c r="S271" s="1286">
        <f t="shared" si="58"/>
        <v>0.72999311368598929</v>
      </c>
      <c r="T271" s="1391">
        <v>255.88562426300797</v>
      </c>
      <c r="U271" s="1391">
        <v>332.76908118435301</v>
      </c>
      <c r="V271" s="1391">
        <v>16.808926743635539</v>
      </c>
      <c r="W271" s="1391">
        <v>0</v>
      </c>
      <c r="X271" s="1391">
        <v>3.9344926397431044</v>
      </c>
      <c r="Y271" s="1282">
        <f t="shared" si="59"/>
        <v>5.1116662690595359E-2</v>
      </c>
      <c r="Z271" s="1391">
        <v>0</v>
      </c>
      <c r="AA271" s="1330">
        <v>0</v>
      </c>
      <c r="AB271" s="1391">
        <v>0</v>
      </c>
      <c r="AC271" s="1391">
        <f t="shared" si="60"/>
        <v>1.3077159352382706</v>
      </c>
      <c r="AD271" s="1281">
        <f t="shared" si="61"/>
        <v>0.77815909024513807</v>
      </c>
      <c r="AE271" s="1391">
        <v>3.3276908118435302</v>
      </c>
      <c r="AF271" s="1391">
        <v>3.2944139037250948</v>
      </c>
      <c r="AG271" s="1391">
        <v>3.2614697646878437</v>
      </c>
      <c r="AH271" s="1270"/>
      <c r="AI271" s="1270"/>
      <c r="AJ271" s="1270"/>
      <c r="AK271" s="1270"/>
      <c r="AL271" s="1270"/>
      <c r="AM271" s="1270"/>
      <c r="AN271" s="1270"/>
      <c r="AO271" s="1270"/>
      <c r="AP271" s="1573"/>
      <c r="AQ271" s="1390">
        <f t="shared" si="57"/>
        <v>0</v>
      </c>
      <c r="AR271" s="1612"/>
    </row>
    <row r="272" spans="1:44" ht="21.75" thickBot="1">
      <c r="A272" s="1521">
        <v>270</v>
      </c>
      <c r="B272" s="1622" t="s">
        <v>2507</v>
      </c>
      <c r="C272" s="1292" t="s">
        <v>29</v>
      </c>
      <c r="D272" s="1470">
        <v>54364</v>
      </c>
      <c r="E272" s="1470" t="s">
        <v>2888</v>
      </c>
      <c r="F272" s="1321" t="s">
        <v>2817</v>
      </c>
      <c r="G272" s="1292" t="s">
        <v>2222</v>
      </c>
      <c r="H272" s="1305">
        <v>70081</v>
      </c>
      <c r="I272" s="1263"/>
      <c r="J272" s="1263"/>
      <c r="K272" s="1413">
        <v>45617</v>
      </c>
      <c r="L272" s="1413">
        <v>45617</v>
      </c>
      <c r="M272" s="1283"/>
      <c r="N272" s="1283">
        <v>45629</v>
      </c>
      <c r="O272" s="1548">
        <v>45646</v>
      </c>
      <c r="P272" s="1292" t="s">
        <v>2557</v>
      </c>
      <c r="Q272" s="1506">
        <v>4.5575772395999996</v>
      </c>
      <c r="R272" s="1444">
        <v>3.327</v>
      </c>
      <c r="S272" s="1499">
        <f t="shared" si="58"/>
        <v>0.72999311368598929</v>
      </c>
      <c r="T272" s="1415">
        <v>311.94382431008796</v>
      </c>
      <c r="U272" s="1415">
        <v>390.9070404531796</v>
      </c>
      <c r="V272" s="1415">
        <v>17.930090744577136</v>
      </c>
      <c r="W272" s="1415">
        <v>0</v>
      </c>
      <c r="X272" s="1415">
        <v>4.0522148598419729</v>
      </c>
      <c r="Y272" s="1420">
        <f t="shared" si="59"/>
        <v>4.6348370392115187E-2</v>
      </c>
      <c r="Z272" s="1415">
        <v>0</v>
      </c>
      <c r="AA272" s="1445">
        <v>0</v>
      </c>
      <c r="AB272" s="1415">
        <v>0</v>
      </c>
      <c r="AC272" s="1415">
        <f t="shared" si="60"/>
        <v>2.7395156301999277</v>
      </c>
      <c r="AD272" s="1416">
        <f t="shared" si="61"/>
        <v>0.80635888109097487</v>
      </c>
      <c r="AE272" s="1415">
        <v>3.9090704045317968</v>
      </c>
      <c r="AF272" s="1415">
        <v>3.8699797004864789</v>
      </c>
      <c r="AG272" s="1415">
        <v>3.8312799034816143</v>
      </c>
      <c r="AH272" s="1292"/>
      <c r="AI272" s="1292"/>
      <c r="AJ272" s="1292"/>
      <c r="AK272" s="1292"/>
      <c r="AL272" s="1263"/>
      <c r="AM272" s="1292"/>
      <c r="AN272" s="1292"/>
      <c r="AO272" s="1292"/>
      <c r="AP272" s="1576"/>
      <c r="AQ272" s="1390">
        <f t="shared" si="57"/>
        <v>0</v>
      </c>
      <c r="AR272" s="1617"/>
    </row>
    <row r="273" spans="1:44">
      <c r="A273" s="1521">
        <v>271</v>
      </c>
      <c r="B273" s="1700" t="s">
        <v>2300</v>
      </c>
      <c r="C273" s="1260" t="s">
        <v>29</v>
      </c>
      <c r="D273" s="1457">
        <v>51208</v>
      </c>
      <c r="E273" s="1457" t="s">
        <v>2600</v>
      </c>
      <c r="F273" s="1314" t="s">
        <v>2818</v>
      </c>
      <c r="G273" s="1260" t="s">
        <v>2222</v>
      </c>
      <c r="H273" s="1603">
        <v>172211</v>
      </c>
      <c r="I273" s="1519"/>
      <c r="J273" s="1579"/>
      <c r="K273" s="1556">
        <v>45617</v>
      </c>
      <c r="L273" s="1557">
        <v>45617</v>
      </c>
      <c r="M273" s="1601">
        <v>45622</v>
      </c>
      <c r="N273" s="1600">
        <v>45632</v>
      </c>
      <c r="O273" s="1606">
        <v>45632</v>
      </c>
      <c r="P273" s="1260" t="s">
        <v>2884</v>
      </c>
      <c r="Q273" s="1424">
        <v>2.9142796511612903</v>
      </c>
      <c r="R273" s="1327">
        <v>1.3347</v>
      </c>
      <c r="S273" s="1278">
        <f>R273/Q273</f>
        <v>0.45798624695064699</v>
      </c>
      <c r="T273" s="1382">
        <v>135.29638061799869</v>
      </c>
      <c r="U273" s="1382">
        <v>212.00120636337905</v>
      </c>
      <c r="V273" s="1382">
        <v>13.24201054182511</v>
      </c>
      <c r="W273" s="1382">
        <v>3.620577841430122</v>
      </c>
      <c r="X273" s="1382">
        <v>3.345607067659524</v>
      </c>
      <c r="Y273" s="1279">
        <f t="shared" ref="Y273:Y282" si="62">V273/(U273-W273-X273)</f>
        <v>6.4584140055201689E-2</v>
      </c>
      <c r="Z273" s="1382">
        <v>214.87889783121997</v>
      </c>
      <c r="AA273" s="1382">
        <v>26.5</v>
      </c>
      <c r="AB273" s="1382">
        <v>11.831269845000001</v>
      </c>
      <c r="AC273" s="1382">
        <f t="shared" ref="AC273:AC282" si="63">U273*H273/10^7</f>
        <v>3.6508939749043865</v>
      </c>
      <c r="AD273" s="1278">
        <f t="shared" ref="AD273:AD282" si="64">T273/(U273-W273-X273)</f>
        <v>0.659869614753408</v>
      </c>
      <c r="AE273" s="1382">
        <v>3.7100211113591346</v>
      </c>
      <c r="AF273" s="1382">
        <v>3.64509574191035</v>
      </c>
      <c r="AG273" s="1382">
        <v>3.5813065664269188</v>
      </c>
      <c r="AH273" s="1559" t="s">
        <v>2775</v>
      </c>
      <c r="AI273" s="1559"/>
      <c r="AJ273" s="1559">
        <v>205</v>
      </c>
      <c r="AK273" s="1562">
        <v>230.74</v>
      </c>
      <c r="AL273" s="1602"/>
      <c r="AM273" s="1565">
        <v>11.83</v>
      </c>
      <c r="AN273" s="1559">
        <v>-4.0999999999999996</v>
      </c>
      <c r="AO273" s="1559">
        <v>-4.0999999999999996</v>
      </c>
      <c r="AP273" s="1575">
        <v>-4.0999999999999996</v>
      </c>
      <c r="AQ273" s="1642">
        <f t="shared" si="57"/>
        <v>3.5303255</v>
      </c>
      <c r="AR273" s="1614"/>
    </row>
    <row r="274" spans="1:44">
      <c r="A274" s="1521">
        <v>272</v>
      </c>
      <c r="B274" s="1515" t="s">
        <v>2300</v>
      </c>
      <c r="C274" s="1270" t="s">
        <v>29</v>
      </c>
      <c r="D274" s="1448">
        <v>51208</v>
      </c>
      <c r="E274" s="1448" t="s">
        <v>2601</v>
      </c>
      <c r="F274" s="1315" t="s">
        <v>2819</v>
      </c>
      <c r="G274" s="1270" t="s">
        <v>2222</v>
      </c>
      <c r="H274" s="1604">
        <v>130211</v>
      </c>
      <c r="I274" s="1515"/>
      <c r="J274" s="1573"/>
      <c r="K274" s="1597" t="s">
        <v>2889</v>
      </c>
      <c r="L274" s="1598">
        <v>45617</v>
      </c>
      <c r="M274" s="1595">
        <v>45622</v>
      </c>
      <c r="N274" s="1594">
        <v>45632</v>
      </c>
      <c r="O274" s="1607">
        <v>45632</v>
      </c>
      <c r="P274" s="1270" t="s">
        <v>2884</v>
      </c>
      <c r="Q274" s="1379">
        <v>3.38021820116129</v>
      </c>
      <c r="R274" s="1329">
        <v>1.4845999999999999</v>
      </c>
      <c r="S274" s="1281">
        <f t="shared" ref="S274:S282" si="65">R274/Q274</f>
        <v>0.43920241583515485</v>
      </c>
      <c r="T274" s="1391">
        <v>156.23179520999869</v>
      </c>
      <c r="U274" s="1391">
        <v>233.90069983674226</v>
      </c>
      <c r="V274" s="1391">
        <v>13.660718833665111</v>
      </c>
      <c r="W274" s="1391">
        <v>3.620577841430122</v>
      </c>
      <c r="X274" s="1391">
        <v>3.3895714383027236</v>
      </c>
      <c r="Y274" s="1282">
        <f t="shared" si="62"/>
        <v>6.0208407975248249E-2</v>
      </c>
      <c r="Z274" s="1391">
        <v>223.18267951149002</v>
      </c>
      <c r="AA274" s="1391">
        <v>26.5</v>
      </c>
      <c r="AB274" s="1391">
        <v>11.831269845000001</v>
      </c>
      <c r="AC274" s="1391">
        <f t="shared" si="63"/>
        <v>3.0456444026442049</v>
      </c>
      <c r="AD274" s="1281">
        <f t="shared" si="64"/>
        <v>0.68857779588640589</v>
      </c>
      <c r="AE274" s="1391">
        <v>4.0932622471429907</v>
      </c>
      <c r="AF274" s="1391">
        <v>4.021630157817988</v>
      </c>
      <c r="AG274" s="1391">
        <v>3.951251630056174</v>
      </c>
      <c r="AH274" s="1560" t="s">
        <v>2775</v>
      </c>
      <c r="AI274" s="1560"/>
      <c r="AJ274" s="1560">
        <v>227</v>
      </c>
      <c r="AK274" s="1563">
        <v>239.08</v>
      </c>
      <c r="AL274" s="1593"/>
      <c r="AM274" s="1599">
        <v>11.83</v>
      </c>
      <c r="AN274" s="1560">
        <v>-4.54</v>
      </c>
      <c r="AO274" s="1560">
        <v>-4.54</v>
      </c>
      <c r="AP274" s="1577">
        <v>-4.54</v>
      </c>
      <c r="AQ274" s="1642">
        <f t="shared" si="57"/>
        <v>2.9557897</v>
      </c>
      <c r="AR274" s="1618"/>
    </row>
    <row r="275" spans="1:44" ht="21.75" thickBot="1">
      <c r="A275" s="1521">
        <v>273</v>
      </c>
      <c r="B275" s="1513" t="s">
        <v>2300</v>
      </c>
      <c r="C275" s="1263" t="s">
        <v>29</v>
      </c>
      <c r="D275" s="1458">
        <v>51208</v>
      </c>
      <c r="E275" s="1458" t="s">
        <v>2602</v>
      </c>
      <c r="F275" s="1316" t="s">
        <v>2819</v>
      </c>
      <c r="G275" s="1263" t="s">
        <v>2222</v>
      </c>
      <c r="H275" s="1605">
        <v>42000</v>
      </c>
      <c r="I275" s="1513"/>
      <c r="J275" s="1571"/>
      <c r="K275" s="1558">
        <v>45617</v>
      </c>
      <c r="L275" s="1532">
        <v>45617</v>
      </c>
      <c r="M275" s="1529">
        <v>45622</v>
      </c>
      <c r="N275" s="1551">
        <v>45632</v>
      </c>
      <c r="O275" s="1608">
        <v>45632</v>
      </c>
      <c r="P275" s="1263" t="s">
        <v>2884</v>
      </c>
      <c r="Q275" s="1426">
        <v>3.38021820116129</v>
      </c>
      <c r="R275" s="1331">
        <v>1.4765999999999999</v>
      </c>
      <c r="S275" s="1284">
        <f t="shared" si="65"/>
        <v>0.43683570471654964</v>
      </c>
      <c r="T275" s="1384">
        <v>155.8863552099987</v>
      </c>
      <c r="U275" s="1384">
        <v>233.53244401274227</v>
      </c>
      <c r="V275" s="1384">
        <v>13.65381003366511</v>
      </c>
      <c r="W275" s="1384">
        <v>3.620577841430122</v>
      </c>
      <c r="X275" s="1384">
        <v>3.3888460143027239</v>
      </c>
      <c r="Y275" s="1285">
        <f t="shared" si="62"/>
        <v>6.027559593811381E-2</v>
      </c>
      <c r="Z275" s="1384">
        <v>179.26448694324</v>
      </c>
      <c r="AA275" s="1384"/>
      <c r="AB275" s="1384"/>
      <c r="AC275" s="1384">
        <f t="shared" si="63"/>
        <v>0.98083626485351749</v>
      </c>
      <c r="AD275" s="1284">
        <f t="shared" si="64"/>
        <v>0.68817003720835757</v>
      </c>
      <c r="AE275" s="1384">
        <v>4.0868177702229911</v>
      </c>
      <c r="AF275" s="1384">
        <v>4.0152984592440895</v>
      </c>
      <c r="AG275" s="1384">
        <v>3.9450307362073174</v>
      </c>
      <c r="AH275" s="1561" t="s">
        <v>2775</v>
      </c>
      <c r="AI275" s="1561"/>
      <c r="AJ275" s="1561">
        <v>227</v>
      </c>
      <c r="AK275" s="1564">
        <v>170.17</v>
      </c>
      <c r="AL275" s="1592"/>
      <c r="AM275" s="1566">
        <v>0</v>
      </c>
      <c r="AN275" s="1561">
        <v>-4.54</v>
      </c>
      <c r="AO275" s="1561">
        <v>-4.54</v>
      </c>
      <c r="AP275" s="1567">
        <v>-4.54</v>
      </c>
      <c r="AQ275" s="1642">
        <f t="shared" si="57"/>
        <v>0.95340000000000003</v>
      </c>
      <c r="AR275" s="1615"/>
    </row>
    <row r="276" spans="1:44" ht="21.75" thickBot="1">
      <c r="A276" s="1521">
        <v>274</v>
      </c>
      <c r="B276" s="1519" t="s">
        <v>2507</v>
      </c>
      <c r="C276" s="1317" t="s">
        <v>29</v>
      </c>
      <c r="D276" s="1469">
        <v>54436</v>
      </c>
      <c r="E276" s="1469" t="s">
        <v>2820</v>
      </c>
      <c r="F276" s="1318" t="s">
        <v>310</v>
      </c>
      <c r="G276" s="1317" t="s">
        <v>2222</v>
      </c>
      <c r="H276" s="1449">
        <v>203730</v>
      </c>
      <c r="I276" s="1260"/>
      <c r="J276" s="1260"/>
      <c r="K276" s="1325">
        <v>45618</v>
      </c>
      <c r="L276" s="1325">
        <v>45617</v>
      </c>
      <c r="M276" s="1277">
        <v>45622</v>
      </c>
      <c r="N276" s="1277">
        <v>46005</v>
      </c>
      <c r="O276" s="1541">
        <v>45640</v>
      </c>
      <c r="P276" s="1317" t="s">
        <v>2557</v>
      </c>
      <c r="Q276" s="1500">
        <v>13.629318853878262</v>
      </c>
      <c r="R276" s="1337">
        <v>7.8019999999999978</v>
      </c>
      <c r="S276" s="1338">
        <f t="shared" si="65"/>
        <v>0.57244240036103611</v>
      </c>
      <c r="T276" s="1437">
        <v>780.12443258786402</v>
      </c>
      <c r="U276" s="1437">
        <v>1267.3536694869351</v>
      </c>
      <c r="V276" s="1437">
        <v>100.33998352609539</v>
      </c>
      <c r="W276" s="1437">
        <v>63.219877057398456</v>
      </c>
      <c r="X276" s="1437">
        <v>26.260556247635048</v>
      </c>
      <c r="Y276" s="1339">
        <f t="shared" si="62"/>
        <v>8.5187421229935875E-2</v>
      </c>
      <c r="Z276" s="1437">
        <v>599.14643592818993</v>
      </c>
      <c r="AA276" s="1437">
        <v>505.1</v>
      </c>
      <c r="AB276" s="1437">
        <v>68.03011309999998</v>
      </c>
      <c r="AC276" s="1423">
        <f t="shared" si="63"/>
        <v>25.819796308457331</v>
      </c>
      <c r="AD276" s="1338">
        <f t="shared" si="64"/>
        <v>0.66231612080486024</v>
      </c>
      <c r="AE276" s="1437">
        <v>22.178689216021368</v>
      </c>
      <c r="AF276" s="1437">
        <v>21.790562154740993</v>
      </c>
      <c r="AG276" s="1437">
        <v>21.409227317033025</v>
      </c>
      <c r="AH276" s="1317"/>
      <c r="AI276" s="1317"/>
      <c r="AJ276" s="1317"/>
      <c r="AK276" s="1317"/>
      <c r="AL276" s="1260"/>
      <c r="AM276" s="1317"/>
      <c r="AN276" s="1317"/>
      <c r="AO276" s="1317"/>
      <c r="AP276" s="1579"/>
      <c r="AQ276" s="1390">
        <f t="shared" si="57"/>
        <v>0</v>
      </c>
      <c r="AR276" s="1616"/>
    </row>
    <row r="277" spans="1:44" ht="21.75" thickBot="1">
      <c r="A277" s="1521">
        <v>275</v>
      </c>
      <c r="B277" s="1515" t="s">
        <v>2507</v>
      </c>
      <c r="C277" s="1270" t="s">
        <v>29</v>
      </c>
      <c r="D277" s="1448">
        <v>54436</v>
      </c>
      <c r="E277" s="1448" t="s">
        <v>2821</v>
      </c>
      <c r="F277" s="1315" t="s">
        <v>310</v>
      </c>
      <c r="G277" s="1270" t="s">
        <v>2222</v>
      </c>
      <c r="H277" s="1300">
        <v>45900</v>
      </c>
      <c r="I277" s="1270"/>
      <c r="J277" s="1270"/>
      <c r="K277" s="1280">
        <v>45618</v>
      </c>
      <c r="L277" s="1280">
        <v>45617</v>
      </c>
      <c r="M277" s="1280">
        <v>45622</v>
      </c>
      <c r="N277" s="1325">
        <v>46005</v>
      </c>
      <c r="O277" s="1393">
        <v>45640</v>
      </c>
      <c r="P277" s="1270" t="s">
        <v>2557</v>
      </c>
      <c r="Q277" s="1379">
        <v>12.917635704544928</v>
      </c>
      <c r="R277" s="1329">
        <v>7.3899999999999988</v>
      </c>
      <c r="S277" s="1281">
        <f t="shared" si="65"/>
        <v>0.57208611304930268</v>
      </c>
      <c r="T277" s="1391">
        <v>638.95102836797594</v>
      </c>
      <c r="U277" s="1391">
        <v>1145.1443457704891</v>
      </c>
      <c r="V277" s="1391">
        <v>102.35141544169764</v>
      </c>
      <c r="W277" s="1391">
        <v>63.219877057398456</v>
      </c>
      <c r="X277" s="1391">
        <v>27.368975898773282</v>
      </c>
      <c r="Y277" s="1282">
        <f t="shared" si="62"/>
        <v>9.7056452826915704E-2</v>
      </c>
      <c r="Z277" s="1391">
        <v>278.564698432265</v>
      </c>
      <c r="AA277" s="1330">
        <v>0</v>
      </c>
      <c r="AB277" s="1391">
        <v>0</v>
      </c>
      <c r="AC277" s="1384">
        <f t="shared" si="63"/>
        <v>5.2562125470865455</v>
      </c>
      <c r="AD277" s="1281">
        <f t="shared" si="64"/>
        <v>0.60589606969168786</v>
      </c>
      <c r="AE277" s="1391">
        <v>20.040026050983563</v>
      </c>
      <c r="AF277" s="1391">
        <v>19.689325595091351</v>
      </c>
      <c r="AG277" s="1391">
        <v>19.344762397177252</v>
      </c>
      <c r="AH277" s="1270"/>
      <c r="AI277" s="1270"/>
      <c r="AJ277" s="1270"/>
      <c r="AK277" s="1270"/>
      <c r="AL277" s="1270"/>
      <c r="AM277" s="1270"/>
      <c r="AN277" s="1270"/>
      <c r="AO277" s="1270"/>
      <c r="AP277" s="1573"/>
      <c r="AQ277" s="1390">
        <f t="shared" si="57"/>
        <v>0</v>
      </c>
      <c r="AR277" s="1612"/>
    </row>
    <row r="278" spans="1:44" ht="21.75" thickBot="1">
      <c r="A278" s="1521">
        <v>276</v>
      </c>
      <c r="B278" s="1513" t="s">
        <v>2507</v>
      </c>
      <c r="C278" s="1263" t="s">
        <v>29</v>
      </c>
      <c r="D278" s="1458">
        <v>54436</v>
      </c>
      <c r="E278" s="1458" t="s">
        <v>2822</v>
      </c>
      <c r="F278" s="1316" t="s">
        <v>310</v>
      </c>
      <c r="G278" s="1263" t="s">
        <v>2222</v>
      </c>
      <c r="H278" s="1512">
        <v>48040</v>
      </c>
      <c r="I278" s="1263"/>
      <c r="J278" s="1263"/>
      <c r="K278" s="1283">
        <v>45618</v>
      </c>
      <c r="L278" s="1283">
        <v>45617</v>
      </c>
      <c r="M278" s="1283">
        <v>45622</v>
      </c>
      <c r="N278" s="1421">
        <v>46005</v>
      </c>
      <c r="O278" s="1393">
        <v>45640</v>
      </c>
      <c r="P278" s="1263" t="s">
        <v>2557</v>
      </c>
      <c r="Q278" s="1426">
        <v>12.779003271544926</v>
      </c>
      <c r="R278" s="1331">
        <v>6.9580000000000002</v>
      </c>
      <c r="S278" s="1284">
        <f t="shared" si="65"/>
        <v>0.54448690967107072</v>
      </c>
      <c r="T278" s="1384">
        <v>696.65455220938395</v>
      </c>
      <c r="U278" s="1384">
        <v>1156.2717585464134</v>
      </c>
      <c r="V278" s="1384">
        <v>94.141585918525806</v>
      </c>
      <c r="W278" s="1384">
        <v>63.219877057398456</v>
      </c>
      <c r="X278" s="1384">
        <v>24.76927149884024</v>
      </c>
      <c r="Y278" s="1285">
        <f t="shared" si="62"/>
        <v>8.812423326762911E-2</v>
      </c>
      <c r="Z278" s="1384">
        <v>287.70586646746</v>
      </c>
      <c r="AA278" s="1332">
        <v>0</v>
      </c>
      <c r="AB278" s="1384">
        <v>0</v>
      </c>
      <c r="AC278" s="1384">
        <f t="shared" si="63"/>
        <v>5.5547295280569697</v>
      </c>
      <c r="AD278" s="1284">
        <f t="shared" si="64"/>
        <v>0.65212570690052818</v>
      </c>
      <c r="AE278" s="1384">
        <v>20.234755774562235</v>
      </c>
      <c r="AF278" s="1384">
        <v>19.880647548507397</v>
      </c>
      <c r="AG278" s="1384">
        <v>19.532736216408519</v>
      </c>
      <c r="AH278" s="1263"/>
      <c r="AI278" s="1263"/>
      <c r="AJ278" s="1263"/>
      <c r="AK278" s="1263"/>
      <c r="AL278" s="1263"/>
      <c r="AM278" s="1263"/>
      <c r="AN278" s="1263"/>
      <c r="AO278" s="1263"/>
      <c r="AP278" s="1571"/>
      <c r="AQ278" s="1390">
        <f t="shared" si="57"/>
        <v>0</v>
      </c>
      <c r="AR278" s="1610"/>
    </row>
    <row r="279" spans="1:44">
      <c r="A279" s="1521">
        <v>277</v>
      </c>
      <c r="B279" s="1700" t="s">
        <v>2507</v>
      </c>
      <c r="C279" s="1260" t="s">
        <v>29</v>
      </c>
      <c r="D279" s="1457">
        <v>54083</v>
      </c>
      <c r="E279" s="1457" t="s">
        <v>2824</v>
      </c>
      <c r="F279" s="1314" t="s">
        <v>2825</v>
      </c>
      <c r="G279" s="1260" t="s">
        <v>2222</v>
      </c>
      <c r="H279" s="1484">
        <v>130183</v>
      </c>
      <c r="I279" s="1260"/>
      <c r="J279" s="1260"/>
      <c r="K279" s="1277">
        <v>45622</v>
      </c>
      <c r="L279" s="1277">
        <v>45623</v>
      </c>
      <c r="M279" s="1277">
        <v>45630</v>
      </c>
      <c r="N279" s="1277" t="s">
        <v>2882</v>
      </c>
      <c r="O279" s="1393">
        <v>45646</v>
      </c>
      <c r="P279" s="1260" t="s">
        <v>2557</v>
      </c>
      <c r="Q279" s="1424">
        <v>3.1044819960000001</v>
      </c>
      <c r="R279" s="1327">
        <v>2.1739999999999999</v>
      </c>
      <c r="S279" s="1278">
        <f t="shared" si="65"/>
        <v>0.70027785724030978</v>
      </c>
      <c r="T279" s="1382">
        <v>177.89396680932001</v>
      </c>
      <c r="U279" s="1382">
        <v>225.27368416667576</v>
      </c>
      <c r="V279" s="1382">
        <v>10.80285995805585</v>
      </c>
      <c r="W279" s="1382"/>
      <c r="X279" s="1382">
        <v>2.4787616995684951</v>
      </c>
      <c r="Y279" s="1279">
        <f t="shared" si="62"/>
        <v>4.8487909142771193E-2</v>
      </c>
      <c r="Z279" s="1382">
        <v>387.57965264519999</v>
      </c>
      <c r="AA279" s="1328">
        <v>0</v>
      </c>
      <c r="AB279" s="1382">
        <v>25.467211899999992</v>
      </c>
      <c r="AC279" s="1382">
        <f t="shared" si="63"/>
        <v>2.9326804025870348</v>
      </c>
      <c r="AD279" s="1278">
        <f t="shared" si="64"/>
        <v>0.79846508546703399</v>
      </c>
      <c r="AE279" s="1382">
        <v>1.1263684208333788</v>
      </c>
      <c r="AF279" s="1382">
        <v>1.1207365787292118</v>
      </c>
      <c r="AG279" s="1382">
        <v>1.115132895835566</v>
      </c>
      <c r="AH279" s="1559" t="s">
        <v>2775</v>
      </c>
      <c r="AI279" s="1559"/>
      <c r="AJ279" s="1559">
        <v>218.01</v>
      </c>
      <c r="AK279" s="1559">
        <v>376.4</v>
      </c>
      <c r="AL279" s="1260"/>
      <c r="AM279" s="1559">
        <v>25.47</v>
      </c>
      <c r="AN279" s="1559">
        <v>-2.1800000000000002</v>
      </c>
      <c r="AO279" s="1559">
        <v>-2.16</v>
      </c>
      <c r="AP279" s="1575">
        <v>-2.14</v>
      </c>
      <c r="AQ279" s="1642">
        <f t="shared" si="57"/>
        <v>2.8381195829999997</v>
      </c>
      <c r="AR279" s="1614"/>
    </row>
    <row r="280" spans="1:44">
      <c r="A280" s="1521">
        <v>278</v>
      </c>
      <c r="B280" s="1515" t="s">
        <v>2507</v>
      </c>
      <c r="C280" s="1270" t="s">
        <v>29</v>
      </c>
      <c r="D280" s="1448">
        <v>54083</v>
      </c>
      <c r="E280" s="1448" t="s">
        <v>2828</v>
      </c>
      <c r="F280" s="1315" t="s">
        <v>2825</v>
      </c>
      <c r="G280" s="1270" t="s">
        <v>2222</v>
      </c>
      <c r="H280" s="1300">
        <v>68148</v>
      </c>
      <c r="I280" s="1270"/>
      <c r="J280" s="1270"/>
      <c r="K280" s="1280">
        <v>45622</v>
      </c>
      <c r="L280" s="1280">
        <v>45623</v>
      </c>
      <c r="M280" s="1280">
        <v>45630</v>
      </c>
      <c r="N280" s="1280" t="s">
        <v>2882</v>
      </c>
      <c r="O280" s="1526">
        <v>45646</v>
      </c>
      <c r="P280" s="1270" t="s">
        <v>2557</v>
      </c>
      <c r="Q280" s="1379">
        <v>3.1044819960000001</v>
      </c>
      <c r="R280" s="1329">
        <v>2.1739999999999999</v>
      </c>
      <c r="S280" s="1281">
        <f t="shared" si="65"/>
        <v>0.70027785724030978</v>
      </c>
      <c r="T280" s="1391">
        <v>210.58416222720001</v>
      </c>
      <c r="U280" s="1391">
        <v>259.17668583455912</v>
      </c>
      <c r="V280" s="1391">
        <v>11.45666386641345</v>
      </c>
      <c r="W280" s="1391"/>
      <c r="X280" s="1391">
        <v>2.5474111099460428</v>
      </c>
      <c r="Y280" s="1282">
        <f t="shared" si="62"/>
        <v>4.4642856426678167E-2</v>
      </c>
      <c r="Z280" s="1391">
        <v>0</v>
      </c>
      <c r="AA280" s="1330">
        <v>0</v>
      </c>
      <c r="AB280" s="1391">
        <v>0</v>
      </c>
      <c r="AC280" s="1391">
        <f t="shared" si="63"/>
        <v>1.7662372786253535</v>
      </c>
      <c r="AD280" s="1281">
        <f t="shared" si="64"/>
        <v>0.82057731898738473</v>
      </c>
      <c r="AE280" s="1391">
        <v>1.2958834291727956</v>
      </c>
      <c r="AF280" s="1391">
        <v>1.2894040120269314</v>
      </c>
      <c r="AG280" s="1391">
        <v>1.2829569919667969</v>
      </c>
      <c r="AH280" s="1560" t="s">
        <v>2775</v>
      </c>
      <c r="AI280" s="1560"/>
      <c r="AJ280" s="1560">
        <v>251.91</v>
      </c>
      <c r="AK280" s="1560">
        <v>0</v>
      </c>
      <c r="AL280" s="1270"/>
      <c r="AM280" s="1560">
        <v>0</v>
      </c>
      <c r="AN280" s="1560">
        <v>-2.52</v>
      </c>
      <c r="AO280" s="1560">
        <v>-2.4900000000000002</v>
      </c>
      <c r="AP280" s="1577">
        <v>-2.4700000000000002</v>
      </c>
      <c r="AQ280" s="1642">
        <f t="shared" si="57"/>
        <v>1.7167162679999999</v>
      </c>
      <c r="AR280" s="1618"/>
    </row>
    <row r="281" spans="1:44">
      <c r="A281" s="1521">
        <v>279</v>
      </c>
      <c r="B281" s="1515" t="s">
        <v>2507</v>
      </c>
      <c r="C281" s="1270" t="s">
        <v>29</v>
      </c>
      <c r="D281" s="1448">
        <v>54083</v>
      </c>
      <c r="E281" s="1448" t="s">
        <v>2826</v>
      </c>
      <c r="F281" s="1315" t="s">
        <v>2825</v>
      </c>
      <c r="G281" s="1270" t="s">
        <v>2222</v>
      </c>
      <c r="H281" s="1300">
        <v>1933</v>
      </c>
      <c r="I281" s="1270"/>
      <c r="J281" s="1270"/>
      <c r="K281" s="1280">
        <v>45622</v>
      </c>
      <c r="L281" s="1280">
        <v>45623</v>
      </c>
      <c r="M281" s="1280">
        <v>45630</v>
      </c>
      <c r="N281" s="1280" t="s">
        <v>2882</v>
      </c>
      <c r="O281" s="1526">
        <v>45646</v>
      </c>
      <c r="P281" s="1270" t="s">
        <v>2557</v>
      </c>
      <c r="Q281" s="1379">
        <v>3.1044819960000001</v>
      </c>
      <c r="R281" s="1329">
        <v>2.1629999999999998</v>
      </c>
      <c r="S281" s="1281">
        <f t="shared" si="65"/>
        <v>0.69673459301324281</v>
      </c>
      <c r="T281" s="1391">
        <v>210.1858522272</v>
      </c>
      <c r="U281" s="1391">
        <v>258.7470985335591</v>
      </c>
      <c r="V281" s="1391">
        <v>11.448697666413448</v>
      </c>
      <c r="W281" s="1391"/>
      <c r="X281" s="1391">
        <v>2.5465746589460427</v>
      </c>
      <c r="Y281" s="1282">
        <f t="shared" si="62"/>
        <v>4.4686472507045098E-2</v>
      </c>
      <c r="Z281" s="1391">
        <v>0</v>
      </c>
      <c r="AA281" s="1330">
        <v>0</v>
      </c>
      <c r="AB281" s="1391">
        <v>0</v>
      </c>
      <c r="AC281" s="1391">
        <f t="shared" si="63"/>
        <v>5.0015814146536976E-2</v>
      </c>
      <c r="AD281" s="1281">
        <f t="shared" si="64"/>
        <v>0.82039587214141274</v>
      </c>
      <c r="AE281" s="1391">
        <v>1.2937354926677955</v>
      </c>
      <c r="AF281" s="1391">
        <v>1.2872668152044566</v>
      </c>
      <c r="AG281" s="1391">
        <v>1.2808304811284341</v>
      </c>
      <c r="AH281" s="1560" t="s">
        <v>2775</v>
      </c>
      <c r="AI281" s="1560"/>
      <c r="AJ281" s="1560">
        <v>251.48</v>
      </c>
      <c r="AK281" s="1560">
        <v>0</v>
      </c>
      <c r="AL281" s="1270"/>
      <c r="AM281" s="1560">
        <v>0</v>
      </c>
      <c r="AN281" s="1560">
        <v>-2.5099999999999998</v>
      </c>
      <c r="AO281" s="1560">
        <v>-2.4900000000000002</v>
      </c>
      <c r="AP281" s="1577">
        <v>-2.46</v>
      </c>
      <c r="AQ281" s="1642">
        <f t="shared" si="57"/>
        <v>4.8611083999999999E-2</v>
      </c>
      <c r="AR281" s="1618"/>
    </row>
    <row r="282" spans="1:44" ht="21.75" thickBot="1">
      <c r="A282" s="1521">
        <v>280</v>
      </c>
      <c r="B282" s="1513" t="s">
        <v>2507</v>
      </c>
      <c r="C282" s="1263" t="s">
        <v>29</v>
      </c>
      <c r="D282" s="1458">
        <v>54083</v>
      </c>
      <c r="E282" s="1458" t="s">
        <v>2827</v>
      </c>
      <c r="F282" s="1316" t="s">
        <v>2825</v>
      </c>
      <c r="G282" s="1263" t="s">
        <v>2222</v>
      </c>
      <c r="H282" s="1512">
        <v>46107</v>
      </c>
      <c r="I282" s="1263"/>
      <c r="J282" s="1263"/>
      <c r="K282" s="1283">
        <v>45622</v>
      </c>
      <c r="L282" s="1283">
        <v>45623</v>
      </c>
      <c r="M282" s="1283">
        <v>45630</v>
      </c>
      <c r="N282" s="1283" t="s">
        <v>2882</v>
      </c>
      <c r="O282" s="1404">
        <v>45646</v>
      </c>
      <c r="P282" s="1263" t="s">
        <v>2557</v>
      </c>
      <c r="Q282" s="1426">
        <v>3.1044819960000001</v>
      </c>
      <c r="R282" s="1331">
        <v>2.1629999999999998</v>
      </c>
      <c r="S282" s="1284">
        <f t="shared" si="65"/>
        <v>0.69673459301324281</v>
      </c>
      <c r="T282" s="1384">
        <v>177.49565680932</v>
      </c>
      <c r="U282" s="1384">
        <v>224.84409686567574</v>
      </c>
      <c r="V282" s="1384">
        <v>10.794893758055849</v>
      </c>
      <c r="W282" s="1384"/>
      <c r="X282" s="1384">
        <v>2.4779252485684951</v>
      </c>
      <c r="Y282" s="1285">
        <f t="shared" si="62"/>
        <v>4.8545575433315447E-2</v>
      </c>
      <c r="Z282" s="1384">
        <v>0</v>
      </c>
      <c r="AA282" s="1332">
        <v>0</v>
      </c>
      <c r="AB282" s="1384">
        <v>0</v>
      </c>
      <c r="AC282" s="1384">
        <f t="shared" si="63"/>
        <v>1.0366886774185711</v>
      </c>
      <c r="AD282" s="1284">
        <f t="shared" si="64"/>
        <v>0.79821339513345635</v>
      </c>
      <c r="AE282" s="1384">
        <v>1.1242204843283787</v>
      </c>
      <c r="AF282" s="1384">
        <v>1.1185993819067368</v>
      </c>
      <c r="AG282" s="1384">
        <v>1.1130063849972032</v>
      </c>
      <c r="AH282" s="1561" t="s">
        <v>2775</v>
      </c>
      <c r="AI282" s="1561"/>
      <c r="AJ282" s="1561">
        <v>217.58</v>
      </c>
      <c r="AK282" s="1561">
        <v>0</v>
      </c>
      <c r="AL282" s="1263"/>
      <c r="AM282" s="1561">
        <v>0</v>
      </c>
      <c r="AN282" s="1561">
        <v>-2.1800000000000002</v>
      </c>
      <c r="AO282" s="1561">
        <v>-2.15</v>
      </c>
      <c r="AP282" s="1567">
        <v>-2.13</v>
      </c>
      <c r="AQ282" s="1642">
        <f t="shared" si="57"/>
        <v>1.0031961060000001</v>
      </c>
      <c r="AR282" s="1615"/>
    </row>
    <row r="283" spans="1:44">
      <c r="A283" s="1521">
        <v>281</v>
      </c>
      <c r="B283" s="1519" t="s">
        <v>2507</v>
      </c>
      <c r="C283" s="1317" t="s">
        <v>29</v>
      </c>
      <c r="D283" s="1469">
        <v>54370</v>
      </c>
      <c r="E283" s="1469" t="s">
        <v>2829</v>
      </c>
      <c r="F283" s="1318" t="s">
        <v>616</v>
      </c>
      <c r="G283" s="1317" t="s">
        <v>2222</v>
      </c>
      <c r="H283" s="1449">
        <v>255852</v>
      </c>
      <c r="I283" s="1317"/>
      <c r="J283" s="1317"/>
      <c r="K283" s="1325">
        <v>45622</v>
      </c>
      <c r="L283" s="1325">
        <v>45623</v>
      </c>
      <c r="M283" s="1325">
        <v>45630</v>
      </c>
      <c r="N283" s="1325">
        <v>45629</v>
      </c>
      <c r="O283" s="1541">
        <v>45646</v>
      </c>
      <c r="P283" s="1317" t="s">
        <v>2557</v>
      </c>
      <c r="Q283" s="1500">
        <v>1.1412301824</v>
      </c>
      <c r="R283" s="1337">
        <v>0.63300000000000001</v>
      </c>
      <c r="S283" s="1338">
        <f t="shared" ref="S283:S288" si="66">R283/Q283</f>
        <v>0.55466461522144894</v>
      </c>
      <c r="T283" s="1437">
        <v>64.335126257792012</v>
      </c>
      <c r="U283" s="1437">
        <v>110.89326755761235</v>
      </c>
      <c r="V283" s="1437">
        <v>9.2766595326859687</v>
      </c>
      <c r="W283" s="1437">
        <v>0</v>
      </c>
      <c r="X283" s="1437">
        <v>2.4567569870436889</v>
      </c>
      <c r="Y283" s="1339">
        <f t="shared" ref="Y283:Y288" si="67">V283/(U283-W283-X283)</f>
        <v>8.5549225845374971E-2</v>
      </c>
      <c r="Z283" s="1437">
        <v>221.02445141701003</v>
      </c>
      <c r="AA283" s="1340">
        <v>0</v>
      </c>
      <c r="AB283" s="1437">
        <v>4.7171171000000003</v>
      </c>
      <c r="AC283" s="1437">
        <f t="shared" ref="AC283:AC288" si="68">U283*H283/10^7</f>
        <v>2.8372264291150233</v>
      </c>
      <c r="AD283" s="1338">
        <f t="shared" ref="AD283:AD288" si="69">T283/(U283-W283-X283)</f>
        <v>0.59329764411705033</v>
      </c>
      <c r="AE283" s="1437">
        <v>1.6633990133641849</v>
      </c>
      <c r="AF283" s="1437">
        <v>1.6384480281637221</v>
      </c>
      <c r="AG283" s="1437">
        <v>1.6138713077412663</v>
      </c>
      <c r="AH283" s="1317"/>
      <c r="AI283" s="1317"/>
      <c r="AJ283" s="1317"/>
      <c r="AK283" s="1317"/>
      <c r="AL283" s="1317"/>
      <c r="AM283" s="1317"/>
      <c r="AN283" s="1317"/>
      <c r="AO283" s="1317"/>
      <c r="AP283" s="1579"/>
      <c r="AQ283" s="1390">
        <f t="shared" si="57"/>
        <v>0</v>
      </c>
      <c r="AR283" s="1616"/>
    </row>
    <row r="284" spans="1:44" ht="21.75" thickBot="1">
      <c r="A284" s="1521">
        <v>282</v>
      </c>
      <c r="B284" s="1513" t="s">
        <v>2507</v>
      </c>
      <c r="C284" s="1263" t="s">
        <v>29</v>
      </c>
      <c r="D284" s="1458">
        <v>54370</v>
      </c>
      <c r="E284" s="1458" t="s">
        <v>2829</v>
      </c>
      <c r="F284" s="1316" t="s">
        <v>622</v>
      </c>
      <c r="G284" s="1263" t="s">
        <v>2222</v>
      </c>
      <c r="H284" s="1546">
        <v>255852</v>
      </c>
      <c r="I284" s="1263"/>
      <c r="J284" s="1263"/>
      <c r="K284" s="1283">
        <v>45622</v>
      </c>
      <c r="L284" s="1283">
        <v>45623</v>
      </c>
      <c r="M284" s="1283">
        <v>45630</v>
      </c>
      <c r="N284" s="1283">
        <v>45629</v>
      </c>
      <c r="O284" s="1404">
        <v>45646</v>
      </c>
      <c r="P284" s="1263" t="s">
        <v>2557</v>
      </c>
      <c r="Q284" s="1426">
        <v>1.1412301824</v>
      </c>
      <c r="R284" s="1331">
        <v>0.63300000000000001</v>
      </c>
      <c r="S284" s="1284">
        <f t="shared" si="66"/>
        <v>0.55466461522144894</v>
      </c>
      <c r="T284" s="1384">
        <v>64.335126257792012</v>
      </c>
      <c r="U284" s="1384">
        <v>110.89326755761235</v>
      </c>
      <c r="V284" s="1384">
        <v>9.2766595326859687</v>
      </c>
      <c r="W284" s="1384">
        <v>0</v>
      </c>
      <c r="X284" s="1384">
        <v>2.4567569870436889</v>
      </c>
      <c r="Y284" s="1285">
        <f t="shared" si="67"/>
        <v>8.5549225845374971E-2</v>
      </c>
      <c r="Z284" s="1384">
        <v>221.02445141701003</v>
      </c>
      <c r="AA284" s="1332">
        <v>0</v>
      </c>
      <c r="AB284" s="1384">
        <v>4.7171171000000003</v>
      </c>
      <c r="AC284" s="1384">
        <f t="shared" si="68"/>
        <v>2.8372264291150233</v>
      </c>
      <c r="AD284" s="1284">
        <f t="shared" si="69"/>
        <v>0.59329764411705033</v>
      </c>
      <c r="AE284" s="1384">
        <v>1.6633990133641849</v>
      </c>
      <c r="AF284" s="1384">
        <v>1.6384480281637221</v>
      </c>
      <c r="AG284" s="1384">
        <v>1.6138713077412663</v>
      </c>
      <c r="AH284" s="1263"/>
      <c r="AI284" s="1263"/>
      <c r="AJ284" s="1263"/>
      <c r="AK284" s="1263"/>
      <c r="AL284" s="1263"/>
      <c r="AM284" s="1263"/>
      <c r="AN284" s="1263"/>
      <c r="AO284" s="1263"/>
      <c r="AP284" s="1571"/>
      <c r="AQ284" s="1390">
        <f t="shared" si="57"/>
        <v>0</v>
      </c>
      <c r="AR284" s="1610"/>
    </row>
    <row r="285" spans="1:44">
      <c r="A285" s="1521">
        <v>283</v>
      </c>
      <c r="B285" s="1519" t="s">
        <v>2507</v>
      </c>
      <c r="C285" s="1317" t="s">
        <v>29</v>
      </c>
      <c r="D285" s="1469">
        <v>54428</v>
      </c>
      <c r="E285" s="1469" t="s">
        <v>2835</v>
      </c>
      <c r="F285" s="1318" t="s">
        <v>2832</v>
      </c>
      <c r="G285" s="1317" t="s">
        <v>2222</v>
      </c>
      <c r="H285" s="1449">
        <v>184417</v>
      </c>
      <c r="I285" s="1317"/>
      <c r="J285" s="1317"/>
      <c r="K285" s="1325">
        <v>45622</v>
      </c>
      <c r="L285" s="1325">
        <v>45623</v>
      </c>
      <c r="M285" s="1325">
        <v>45630</v>
      </c>
      <c r="N285" s="1325">
        <v>45638</v>
      </c>
      <c r="O285" s="1541">
        <v>45639</v>
      </c>
      <c r="P285" s="1317" t="s">
        <v>2557</v>
      </c>
      <c r="Q285" s="1500">
        <v>10.628285678661541</v>
      </c>
      <c r="R285" s="1337">
        <v>6.2009999999999996</v>
      </c>
      <c r="S285" s="1338">
        <f t="shared" si="66"/>
        <v>0.58344310526482901</v>
      </c>
      <c r="T285" s="1437">
        <v>606.25958320250788</v>
      </c>
      <c r="U285" s="1437">
        <v>799.70001458510581</v>
      </c>
      <c r="V285" s="1437">
        <v>41.030236885024735</v>
      </c>
      <c r="W285" s="1437">
        <v>15.47796990025962</v>
      </c>
      <c r="X285" s="1437">
        <v>9.6721254075055931</v>
      </c>
      <c r="Y285" s="1339">
        <f t="shared" si="67"/>
        <v>5.2973005178679998E-2</v>
      </c>
      <c r="Z285" s="1437">
        <v>391.85635569420504</v>
      </c>
      <c r="AA285" s="1437">
        <v>199.5</v>
      </c>
      <c r="AB285" s="1437">
        <v>78.802985899999996</v>
      </c>
      <c r="AC285" s="1437">
        <f t="shared" si="68"/>
        <v>14.747827758974147</v>
      </c>
      <c r="AD285" s="1338">
        <f t="shared" si="69"/>
        <v>0.78272499694810049</v>
      </c>
      <c r="AE285" s="1437">
        <v>7.9970001458510582</v>
      </c>
      <c r="AF285" s="1437">
        <v>7.9170301443925473</v>
      </c>
      <c r="AG285" s="1437">
        <v>7.8378598429486219</v>
      </c>
      <c r="AH285" s="1317"/>
      <c r="AI285" s="1317"/>
      <c r="AJ285" s="1317"/>
      <c r="AK285" s="1317"/>
      <c r="AL285" s="1317"/>
      <c r="AM285" s="1317"/>
      <c r="AN285" s="1317"/>
      <c r="AO285" s="1317"/>
      <c r="AP285" s="1579"/>
      <c r="AQ285" s="1390">
        <f t="shared" si="57"/>
        <v>0</v>
      </c>
      <c r="AR285" s="1616"/>
    </row>
    <row r="286" spans="1:44">
      <c r="A286" s="1521">
        <v>284</v>
      </c>
      <c r="B286" s="1515" t="s">
        <v>2507</v>
      </c>
      <c r="C286" s="1270" t="s">
        <v>29</v>
      </c>
      <c r="D286" s="1448">
        <v>54428</v>
      </c>
      <c r="E286" s="1448" t="s">
        <v>2830</v>
      </c>
      <c r="F286" s="1315" t="s">
        <v>2832</v>
      </c>
      <c r="G286" s="1270" t="s">
        <v>2222</v>
      </c>
      <c r="H286" s="1300">
        <v>45900</v>
      </c>
      <c r="I286" s="1270"/>
      <c r="J286" s="1270"/>
      <c r="K286" s="1280">
        <v>45622</v>
      </c>
      <c r="L286" s="1280">
        <v>45623</v>
      </c>
      <c r="M286" s="1280">
        <v>45630</v>
      </c>
      <c r="N286" s="1280">
        <v>45638</v>
      </c>
      <c r="O286" s="1526">
        <v>45639</v>
      </c>
      <c r="P286" s="1270" t="s">
        <v>2557</v>
      </c>
      <c r="Q286" s="1379">
        <v>8.1202885049000013</v>
      </c>
      <c r="R286" s="1329">
        <v>5.8629999999999987</v>
      </c>
      <c r="S286" s="1281">
        <f t="shared" si="66"/>
        <v>0.72201868153602011</v>
      </c>
      <c r="T286" s="1391">
        <v>453.48922922142606</v>
      </c>
      <c r="U286" s="1391">
        <v>642.5695750177947</v>
      </c>
      <c r="V286" s="1391">
        <v>38.32833517149875</v>
      </c>
      <c r="W286" s="1391">
        <v>15.47796990025962</v>
      </c>
      <c r="X286" s="1391">
        <v>9.4540262233793992</v>
      </c>
      <c r="Y286" s="1282">
        <f t="shared" si="67"/>
        <v>6.2056352270733611E-2</v>
      </c>
      <c r="Z286" s="1391">
        <v>404.26092979412999</v>
      </c>
      <c r="AA286" s="1330">
        <v>0</v>
      </c>
      <c r="AB286" s="1391">
        <v>0</v>
      </c>
      <c r="AC286" s="1391">
        <f t="shared" si="68"/>
        <v>2.9493943493316777</v>
      </c>
      <c r="AD286" s="1281">
        <f t="shared" si="69"/>
        <v>0.73423192616189614</v>
      </c>
      <c r="AE286" s="1391">
        <v>6.4256957501779457</v>
      </c>
      <c r="AF286" s="1391">
        <v>6.3614387926761662</v>
      </c>
      <c r="AG286" s="1391">
        <v>6.297824404749405</v>
      </c>
      <c r="AH286" s="1270"/>
      <c r="AI286" s="1270"/>
      <c r="AJ286" s="1270"/>
      <c r="AK286" s="1270"/>
      <c r="AL286" s="1270"/>
      <c r="AM286" s="1270"/>
      <c r="AN286" s="1270"/>
      <c r="AO286" s="1270"/>
      <c r="AP286" s="1573"/>
      <c r="AQ286" s="1390">
        <f t="shared" si="57"/>
        <v>0</v>
      </c>
      <c r="AR286" s="1612"/>
    </row>
    <row r="287" spans="1:44">
      <c r="A287" s="1521">
        <v>285</v>
      </c>
      <c r="B287" s="1515" t="s">
        <v>2507</v>
      </c>
      <c r="C287" s="1270" t="s">
        <v>29</v>
      </c>
      <c r="D287" s="1448">
        <v>54428</v>
      </c>
      <c r="E287" s="1448" t="s">
        <v>2836</v>
      </c>
      <c r="F287" s="1315" t="s">
        <v>2832</v>
      </c>
      <c r="G287" s="1270" t="s">
        <v>2222</v>
      </c>
      <c r="H287" s="1300">
        <v>19313</v>
      </c>
      <c r="I287" s="1270"/>
      <c r="J287" s="1270"/>
      <c r="K287" s="1280">
        <v>45622</v>
      </c>
      <c r="L287" s="1280">
        <v>45623</v>
      </c>
      <c r="M287" s="1280">
        <v>45630</v>
      </c>
      <c r="N287" s="1280">
        <v>45638</v>
      </c>
      <c r="O287" s="1526">
        <v>45639</v>
      </c>
      <c r="P287" s="1270" t="s">
        <v>2557</v>
      </c>
      <c r="Q287" s="1379">
        <v>9.6937614199999995</v>
      </c>
      <c r="R287" s="1329">
        <v>6.0579999999999998</v>
      </c>
      <c r="S287" s="1281">
        <f t="shared" si="66"/>
        <v>0.62493801296793217</v>
      </c>
      <c r="T287" s="1391">
        <v>565.5058062190999</v>
      </c>
      <c r="U287" s="1391">
        <v>747.84097092914476</v>
      </c>
      <c r="V287" s="1391">
        <v>38.388155979260951</v>
      </c>
      <c r="W287" s="1391">
        <v>15.47796990025962</v>
      </c>
      <c r="X287" s="1391">
        <v>9.0556669166063646</v>
      </c>
      <c r="Y287" s="1282">
        <f t="shared" si="67"/>
        <v>5.3073091020672501E-2</v>
      </c>
      <c r="Z287" s="1391">
        <v>319.15172708012506</v>
      </c>
      <c r="AA287" s="1330">
        <v>0</v>
      </c>
      <c r="AB287" s="1391">
        <v>0</v>
      </c>
      <c r="AC287" s="1391">
        <f t="shared" si="68"/>
        <v>1.4443052671554573</v>
      </c>
      <c r="AD287" s="1281">
        <f t="shared" si="69"/>
        <v>0.78183336397819048</v>
      </c>
      <c r="AE287" s="1391">
        <v>7.4784097092914488</v>
      </c>
      <c r="AF287" s="1391">
        <v>7.4036256121985344</v>
      </c>
      <c r="AG287" s="1391">
        <v>7.329589356076549</v>
      </c>
      <c r="AH287" s="1270"/>
      <c r="AI287" s="1270"/>
      <c r="AJ287" s="1270"/>
      <c r="AK287" s="1270"/>
      <c r="AL287" s="1270"/>
      <c r="AM287" s="1270"/>
      <c r="AN287" s="1270"/>
      <c r="AO287" s="1270"/>
      <c r="AP287" s="1573"/>
      <c r="AQ287" s="1390">
        <f t="shared" si="57"/>
        <v>0</v>
      </c>
      <c r="AR287" s="1612"/>
    </row>
    <row r="288" spans="1:44" ht="21.75" thickBot="1">
      <c r="A288" s="1521">
        <v>286</v>
      </c>
      <c r="B288" s="1513" t="s">
        <v>2507</v>
      </c>
      <c r="C288" s="1263" t="s">
        <v>29</v>
      </c>
      <c r="D288" s="1458">
        <v>54428</v>
      </c>
      <c r="E288" s="1458" t="s">
        <v>2831</v>
      </c>
      <c r="F288" s="1316" t="s">
        <v>2832</v>
      </c>
      <c r="G288" s="1263" t="s">
        <v>2222</v>
      </c>
      <c r="H288" s="1512">
        <v>48040</v>
      </c>
      <c r="I288" s="1263"/>
      <c r="J288" s="1263"/>
      <c r="K288" s="1283">
        <v>45622</v>
      </c>
      <c r="L288" s="1283">
        <v>45623</v>
      </c>
      <c r="M288" s="1283">
        <v>45630</v>
      </c>
      <c r="N288" s="1283">
        <v>45638</v>
      </c>
      <c r="O288" s="1404">
        <v>45639</v>
      </c>
      <c r="P288" s="1263" t="s">
        <v>2557</v>
      </c>
      <c r="Q288" s="1426">
        <v>6.3846632703333333</v>
      </c>
      <c r="R288" s="1331">
        <v>4.72</v>
      </c>
      <c r="S288" s="1284">
        <f t="shared" si="66"/>
        <v>0.73927156376934122</v>
      </c>
      <c r="T288" s="1384">
        <v>397.38928112159994</v>
      </c>
      <c r="U288" s="1384">
        <v>519.59248069105547</v>
      </c>
      <c r="V288" s="1384">
        <v>24.917991826275589</v>
      </c>
      <c r="W288" s="1384">
        <v>15.47796990025962</v>
      </c>
      <c r="X288" s="1384">
        <v>5.7655745501579121</v>
      </c>
      <c r="Y288" s="1285">
        <f t="shared" si="67"/>
        <v>5.0001093639825543E-2</v>
      </c>
      <c r="Z288" s="1384">
        <v>201.25934412230998</v>
      </c>
      <c r="AA288" s="1332">
        <v>0</v>
      </c>
      <c r="AB288" s="1384">
        <v>0</v>
      </c>
      <c r="AC288" s="1384">
        <f t="shared" si="68"/>
        <v>2.4961222772398304</v>
      </c>
      <c r="AD288" s="1284">
        <f t="shared" si="69"/>
        <v>0.79741171741904238</v>
      </c>
      <c r="AE288" s="1384">
        <v>5.1959248069105559</v>
      </c>
      <c r="AF288" s="1384">
        <v>5.143965558841451</v>
      </c>
      <c r="AG288" s="1384">
        <v>5.0925259032530361</v>
      </c>
      <c r="AH288" s="1263"/>
      <c r="AI288" s="1263"/>
      <c r="AJ288" s="1263"/>
      <c r="AK288" s="1263"/>
      <c r="AL288" s="1263"/>
      <c r="AM288" s="1263"/>
      <c r="AN288" s="1263"/>
      <c r="AO288" s="1263"/>
      <c r="AP288" s="1571"/>
      <c r="AQ288" s="1390">
        <f t="shared" si="57"/>
        <v>0</v>
      </c>
      <c r="AR288" s="1610"/>
    </row>
    <row r="289" spans="1:44" ht="23.25">
      <c r="A289" s="1521">
        <v>287</v>
      </c>
      <c r="B289" s="1519" t="s">
        <v>2507</v>
      </c>
      <c r="C289" s="1317" t="s">
        <v>29</v>
      </c>
      <c r="D289" s="1469">
        <v>54630</v>
      </c>
      <c r="E289" s="1469" t="s">
        <v>2837</v>
      </c>
      <c r="F289" s="1318" t="s">
        <v>2184</v>
      </c>
      <c r="G289" s="1317" t="s">
        <v>2222</v>
      </c>
      <c r="H289" s="1449">
        <v>48040</v>
      </c>
      <c r="I289" s="1317"/>
      <c r="J289" s="1317"/>
      <c r="K289" s="1325">
        <v>45622</v>
      </c>
      <c r="L289" s="1325">
        <v>45623</v>
      </c>
      <c r="M289" s="1325">
        <v>45630</v>
      </c>
      <c r="N289" s="1325">
        <v>45638</v>
      </c>
      <c r="O289" s="1541">
        <v>45649</v>
      </c>
      <c r="P289" s="1260" t="s">
        <v>2557</v>
      </c>
      <c r="Q289" s="1500">
        <v>6.8240073047999994</v>
      </c>
      <c r="R289" s="1337">
        <v>3.5660000000000003</v>
      </c>
      <c r="S289" s="1544">
        <f t="shared" ref="S289:S298" si="70">R289/Q289</f>
        <v>0.52256684975874512</v>
      </c>
      <c r="T289" s="1437">
        <v>474.84245681807982</v>
      </c>
      <c r="U289" s="1437">
        <v>699.5897045829779</v>
      </c>
      <c r="V289" s="1437">
        <v>46.190884148375289</v>
      </c>
      <c r="W289" s="1437">
        <v>31.315389246987049</v>
      </c>
      <c r="X289" s="1437">
        <v>11.659407332808804</v>
      </c>
      <c r="Y289" s="1279">
        <f t="shared" ref="Y289:Y314" si="71">V289/(U289-W289-X289)</f>
        <v>7.0346992712738463E-2</v>
      </c>
      <c r="Z289" s="1437">
        <v>384.037835447595</v>
      </c>
      <c r="AA289" s="1437">
        <v>124</v>
      </c>
      <c r="AB289" s="1437">
        <v>30.242982109999996</v>
      </c>
      <c r="AC289" s="1382">
        <f t="shared" ref="AC289:AC294" si="72">U289*H289/10^7</f>
        <v>3.3608289408166261</v>
      </c>
      <c r="AD289" s="1278">
        <f t="shared" ref="AD289:AD294" si="73">T289/(U289-W289-X289)</f>
        <v>0.72316734059863685</v>
      </c>
      <c r="AE289" s="1437">
        <v>8.7448713072872248</v>
      </c>
      <c r="AF289" s="1437">
        <v>8.6355604159461343</v>
      </c>
      <c r="AG289" s="1437">
        <v>8.5276159107468086</v>
      </c>
      <c r="AH289" s="1317"/>
      <c r="AI289" s="1317"/>
      <c r="AJ289" s="1317"/>
      <c r="AK289" s="1317"/>
      <c r="AL289" s="1317"/>
      <c r="AM289" s="1317"/>
      <c r="AN289" s="1317"/>
      <c r="AO289" s="1317"/>
      <c r="AP289" s="1579"/>
      <c r="AQ289" s="1390">
        <f t="shared" si="57"/>
        <v>0</v>
      </c>
      <c r="AR289" s="1616"/>
    </row>
    <row r="290" spans="1:44" ht="24" thickBot="1">
      <c r="A290" s="1521">
        <v>288</v>
      </c>
      <c r="B290" s="1622" t="s">
        <v>2507</v>
      </c>
      <c r="C290" s="1292" t="s">
        <v>29</v>
      </c>
      <c r="D290" s="1470">
        <v>54630</v>
      </c>
      <c r="E290" s="1470" t="s">
        <v>2833</v>
      </c>
      <c r="F290" s="1321" t="s">
        <v>2834</v>
      </c>
      <c r="G290" s="1292" t="s">
        <v>2222</v>
      </c>
      <c r="H290" s="1305">
        <v>45900</v>
      </c>
      <c r="I290" s="1292"/>
      <c r="J290" s="1292"/>
      <c r="K290" s="1413">
        <v>45622</v>
      </c>
      <c r="L290" s="1413">
        <v>45623</v>
      </c>
      <c r="M290" s="1413">
        <v>45630</v>
      </c>
      <c r="N290" s="1430">
        <v>45638</v>
      </c>
      <c r="O290" s="1548">
        <v>45649</v>
      </c>
      <c r="P290" s="1263" t="s">
        <v>2557</v>
      </c>
      <c r="Q290" s="1506">
        <v>4.5172902588000001</v>
      </c>
      <c r="R290" s="1444">
        <v>2.4497</v>
      </c>
      <c r="S290" s="1545">
        <f t="shared" si="70"/>
        <v>0.54229413202479326</v>
      </c>
      <c r="T290" s="1415">
        <v>356.99827911650402</v>
      </c>
      <c r="U290" s="1415">
        <v>551.6631673285134</v>
      </c>
      <c r="V290" s="1415">
        <v>39.151771120276827</v>
      </c>
      <c r="W290" s="1415">
        <v>31.315389246987049</v>
      </c>
      <c r="X290" s="1415">
        <v>10.051412452456612</v>
      </c>
      <c r="Y290" s="1285">
        <f t="shared" si="71"/>
        <v>7.6723593890409808E-2</v>
      </c>
      <c r="Z290" s="1415">
        <v>211.53806093806003</v>
      </c>
      <c r="AA290" s="1415">
        <v>0</v>
      </c>
      <c r="AB290" s="1415">
        <v>0</v>
      </c>
      <c r="AC290" s="1384">
        <f t="shared" si="72"/>
        <v>2.5321339380378762</v>
      </c>
      <c r="AD290" s="1284">
        <f t="shared" si="73"/>
        <v>0.69959008756884455</v>
      </c>
      <c r="AE290" s="1415">
        <v>6.895789591606416</v>
      </c>
      <c r="AF290" s="1415">
        <v>6.8095922217113358</v>
      </c>
      <c r="AG290" s="1415">
        <v>6.7244723189399442</v>
      </c>
      <c r="AH290" s="1292"/>
      <c r="AI290" s="1292"/>
      <c r="AJ290" s="1292"/>
      <c r="AK290" s="1292"/>
      <c r="AL290" s="1292"/>
      <c r="AM290" s="1292"/>
      <c r="AN290" s="1292"/>
      <c r="AO290" s="1292"/>
      <c r="AP290" s="1576"/>
      <c r="AQ290" s="1390">
        <f t="shared" si="57"/>
        <v>0</v>
      </c>
      <c r="AR290" s="1617"/>
    </row>
    <row r="291" spans="1:44" ht="23.25">
      <c r="A291" s="1521">
        <v>289</v>
      </c>
      <c r="B291" s="1700" t="s">
        <v>2507</v>
      </c>
      <c r="C291" s="1260" t="s">
        <v>29</v>
      </c>
      <c r="D291" s="1457">
        <v>54640</v>
      </c>
      <c r="E291" s="1457" t="s">
        <v>2838</v>
      </c>
      <c r="F291" s="1314" t="s">
        <v>2840</v>
      </c>
      <c r="G291" s="1260" t="s">
        <v>2222</v>
      </c>
      <c r="H291" s="1484">
        <v>68850</v>
      </c>
      <c r="I291" s="1260"/>
      <c r="J291" s="1260"/>
      <c r="K291" s="1277">
        <v>45622</v>
      </c>
      <c r="L291" s="1277">
        <v>45623</v>
      </c>
      <c r="M291" s="1277">
        <v>45630</v>
      </c>
      <c r="N291" s="1277">
        <v>45638</v>
      </c>
      <c r="O291" s="1393">
        <v>45646</v>
      </c>
      <c r="P291" s="1260" t="s">
        <v>2557</v>
      </c>
      <c r="Q291" s="1424">
        <v>2.0045933060999999</v>
      </c>
      <c r="R291" s="1327">
        <v>1.04</v>
      </c>
      <c r="S291" s="1544">
        <f t="shared" si="70"/>
        <v>0.51880847692909504</v>
      </c>
      <c r="T291" s="1382">
        <v>92.128403969928002</v>
      </c>
      <c r="U291" s="1382">
        <v>160.20931608525814</v>
      </c>
      <c r="V291" s="1382">
        <v>13.478067221135213</v>
      </c>
      <c r="W291" s="1382">
        <v>4.9035277696157129</v>
      </c>
      <c r="X291" s="1382">
        <v>3.5744132560928992</v>
      </c>
      <c r="Y291" s="1279">
        <f t="shared" si="71"/>
        <v>8.8828478723306362E-2</v>
      </c>
      <c r="Z291" s="1382">
        <v>143.41090837343501</v>
      </c>
      <c r="AA291" s="1382">
        <v>44.5</v>
      </c>
      <c r="AB291" s="1382">
        <v>12.652392957142858</v>
      </c>
      <c r="AC291" s="1382">
        <f t="shared" si="72"/>
        <v>1.1030411412470023</v>
      </c>
      <c r="AD291" s="1278">
        <f t="shared" si="73"/>
        <v>0.60718097317559183</v>
      </c>
      <c r="AE291" s="1382">
        <v>2.0026164510657267</v>
      </c>
      <c r="AF291" s="1382">
        <v>1.9775837454274052</v>
      </c>
      <c r="AG291" s="1382">
        <v>1.9528639486095625</v>
      </c>
      <c r="AH291" s="1260"/>
      <c r="AI291" s="1260"/>
      <c r="AJ291" s="1260"/>
      <c r="AK291" s="1260"/>
      <c r="AL291" s="1260"/>
      <c r="AM291" s="1260"/>
      <c r="AN291" s="1260"/>
      <c r="AO291" s="1260"/>
      <c r="AP291" s="1570"/>
      <c r="AQ291" s="1390">
        <f t="shared" si="57"/>
        <v>0</v>
      </c>
      <c r="AR291" s="1609"/>
    </row>
    <row r="292" spans="1:44" ht="24" thickBot="1">
      <c r="A292" s="1521">
        <v>290</v>
      </c>
      <c r="B292" s="1513" t="s">
        <v>2507</v>
      </c>
      <c r="C292" s="1263" t="s">
        <v>29</v>
      </c>
      <c r="D292" s="1458">
        <v>54640</v>
      </c>
      <c r="E292" s="1458" t="s">
        <v>2839</v>
      </c>
      <c r="F292" s="1316" t="s">
        <v>2840</v>
      </c>
      <c r="G292" s="1263" t="s">
        <v>2222</v>
      </c>
      <c r="H292" s="1512">
        <v>187002</v>
      </c>
      <c r="I292" s="1263"/>
      <c r="J292" s="1263"/>
      <c r="K292" s="1283">
        <v>45622</v>
      </c>
      <c r="L292" s="1283">
        <v>45623</v>
      </c>
      <c r="M292" s="1283">
        <v>45630</v>
      </c>
      <c r="N292" s="1283">
        <v>45638</v>
      </c>
      <c r="O292" s="1404">
        <v>45646</v>
      </c>
      <c r="P292" s="1263" t="s">
        <v>2557</v>
      </c>
      <c r="Q292" s="1426">
        <v>1.5547063686000002</v>
      </c>
      <c r="R292" s="1331">
        <v>0.85299999999999998</v>
      </c>
      <c r="S292" s="1545">
        <f t="shared" si="70"/>
        <v>0.54865665776369021</v>
      </c>
      <c r="T292" s="1384">
        <v>73.394580114928004</v>
      </c>
      <c r="U292" s="1384">
        <v>127.27384918744639</v>
      </c>
      <c r="V292" s="1384">
        <v>10.526922016798089</v>
      </c>
      <c r="W292" s="1384">
        <v>4.9035277696157129</v>
      </c>
      <c r="X292" s="1384">
        <v>2.7864240272544976</v>
      </c>
      <c r="Y292" s="1285">
        <f t="shared" si="71"/>
        <v>8.8029594673736264E-2</v>
      </c>
      <c r="Z292" s="1384">
        <v>0</v>
      </c>
      <c r="AA292" s="1384">
        <v>0</v>
      </c>
      <c r="AB292" s="1384">
        <v>0</v>
      </c>
      <c r="AC292" s="1384">
        <f t="shared" si="72"/>
        <v>2.3800464345750849</v>
      </c>
      <c r="AD292" s="1284">
        <f t="shared" si="73"/>
        <v>0.61374969135862822</v>
      </c>
      <c r="AE292" s="1384">
        <v>1.5909231148430798</v>
      </c>
      <c r="AF292" s="1384">
        <v>1.5710365759075413</v>
      </c>
      <c r="AG292" s="1384">
        <v>1.551398618708697</v>
      </c>
      <c r="AH292" s="1263"/>
      <c r="AI292" s="1263"/>
      <c r="AJ292" s="1263"/>
      <c r="AK292" s="1263"/>
      <c r="AL292" s="1263"/>
      <c r="AM292" s="1263"/>
      <c r="AN292" s="1263"/>
      <c r="AO292" s="1263"/>
      <c r="AP292" s="1571"/>
      <c r="AQ292" s="1390">
        <f t="shared" si="57"/>
        <v>0</v>
      </c>
      <c r="AR292" s="1610"/>
    </row>
    <row r="293" spans="1:44" ht="23.25">
      <c r="A293" s="1521">
        <v>291</v>
      </c>
      <c r="B293" s="1519" t="s">
        <v>2507</v>
      </c>
      <c r="C293" s="1317" t="s">
        <v>29</v>
      </c>
      <c r="D293" s="1469">
        <v>54652</v>
      </c>
      <c r="E293" s="1469" t="s">
        <v>2841</v>
      </c>
      <c r="F293" s="1318" t="s">
        <v>539</v>
      </c>
      <c r="G293" s="1317" t="s">
        <v>2222</v>
      </c>
      <c r="H293" s="1449">
        <v>42310</v>
      </c>
      <c r="I293" s="1317"/>
      <c r="J293" s="1317"/>
      <c r="K293" s="1325">
        <v>45622</v>
      </c>
      <c r="L293" s="1325">
        <v>45623</v>
      </c>
      <c r="M293" s="1325">
        <v>45630</v>
      </c>
      <c r="N293" s="1325">
        <v>45638</v>
      </c>
      <c r="O293" s="1541">
        <v>45646</v>
      </c>
      <c r="P293" s="1260" t="s">
        <v>2557</v>
      </c>
      <c r="Q293" s="1500">
        <v>8.1284936846666653</v>
      </c>
      <c r="R293" s="1337">
        <v>3.7719999999999994</v>
      </c>
      <c r="S293" s="1544">
        <f t="shared" si="70"/>
        <v>0.46404661753202581</v>
      </c>
      <c r="T293" s="1437">
        <v>478.45205343423993</v>
      </c>
      <c r="U293" s="1437">
        <v>708.45277500319219</v>
      </c>
      <c r="V293" s="1437">
        <v>48.134299737803396</v>
      </c>
      <c r="W293" s="1437">
        <v>55.607506418357325</v>
      </c>
      <c r="X293" s="1437">
        <v>12.210711616924362</v>
      </c>
      <c r="Y293" s="1279">
        <f t="shared" si="71"/>
        <v>7.5135346999731789E-2</v>
      </c>
      <c r="Z293" s="1437">
        <v>417.38808663265002</v>
      </c>
      <c r="AA293" s="1437">
        <v>60.75</v>
      </c>
      <c r="AB293" s="1437">
        <v>27.35885</v>
      </c>
      <c r="AC293" s="1382">
        <f t="shared" si="72"/>
        <v>2.9974636910385062</v>
      </c>
      <c r="AD293" s="1278">
        <f t="shared" si="73"/>
        <v>0.74684084433210751</v>
      </c>
      <c r="AE293" s="1437">
        <v>7.0845277500319206</v>
      </c>
      <c r="AF293" s="1437">
        <v>7.0136824725316016</v>
      </c>
      <c r="AG293" s="1437">
        <v>6.9435456478062854</v>
      </c>
      <c r="AH293" s="1317"/>
      <c r="AI293" s="1317"/>
      <c r="AJ293" s="1317"/>
      <c r="AK293" s="1317"/>
      <c r="AL293" s="1317"/>
      <c r="AM293" s="1317"/>
      <c r="AN293" s="1317"/>
      <c r="AO293" s="1317"/>
      <c r="AP293" s="1579"/>
      <c r="AQ293" s="1390">
        <f t="shared" si="57"/>
        <v>0</v>
      </c>
      <c r="AR293" s="1616"/>
    </row>
    <row r="294" spans="1:44" ht="24" thickBot="1">
      <c r="A294" s="1521">
        <v>292</v>
      </c>
      <c r="B294" s="1622" t="s">
        <v>2507</v>
      </c>
      <c r="C294" s="1292" t="s">
        <v>29</v>
      </c>
      <c r="D294" s="1470">
        <v>54652</v>
      </c>
      <c r="E294" s="1470" t="s">
        <v>2842</v>
      </c>
      <c r="F294" s="1321" t="s">
        <v>539</v>
      </c>
      <c r="G294" s="1292" t="s">
        <v>2222</v>
      </c>
      <c r="H294" s="1305">
        <v>5730</v>
      </c>
      <c r="I294" s="1292"/>
      <c r="J294" s="1292"/>
      <c r="K294" s="1413">
        <v>45622</v>
      </c>
      <c r="L294" s="1413">
        <v>45623</v>
      </c>
      <c r="M294" s="1413">
        <v>45630</v>
      </c>
      <c r="N294" s="1413">
        <v>45638</v>
      </c>
      <c r="O294" s="1541">
        <v>45646</v>
      </c>
      <c r="P294" s="1263" t="s">
        <v>2557</v>
      </c>
      <c r="Q294" s="1506">
        <v>8.1284936846666653</v>
      </c>
      <c r="R294" s="1444">
        <v>3.7719999999999994</v>
      </c>
      <c r="S294" s="1545">
        <f t="shared" si="70"/>
        <v>0.46404661753202581</v>
      </c>
      <c r="T294" s="1415">
        <v>477.17205343423996</v>
      </c>
      <c r="U294" s="1415">
        <v>706.67611200319209</v>
      </c>
      <c r="V294" s="1415">
        <v>48.0211997378034</v>
      </c>
      <c r="W294" s="1415">
        <v>55.607506418357325</v>
      </c>
      <c r="X294" s="1415">
        <v>12.182598616924365</v>
      </c>
      <c r="Y294" s="1285">
        <f t="shared" si="71"/>
        <v>7.5163956032950605E-2</v>
      </c>
      <c r="Z294" s="1415">
        <v>14.011589041760001</v>
      </c>
      <c r="AA294" s="1415">
        <v>0</v>
      </c>
      <c r="AB294" s="1415">
        <v>0</v>
      </c>
      <c r="AC294" s="1384">
        <f t="shared" si="72"/>
        <v>0.40492541217782907</v>
      </c>
      <c r="AD294" s="1284">
        <f t="shared" si="73"/>
        <v>0.74688136573666897</v>
      </c>
      <c r="AE294" s="1415">
        <v>7.0667611200319209</v>
      </c>
      <c r="AF294" s="1415">
        <v>6.996093508831601</v>
      </c>
      <c r="AG294" s="1415">
        <v>6.9261325737432857</v>
      </c>
      <c r="AH294" s="1292"/>
      <c r="AI294" s="1292"/>
      <c r="AJ294" s="1292"/>
      <c r="AK294" s="1292"/>
      <c r="AL294" s="1292"/>
      <c r="AM294" s="1292"/>
      <c r="AN294" s="1292"/>
      <c r="AO294" s="1292"/>
      <c r="AP294" s="1576"/>
      <c r="AQ294" s="1390">
        <f t="shared" si="57"/>
        <v>0</v>
      </c>
      <c r="AR294" s="1617"/>
    </row>
    <row r="295" spans="1:44" ht="23.25">
      <c r="A295" s="1521">
        <v>293</v>
      </c>
      <c r="B295" s="1700" t="s">
        <v>1879</v>
      </c>
      <c r="C295" s="1347" t="s">
        <v>29</v>
      </c>
      <c r="D295" s="1490">
        <v>54186</v>
      </c>
      <c r="E295" s="1490" t="s">
        <v>2843</v>
      </c>
      <c r="F295" s="1491" t="s">
        <v>2115</v>
      </c>
      <c r="G295" s="1347" t="s">
        <v>2741</v>
      </c>
      <c r="H295" s="1507">
        <v>96500</v>
      </c>
      <c r="I295" s="1347"/>
      <c r="J295" s="1347"/>
      <c r="K295" s="1493">
        <v>45623</v>
      </c>
      <c r="L295" s="1493">
        <v>45623</v>
      </c>
      <c r="M295" s="1493">
        <v>45630</v>
      </c>
      <c r="N295" s="1493">
        <v>45644</v>
      </c>
      <c r="O295" s="1393">
        <v>45646</v>
      </c>
      <c r="P295" s="1260" t="s">
        <v>2557</v>
      </c>
      <c r="Q295" s="1494">
        <v>7.7028435990000004</v>
      </c>
      <c r="R295" s="1508">
        <v>3.2480000000000002</v>
      </c>
      <c r="S295" s="1544">
        <f t="shared" si="70"/>
        <v>0.42166246247316541</v>
      </c>
      <c r="T295" s="1496">
        <v>320.25801591817992</v>
      </c>
      <c r="U295" s="1496">
        <v>596.16494812515873</v>
      </c>
      <c r="V295" s="1496">
        <v>56.352223176515281</v>
      </c>
      <c r="W295" s="1496">
        <v>81.855477644862859</v>
      </c>
      <c r="X295" s="1496">
        <v>15.185731241068252</v>
      </c>
      <c r="Y295" s="1279">
        <f t="shared" si="71"/>
        <v>0.11290231008128013</v>
      </c>
      <c r="Z295" s="1496">
        <v>249.09541588449</v>
      </c>
      <c r="AA295" s="1496">
        <v>73.75</v>
      </c>
      <c r="AB295" s="1496">
        <v>15.744945799999998</v>
      </c>
      <c r="AC295" s="1382">
        <f t="shared" ref="AC295:AC296" si="74">U295*H295/10^7</f>
        <v>5.7529917494077818</v>
      </c>
      <c r="AD295" s="1278">
        <f t="shared" ref="AD295:AD296" si="75">T295/(U295-W295-X295)</f>
        <v>0.641640520657908</v>
      </c>
      <c r="AE295" s="1496">
        <v>10.432886592190279</v>
      </c>
      <c r="AF295" s="1496">
        <v>10.25031107682695</v>
      </c>
      <c r="AG295" s="1496">
        <v>10.070930632982478</v>
      </c>
      <c r="AH295" s="1347"/>
      <c r="AI295" s="1347"/>
      <c r="AJ295" s="1347"/>
      <c r="AK295" s="1347"/>
      <c r="AL295" s="1347"/>
      <c r="AM295" s="1347"/>
      <c r="AN295" s="1347"/>
      <c r="AO295" s="1347"/>
      <c r="AP295" s="1570"/>
      <c r="AQ295" s="1390">
        <f t="shared" si="57"/>
        <v>0</v>
      </c>
      <c r="AR295" s="1609"/>
    </row>
    <row r="296" spans="1:44" ht="24" thickBot="1">
      <c r="A296" s="1521">
        <v>294</v>
      </c>
      <c r="B296" s="1622" t="s">
        <v>1879</v>
      </c>
      <c r="C296" s="1292" t="s">
        <v>29</v>
      </c>
      <c r="D296" s="1470">
        <v>54186</v>
      </c>
      <c r="E296" s="1470" t="s">
        <v>2844</v>
      </c>
      <c r="F296" s="1321" t="s">
        <v>2117</v>
      </c>
      <c r="G296" s="1292" t="s">
        <v>2741</v>
      </c>
      <c r="H296" s="1447">
        <v>96500</v>
      </c>
      <c r="I296" s="1292"/>
      <c r="J296" s="1292"/>
      <c r="K296" s="1413">
        <v>45623</v>
      </c>
      <c r="L296" s="1413">
        <v>45623</v>
      </c>
      <c r="M296" s="1413">
        <v>45630</v>
      </c>
      <c r="N296" s="1413">
        <v>45644</v>
      </c>
      <c r="O296" s="1404">
        <v>45646</v>
      </c>
      <c r="P296" s="1263" t="s">
        <v>2557</v>
      </c>
      <c r="Q296" s="1506">
        <v>7.9140035311389969</v>
      </c>
      <c r="R296" s="1444">
        <v>3.9019999999999997</v>
      </c>
      <c r="S296" s="1545">
        <f t="shared" si="70"/>
        <v>0.49305007063073891</v>
      </c>
      <c r="T296" s="1415">
        <v>350.03622120461654</v>
      </c>
      <c r="U296" s="1415">
        <v>639.76285559489133</v>
      </c>
      <c r="V296" s="1415">
        <v>59.265425601668092</v>
      </c>
      <c r="W296" s="1415">
        <v>81.855477644862859</v>
      </c>
      <c r="X296" s="1415">
        <v>15.921704949556707</v>
      </c>
      <c r="Y296" s="1285">
        <f t="shared" si="71"/>
        <v>0.10934869417040199</v>
      </c>
      <c r="Z296" s="1415">
        <v>256.94704379376998</v>
      </c>
      <c r="AA296" s="1415">
        <v>73.75</v>
      </c>
      <c r="AB296" s="1415">
        <v>15.744945799999998</v>
      </c>
      <c r="AC296" s="1384">
        <f t="shared" si="74"/>
        <v>6.1737115564907015</v>
      </c>
      <c r="AD296" s="1284">
        <f t="shared" si="75"/>
        <v>0.64584035822716634</v>
      </c>
      <c r="AE296" s="1415">
        <v>11.195849972910601</v>
      </c>
      <c r="AF296" s="1415">
        <v>10.999922598384664</v>
      </c>
      <c r="AG296" s="1415">
        <v>10.807423952912934</v>
      </c>
      <c r="AH296" s="1292"/>
      <c r="AI296" s="1292"/>
      <c r="AJ296" s="1292"/>
      <c r="AK296" s="1292"/>
      <c r="AL296" s="1292"/>
      <c r="AM296" s="1292"/>
      <c r="AN296" s="1292"/>
      <c r="AO296" s="1292"/>
      <c r="AP296" s="1576"/>
      <c r="AQ296" s="1390">
        <f t="shared" si="57"/>
        <v>0</v>
      </c>
      <c r="AR296" s="1617"/>
    </row>
    <row r="297" spans="1:44" ht="23.25">
      <c r="A297" s="1521">
        <v>295</v>
      </c>
      <c r="B297" s="1700" t="s">
        <v>2507</v>
      </c>
      <c r="C297" s="1347" t="s">
        <v>29</v>
      </c>
      <c r="D297" s="1490">
        <v>54658</v>
      </c>
      <c r="E297" s="1490" t="s">
        <v>2850</v>
      </c>
      <c r="F297" s="1491" t="s">
        <v>2851</v>
      </c>
      <c r="G297" s="1347" t="s">
        <v>2222</v>
      </c>
      <c r="H297" s="1507">
        <v>255852</v>
      </c>
      <c r="I297" s="1347"/>
      <c r="J297" s="1347"/>
      <c r="K297" s="1493">
        <v>45628</v>
      </c>
      <c r="L297" s="1493">
        <v>45628</v>
      </c>
      <c r="M297" s="1493">
        <v>45635</v>
      </c>
      <c r="N297" s="1493">
        <v>45646</v>
      </c>
      <c r="O297" s="1525">
        <v>45666</v>
      </c>
      <c r="P297" s="1260" t="s">
        <v>2557</v>
      </c>
      <c r="Q297" s="1494">
        <v>5.179014779400001</v>
      </c>
      <c r="R297" s="1508">
        <v>1.8759999999999999</v>
      </c>
      <c r="S297" s="1544">
        <f t="shared" si="70"/>
        <v>0.36223105743238254</v>
      </c>
      <c r="T297" s="1496">
        <v>236.77409401269404</v>
      </c>
      <c r="U297" s="1496">
        <v>319.35512984563871</v>
      </c>
      <c r="V297" s="1496">
        <v>17.48088767051134</v>
      </c>
      <c r="W297" s="1496">
        <v>2.4517638848078565</v>
      </c>
      <c r="X297" s="1496">
        <v>4.2006763656243251</v>
      </c>
      <c r="Y297" s="1279">
        <f t="shared" si="71"/>
        <v>5.5902581756301292E-2</v>
      </c>
      <c r="Z297" s="1496">
        <v>297.25482124281996</v>
      </c>
      <c r="AA297" s="1626">
        <v>24.25</v>
      </c>
      <c r="AB297" s="1496">
        <v>13.283687200000001</v>
      </c>
      <c r="AC297" s="1382">
        <f t="shared" ref="AC297:AC314" si="76">U297*H297/10^7</f>
        <v>8.1707648681266356</v>
      </c>
      <c r="AD297" s="1278">
        <f t="shared" ref="AD297:AD314" si="77">T297/(U297-W297-X297)</f>
        <v>0.75718598493411737</v>
      </c>
      <c r="AE297" s="1496">
        <v>3.1935512984563883</v>
      </c>
      <c r="AF297" s="1496">
        <v>3.1616157854718243</v>
      </c>
      <c r="AG297" s="1496">
        <v>3.129999627617106</v>
      </c>
      <c r="AH297" s="1347"/>
      <c r="AI297" s="1347"/>
      <c r="AJ297" s="1347"/>
      <c r="AK297" s="1347"/>
      <c r="AL297" s="1347"/>
      <c r="AM297" s="1347"/>
      <c r="AN297" s="1347"/>
      <c r="AO297" s="1347"/>
      <c r="AP297" s="1570"/>
      <c r="AQ297" s="1390">
        <f t="shared" si="57"/>
        <v>0</v>
      </c>
      <c r="AR297" s="1609"/>
    </row>
    <row r="298" spans="1:44" ht="24" thickBot="1">
      <c r="A298" s="1521">
        <v>296</v>
      </c>
      <c r="B298" s="1622" t="s">
        <v>2507</v>
      </c>
      <c r="C298" s="1292" t="s">
        <v>29</v>
      </c>
      <c r="D298" s="1470">
        <v>54658</v>
      </c>
      <c r="E298" s="1470" t="s">
        <v>2850</v>
      </c>
      <c r="F298" s="1321" t="s">
        <v>2852</v>
      </c>
      <c r="G298" s="1292" t="s">
        <v>2222</v>
      </c>
      <c r="H298" s="1447">
        <v>255852</v>
      </c>
      <c r="I298" s="1292"/>
      <c r="J298" s="1292"/>
      <c r="K298" s="1413">
        <v>45628</v>
      </c>
      <c r="L298" s="1413">
        <v>45628</v>
      </c>
      <c r="M298" s="1413">
        <v>45635</v>
      </c>
      <c r="N298" s="1413">
        <v>45646</v>
      </c>
      <c r="O298" s="1548">
        <v>45666</v>
      </c>
      <c r="P298" s="1292" t="s">
        <v>2557</v>
      </c>
      <c r="Q298" s="1506">
        <v>5.179014779400001</v>
      </c>
      <c r="R298" s="1444">
        <v>1.863</v>
      </c>
      <c r="S298" s="1630">
        <f t="shared" si="70"/>
        <v>0.35972092750348017</v>
      </c>
      <c r="T298" s="1415">
        <v>236.30336401269403</v>
      </c>
      <c r="U298" s="1415">
        <v>318.84743576263878</v>
      </c>
      <c r="V298" s="1415">
        <v>17.47147307051134</v>
      </c>
      <c r="W298" s="1415">
        <v>2.4517638848078565</v>
      </c>
      <c r="X298" s="1415">
        <v>4.199687832624325</v>
      </c>
      <c r="Y298" s="1420">
        <f t="shared" si="71"/>
        <v>5.5963157642608993E-2</v>
      </c>
      <c r="Z298" s="1415">
        <v>297.25482124281996</v>
      </c>
      <c r="AA298" s="1627">
        <v>24.25</v>
      </c>
      <c r="AB298" s="1415">
        <v>13.283687200000001</v>
      </c>
      <c r="AC298" s="1415">
        <f t="shared" si="76"/>
        <v>8.1577754134742655</v>
      </c>
      <c r="AD298" s="1416">
        <f t="shared" si="77"/>
        <v>0.75690712273376592</v>
      </c>
      <c r="AE298" s="1415">
        <v>3.1884743576263883</v>
      </c>
      <c r="AF298" s="1415">
        <v>3.1565896140501248</v>
      </c>
      <c r="AG298" s="1415">
        <v>3.1250237179096234</v>
      </c>
      <c r="AH298" s="1292"/>
      <c r="AI298" s="1292"/>
      <c r="AJ298" s="1292"/>
      <c r="AK298" s="1292"/>
      <c r="AL298" s="1292"/>
      <c r="AM298" s="1292"/>
      <c r="AN298" s="1292"/>
      <c r="AO298" s="1292"/>
      <c r="AP298" s="1576"/>
      <c r="AQ298" s="1414">
        <f t="shared" si="57"/>
        <v>0</v>
      </c>
      <c r="AR298" s="1617"/>
    </row>
    <row r="299" spans="1:44">
      <c r="A299" s="1521">
        <v>297</v>
      </c>
      <c r="B299" s="1700" t="s">
        <v>2507</v>
      </c>
      <c r="C299" s="1347" t="s">
        <v>29</v>
      </c>
      <c r="D299" s="1490">
        <v>54656</v>
      </c>
      <c r="E299" s="1490" t="s">
        <v>2853</v>
      </c>
      <c r="F299" s="1491" t="s">
        <v>2862</v>
      </c>
      <c r="G299" s="1347" t="s">
        <v>2222</v>
      </c>
      <c r="H299" s="1507">
        <v>86755</v>
      </c>
      <c r="I299" s="1347"/>
      <c r="J299" s="1347"/>
      <c r="K299" s="1493">
        <v>45628</v>
      </c>
      <c r="L299" s="1493">
        <v>45628</v>
      </c>
      <c r="M299" s="1493">
        <v>45635</v>
      </c>
      <c r="N299" s="1493">
        <v>45645</v>
      </c>
      <c r="O299" s="1525">
        <v>45667</v>
      </c>
      <c r="P299" s="1347" t="s">
        <v>2557</v>
      </c>
      <c r="Q299" s="1494">
        <v>11.995734614895182</v>
      </c>
      <c r="R299" s="1508">
        <v>6.8460000000000001</v>
      </c>
      <c r="S299" s="1498">
        <f>R299/Q299</f>
        <v>0.57070285562163714</v>
      </c>
      <c r="T299" s="1496">
        <v>724.51956001731003</v>
      </c>
      <c r="U299" s="1496">
        <v>1063.4165487338846</v>
      </c>
      <c r="V299" s="1496">
        <v>71.611291022299511</v>
      </c>
      <c r="W299" s="1496">
        <v>50.830234484655421</v>
      </c>
      <c r="X299" s="1496">
        <v>18.119192538586788</v>
      </c>
      <c r="Y299" s="1497">
        <f t="shared" si="71"/>
        <v>7.2009711994416303E-2</v>
      </c>
      <c r="Z299" s="1496">
        <v>521.54373053050119</v>
      </c>
      <c r="AA299" s="1626">
        <v>332.8</v>
      </c>
      <c r="AB299" s="1496">
        <v>113.97165184999999</v>
      </c>
      <c r="AC299" s="1496">
        <f t="shared" si="76"/>
        <v>9.2256702685408154</v>
      </c>
      <c r="AD299" s="1498">
        <f t="shared" si="77"/>
        <v>0.72855054149102538</v>
      </c>
      <c r="AE299" s="1496">
        <v>15.951248231008265</v>
      </c>
      <c r="AF299" s="1496">
        <v>15.711979507543141</v>
      </c>
      <c r="AG299" s="1496">
        <v>15.476299814929993</v>
      </c>
      <c r="AH299" s="1347"/>
      <c r="AI299" s="1347"/>
      <c r="AJ299" s="1347"/>
      <c r="AK299" s="1347"/>
      <c r="AL299" s="1347"/>
      <c r="AM299" s="1347"/>
      <c r="AN299" s="1347"/>
      <c r="AO299" s="1347"/>
      <c r="AP299" s="1347"/>
      <c r="AQ299" s="1623">
        <f t="shared" si="57"/>
        <v>0</v>
      </c>
      <c r="AR299" s="1350"/>
    </row>
    <row r="300" spans="1:44">
      <c r="A300" s="1521">
        <v>298</v>
      </c>
      <c r="B300" s="1515" t="s">
        <v>2507</v>
      </c>
      <c r="C300" s="1270" t="s">
        <v>29</v>
      </c>
      <c r="D300" s="1448">
        <v>54656</v>
      </c>
      <c r="E300" s="1448" t="s">
        <v>2854</v>
      </c>
      <c r="F300" s="1315" t="s">
        <v>2862</v>
      </c>
      <c r="G300" s="1270" t="s">
        <v>2222</v>
      </c>
      <c r="H300" s="1300">
        <v>26000</v>
      </c>
      <c r="I300" s="1270"/>
      <c r="J300" s="1270"/>
      <c r="K300" s="1280">
        <v>45628</v>
      </c>
      <c r="L300" s="1280">
        <v>45628</v>
      </c>
      <c r="M300" s="1280">
        <v>45635</v>
      </c>
      <c r="N300" s="1280">
        <v>45645</v>
      </c>
      <c r="O300" s="1526">
        <v>45667</v>
      </c>
      <c r="P300" s="1270" t="s">
        <v>2557</v>
      </c>
      <c r="Q300" s="1379">
        <v>11.938906840072487</v>
      </c>
      <c r="R300" s="1329">
        <v>6.8270000000000008</v>
      </c>
      <c r="S300" s="1281">
        <f t="shared" ref="S300:S314" si="78">R300/Q300</f>
        <v>0.57182789776744336</v>
      </c>
      <c r="T300" s="1391">
        <v>715.22746305532974</v>
      </c>
      <c r="U300" s="1391">
        <v>1040.1872168777611</v>
      </c>
      <c r="V300" s="1391">
        <v>68.783160813510904</v>
      </c>
      <c r="W300" s="1391">
        <v>50.830234484655421</v>
      </c>
      <c r="X300" s="1391">
        <v>17.331905657786244</v>
      </c>
      <c r="Y300" s="1282">
        <f t="shared" si="71"/>
        <v>7.0762743122357141E-2</v>
      </c>
      <c r="Z300" s="1391">
        <v>0</v>
      </c>
      <c r="AA300" s="1628">
        <v>0</v>
      </c>
      <c r="AB300" s="1391">
        <v>0</v>
      </c>
      <c r="AC300" s="1391">
        <f t="shared" si="76"/>
        <v>2.704486763882179</v>
      </c>
      <c r="AD300" s="1281">
        <f t="shared" si="77"/>
        <v>0.73581174001963001</v>
      </c>
      <c r="AE300" s="1391">
        <v>15.602808253166419</v>
      </c>
      <c r="AF300" s="1391">
        <v>15.368766129368924</v>
      </c>
      <c r="AG300" s="1391">
        <v>15.13823463742839</v>
      </c>
      <c r="AH300" s="1270"/>
      <c r="AI300" s="1270"/>
      <c r="AJ300" s="1270"/>
      <c r="AK300" s="1270"/>
      <c r="AL300" s="1270"/>
      <c r="AM300" s="1270"/>
      <c r="AN300" s="1270"/>
      <c r="AO300" s="1270"/>
      <c r="AP300" s="1270"/>
      <c r="AQ300" s="1390">
        <f t="shared" si="57"/>
        <v>0</v>
      </c>
      <c r="AR300" s="1624"/>
    </row>
    <row r="301" spans="1:44">
      <c r="A301" s="1521">
        <v>299</v>
      </c>
      <c r="B301" s="1515" t="s">
        <v>2507</v>
      </c>
      <c r="C301" s="1270" t="s">
        <v>29</v>
      </c>
      <c r="D301" s="1448">
        <v>54656</v>
      </c>
      <c r="E301" s="1448" t="s">
        <v>2855</v>
      </c>
      <c r="F301" s="1315" t="s">
        <v>2862</v>
      </c>
      <c r="G301" s="1270" t="s">
        <v>2222</v>
      </c>
      <c r="H301" s="1300">
        <v>16822</v>
      </c>
      <c r="I301" s="1270"/>
      <c r="J301" s="1270"/>
      <c r="K301" s="1280">
        <v>45628</v>
      </c>
      <c r="L301" s="1280">
        <v>45628</v>
      </c>
      <c r="M301" s="1280">
        <v>45635</v>
      </c>
      <c r="N301" s="1280">
        <v>45645</v>
      </c>
      <c r="O301" s="1526">
        <v>45667</v>
      </c>
      <c r="P301" s="1270" t="s">
        <v>2557</v>
      </c>
      <c r="Q301" s="1379">
        <v>11.933771532380179</v>
      </c>
      <c r="R301" s="1329">
        <v>6.82</v>
      </c>
      <c r="S301" s="1281">
        <f t="shared" si="78"/>
        <v>0.57148739453366737</v>
      </c>
      <c r="T301" s="1391">
        <v>717.06746887686802</v>
      </c>
      <c r="U301" s="1391">
        <v>1042.5341619152784</v>
      </c>
      <c r="V301" s="1391">
        <v>68.907460929941664</v>
      </c>
      <c r="W301" s="1391">
        <v>50.830234484655421</v>
      </c>
      <c r="X301" s="1391">
        <v>17.361194670011475</v>
      </c>
      <c r="Y301" s="1282">
        <f t="shared" si="71"/>
        <v>7.0721994030484236E-2</v>
      </c>
      <c r="Z301" s="1391">
        <v>0</v>
      </c>
      <c r="AA301" s="1628">
        <v>0</v>
      </c>
      <c r="AB301" s="1391">
        <v>0</v>
      </c>
      <c r="AC301" s="1391">
        <f t="shared" si="76"/>
        <v>1.7537509671738813</v>
      </c>
      <c r="AD301" s="1281">
        <f t="shared" si="77"/>
        <v>0.73594993298220246</v>
      </c>
      <c r="AE301" s="1391">
        <v>15.63801242872918</v>
      </c>
      <c r="AF301" s="1391">
        <v>15.403442242298244</v>
      </c>
      <c r="AG301" s="1391">
        <v>15.172390608663768</v>
      </c>
      <c r="AH301" s="1270"/>
      <c r="AI301" s="1270"/>
      <c r="AJ301" s="1270"/>
      <c r="AK301" s="1270"/>
      <c r="AL301" s="1270"/>
      <c r="AM301" s="1270"/>
      <c r="AN301" s="1270"/>
      <c r="AO301" s="1270"/>
      <c r="AP301" s="1270"/>
      <c r="AQ301" s="1390">
        <f t="shared" si="57"/>
        <v>0</v>
      </c>
      <c r="AR301" s="1624"/>
    </row>
    <row r="302" spans="1:44">
      <c r="A302" s="1521">
        <v>300</v>
      </c>
      <c r="B302" s="1515" t="s">
        <v>2507</v>
      </c>
      <c r="C302" s="1270" t="s">
        <v>29</v>
      </c>
      <c r="D302" s="1448">
        <v>54656</v>
      </c>
      <c r="E302" s="1448" t="s">
        <v>2856</v>
      </c>
      <c r="F302" s="1315" t="s">
        <v>2862</v>
      </c>
      <c r="G302" s="1270" t="s">
        <v>2222</v>
      </c>
      <c r="H302" s="1300">
        <v>33058</v>
      </c>
      <c r="I302" s="1270"/>
      <c r="J302" s="1270"/>
      <c r="K302" s="1280">
        <v>45628</v>
      </c>
      <c r="L302" s="1280">
        <v>45628</v>
      </c>
      <c r="M302" s="1280">
        <v>45635</v>
      </c>
      <c r="N302" s="1280">
        <v>45645</v>
      </c>
      <c r="O302" s="1526">
        <v>45667</v>
      </c>
      <c r="P302" s="1270" t="s">
        <v>2557</v>
      </c>
      <c r="Q302" s="1379">
        <v>12.290962390072487</v>
      </c>
      <c r="R302" s="1329">
        <v>6.9649999999999999</v>
      </c>
      <c r="S302" s="1281">
        <f t="shared" si="78"/>
        <v>0.5666765367068155</v>
      </c>
      <c r="T302" s="1391">
        <v>733.14709260471432</v>
      </c>
      <c r="U302" s="1391">
        <v>1076.4647331781837</v>
      </c>
      <c r="V302" s="1391">
        <v>72.547867187080243</v>
      </c>
      <c r="W302" s="1391">
        <v>50.830234484655421</v>
      </c>
      <c r="X302" s="1391">
        <v>18.359314341807249</v>
      </c>
      <c r="Y302" s="1282">
        <f t="shared" si="71"/>
        <v>7.2023880181036934E-2</v>
      </c>
      <c r="Z302" s="1391">
        <v>10.878978507359999</v>
      </c>
      <c r="AA302" s="1628">
        <v>0</v>
      </c>
      <c r="AB302" s="1391">
        <v>0</v>
      </c>
      <c r="AC302" s="1391">
        <f t="shared" si="76"/>
        <v>3.5585771149404399</v>
      </c>
      <c r="AD302" s="1281">
        <f t="shared" si="77"/>
        <v>0.72785183631478556</v>
      </c>
      <c r="AE302" s="1391">
        <v>16.146970997672753</v>
      </c>
      <c r="AF302" s="1391">
        <v>15.90476643270766</v>
      </c>
      <c r="AG302" s="1391">
        <v>15.666194936217046</v>
      </c>
      <c r="AH302" s="1270"/>
      <c r="AI302" s="1270"/>
      <c r="AJ302" s="1270"/>
      <c r="AK302" s="1270"/>
      <c r="AL302" s="1270"/>
      <c r="AM302" s="1270"/>
      <c r="AN302" s="1270"/>
      <c r="AO302" s="1270"/>
      <c r="AP302" s="1270"/>
      <c r="AQ302" s="1390">
        <f t="shared" si="57"/>
        <v>0</v>
      </c>
      <c r="AR302" s="1624"/>
    </row>
    <row r="303" spans="1:44">
      <c r="A303" s="1521">
        <v>301</v>
      </c>
      <c r="B303" s="1515" t="s">
        <v>2507</v>
      </c>
      <c r="C303" s="1270" t="s">
        <v>29</v>
      </c>
      <c r="D303" s="1448">
        <v>54656</v>
      </c>
      <c r="E303" s="1448" t="s">
        <v>2857</v>
      </c>
      <c r="F303" s="1315" t="s">
        <v>2862</v>
      </c>
      <c r="G303" s="1270" t="s">
        <v>2222</v>
      </c>
      <c r="H303" s="1300">
        <v>12842</v>
      </c>
      <c r="I303" s="1270"/>
      <c r="J303" s="1270"/>
      <c r="K303" s="1280">
        <v>45628</v>
      </c>
      <c r="L303" s="1280">
        <v>45628</v>
      </c>
      <c r="M303" s="1280">
        <v>45635</v>
      </c>
      <c r="N303" s="1280">
        <v>45645</v>
      </c>
      <c r="O303" s="1526">
        <v>45667</v>
      </c>
      <c r="P303" s="1270" t="s">
        <v>2557</v>
      </c>
      <c r="Q303" s="1379">
        <v>12.342599422873905</v>
      </c>
      <c r="R303" s="1329">
        <v>6.9989999999999997</v>
      </c>
      <c r="S303" s="1281">
        <f t="shared" si="78"/>
        <v>0.56706045138507155</v>
      </c>
      <c r="T303" s="1391">
        <v>743.01212936450145</v>
      </c>
      <c r="U303" s="1391">
        <v>1093.7538928017586</v>
      </c>
      <c r="V303" s="1391">
        <v>74.110167922275991</v>
      </c>
      <c r="W303" s="1391">
        <v>50.830234484655421</v>
      </c>
      <c r="X303" s="1391">
        <v>18.776660919002804</v>
      </c>
      <c r="Y303" s="1282">
        <f t="shared" si="71"/>
        <v>7.2362823023019926E-2</v>
      </c>
      <c r="Z303" s="1391">
        <v>0</v>
      </c>
      <c r="AA303" s="1628">
        <v>0</v>
      </c>
      <c r="AB303" s="1391">
        <v>0</v>
      </c>
      <c r="AC303" s="1391">
        <f t="shared" si="76"/>
        <v>1.4045987491360183</v>
      </c>
      <c r="AD303" s="1281">
        <f t="shared" si="77"/>
        <v>0.72549363641368181</v>
      </c>
      <c r="AE303" s="1391">
        <v>16.406308392026379</v>
      </c>
      <c r="AF303" s="1391">
        <v>16.160213766145983</v>
      </c>
      <c r="AG303" s="1391">
        <v>15.917810559653795</v>
      </c>
      <c r="AH303" s="1270"/>
      <c r="AI303" s="1270"/>
      <c r="AJ303" s="1270"/>
      <c r="AK303" s="1270"/>
      <c r="AL303" s="1270"/>
      <c r="AM303" s="1270"/>
      <c r="AN303" s="1270"/>
      <c r="AO303" s="1270"/>
      <c r="AP303" s="1270"/>
      <c r="AQ303" s="1390">
        <f t="shared" si="57"/>
        <v>0</v>
      </c>
      <c r="AR303" s="1624"/>
    </row>
    <row r="304" spans="1:44">
      <c r="A304" s="1521">
        <v>302</v>
      </c>
      <c r="B304" s="1515" t="s">
        <v>2507</v>
      </c>
      <c r="C304" s="1270" t="s">
        <v>29</v>
      </c>
      <c r="D304" s="1448">
        <v>54656</v>
      </c>
      <c r="E304" s="1448" t="s">
        <v>2858</v>
      </c>
      <c r="F304" s="1315" t="s">
        <v>2862</v>
      </c>
      <c r="G304" s="1270" t="s">
        <v>2222</v>
      </c>
      <c r="H304" s="1300">
        <v>42310</v>
      </c>
      <c r="I304" s="1270"/>
      <c r="J304" s="1270"/>
      <c r="K304" s="1280">
        <v>45628</v>
      </c>
      <c r="L304" s="1280">
        <v>45628</v>
      </c>
      <c r="M304" s="1280">
        <v>45635</v>
      </c>
      <c r="N304" s="1280">
        <v>45645</v>
      </c>
      <c r="O304" s="1526">
        <v>45667</v>
      </c>
      <c r="P304" s="1270" t="s">
        <v>2557</v>
      </c>
      <c r="Q304" s="1379">
        <v>11.938906840072487</v>
      </c>
      <c r="R304" s="1329">
        <v>6.827</v>
      </c>
      <c r="S304" s="1281">
        <f t="shared" si="78"/>
        <v>0.57182789776744336</v>
      </c>
      <c r="T304" s="1391">
        <v>725.27945944071416</v>
      </c>
      <c r="U304" s="1391">
        <v>1054.6547173290435</v>
      </c>
      <c r="V304" s="1391">
        <v>69.771700741218595</v>
      </c>
      <c r="W304" s="1391">
        <v>50.830234484655421</v>
      </c>
      <c r="X304" s="1391">
        <v>17.581839850195554</v>
      </c>
      <c r="Y304" s="1282">
        <f t="shared" si="71"/>
        <v>7.0744964473848496E-2</v>
      </c>
      <c r="Z304" s="1391">
        <v>329.00084868698002</v>
      </c>
      <c r="AA304" s="1628">
        <v>0</v>
      </c>
      <c r="AB304" s="1391">
        <v>0</v>
      </c>
      <c r="AC304" s="1391">
        <f t="shared" si="76"/>
        <v>4.4622441090191822</v>
      </c>
      <c r="AD304" s="1281">
        <f t="shared" si="77"/>
        <v>0.73539657263124958</v>
      </c>
      <c r="AE304" s="1391">
        <v>15.819820759935652</v>
      </c>
      <c r="AF304" s="1391">
        <v>15.582523448536616</v>
      </c>
      <c r="AG304" s="1391">
        <v>15.348785596808566</v>
      </c>
      <c r="AH304" s="1270"/>
      <c r="AI304" s="1270"/>
      <c r="AJ304" s="1270"/>
      <c r="AK304" s="1270"/>
      <c r="AL304" s="1270"/>
      <c r="AM304" s="1270"/>
      <c r="AN304" s="1270"/>
      <c r="AO304" s="1270"/>
      <c r="AP304" s="1270"/>
      <c r="AQ304" s="1390">
        <f t="shared" si="57"/>
        <v>0</v>
      </c>
      <c r="AR304" s="1624"/>
    </row>
    <row r="305" spans="1:44">
      <c r="A305" s="1521">
        <v>303</v>
      </c>
      <c r="B305" s="1515" t="s">
        <v>2507</v>
      </c>
      <c r="C305" s="1270" t="s">
        <v>29</v>
      </c>
      <c r="D305" s="1448">
        <v>54656</v>
      </c>
      <c r="E305" s="1448" t="s">
        <v>2859</v>
      </c>
      <c r="F305" s="1315" t="s">
        <v>2862</v>
      </c>
      <c r="G305" s="1270" t="s">
        <v>2222</v>
      </c>
      <c r="H305" s="1300">
        <v>5730</v>
      </c>
      <c r="I305" s="1270"/>
      <c r="J305" s="1270"/>
      <c r="K305" s="1280">
        <v>45628</v>
      </c>
      <c r="L305" s="1280">
        <v>45628</v>
      </c>
      <c r="M305" s="1280">
        <v>45635</v>
      </c>
      <c r="N305" s="1280">
        <v>45645</v>
      </c>
      <c r="O305" s="1526">
        <v>45667</v>
      </c>
      <c r="P305" s="1270" t="s">
        <v>2557</v>
      </c>
      <c r="Q305" s="1379">
        <v>11.936587224352161</v>
      </c>
      <c r="R305" s="1329">
        <v>6.6819999999999995</v>
      </c>
      <c r="S305" s="1281">
        <f t="shared" si="78"/>
        <v>0.55979149437017195</v>
      </c>
      <c r="T305" s="1391">
        <v>725.55113348765133</v>
      </c>
      <c r="U305" s="1391">
        <v>1012.9500430957083</v>
      </c>
      <c r="V305" s="1391">
        <v>61.640481143961345</v>
      </c>
      <c r="W305" s="1391">
        <v>50.830234484655421</v>
      </c>
      <c r="X305" s="1391">
        <v>15.2181314569726</v>
      </c>
      <c r="Y305" s="1282">
        <f t="shared" si="71"/>
        <v>6.5097023937292248E-2</v>
      </c>
      <c r="Z305" s="1391">
        <v>250.61357211950252</v>
      </c>
      <c r="AA305" s="1628">
        <v>0</v>
      </c>
      <c r="AB305" s="1391">
        <v>0</v>
      </c>
      <c r="AC305" s="1391">
        <f t="shared" si="76"/>
        <v>0.58042037469384089</v>
      </c>
      <c r="AD305" s="1281">
        <f t="shared" si="77"/>
        <v>0.76623703494569828</v>
      </c>
      <c r="AE305" s="1391">
        <v>15.194250646435625</v>
      </c>
      <c r="AF305" s="1391">
        <v>14.966336886739089</v>
      </c>
      <c r="AG305" s="1391">
        <v>14.741841833438004</v>
      </c>
      <c r="AH305" s="1270"/>
      <c r="AI305" s="1270"/>
      <c r="AJ305" s="1270"/>
      <c r="AK305" s="1270"/>
      <c r="AL305" s="1270"/>
      <c r="AM305" s="1270"/>
      <c r="AN305" s="1270"/>
      <c r="AO305" s="1270"/>
      <c r="AP305" s="1270"/>
      <c r="AQ305" s="1390">
        <f t="shared" si="57"/>
        <v>0</v>
      </c>
      <c r="AR305" s="1624"/>
    </row>
    <row r="306" spans="1:44">
      <c r="A306" s="1521">
        <v>304</v>
      </c>
      <c r="B306" s="1515" t="s">
        <v>2507</v>
      </c>
      <c r="C306" s="1270" t="s">
        <v>29</v>
      </c>
      <c r="D306" s="1448">
        <v>54656</v>
      </c>
      <c r="E306" s="1448" t="s">
        <v>2860</v>
      </c>
      <c r="F306" s="1315" t="s">
        <v>2862</v>
      </c>
      <c r="G306" s="1270" t="s">
        <v>2222</v>
      </c>
      <c r="H306" s="1300">
        <v>48032</v>
      </c>
      <c r="I306" s="1270"/>
      <c r="J306" s="1270"/>
      <c r="K306" s="1280">
        <v>45628</v>
      </c>
      <c r="L306" s="1280">
        <v>45628</v>
      </c>
      <c r="M306" s="1280">
        <v>45635</v>
      </c>
      <c r="N306" s="1280">
        <v>45645</v>
      </c>
      <c r="O306" s="1526">
        <v>45667</v>
      </c>
      <c r="P306" s="1270" t="s">
        <v>2557</v>
      </c>
      <c r="Q306" s="1379">
        <v>11.958556687876484</v>
      </c>
      <c r="R306" s="1329">
        <v>6.5580000000000007</v>
      </c>
      <c r="S306" s="1281">
        <f t="shared" si="78"/>
        <v>0.54839393842974904</v>
      </c>
      <c r="T306" s="1391">
        <v>706.39620148125653</v>
      </c>
      <c r="U306" s="1391">
        <v>987.81380211187638</v>
      </c>
      <c r="V306" s="1391">
        <v>60.266882503833472</v>
      </c>
      <c r="W306" s="1391">
        <v>50.830234484655421</v>
      </c>
      <c r="X306" s="1391">
        <v>14.890095099759177</v>
      </c>
      <c r="Y306" s="1282">
        <f t="shared" si="71"/>
        <v>6.5358756242620081E-2</v>
      </c>
      <c r="Z306" s="1391">
        <v>180.83569461516498</v>
      </c>
      <c r="AA306" s="1628">
        <v>0</v>
      </c>
      <c r="AB306" s="1391">
        <v>0</v>
      </c>
      <c r="AC306" s="1391">
        <f t="shared" si="76"/>
        <v>4.7446672543037645</v>
      </c>
      <c r="AD306" s="1281">
        <f t="shared" si="77"/>
        <v>0.76607873553753913</v>
      </c>
      <c r="AE306" s="1391">
        <v>14.817207031678144</v>
      </c>
      <c r="AF306" s="1391">
        <v>14.594948926202974</v>
      </c>
      <c r="AG306" s="1391">
        <v>14.37602469230993</v>
      </c>
      <c r="AH306" s="1270"/>
      <c r="AI306" s="1270"/>
      <c r="AJ306" s="1270"/>
      <c r="AK306" s="1270"/>
      <c r="AL306" s="1270"/>
      <c r="AM306" s="1270"/>
      <c r="AN306" s="1270"/>
      <c r="AO306" s="1270"/>
      <c r="AP306" s="1270"/>
      <c r="AQ306" s="1390">
        <f t="shared" si="57"/>
        <v>0</v>
      </c>
      <c r="AR306" s="1624"/>
    </row>
    <row r="307" spans="1:44" ht="21.75" thickBot="1">
      <c r="A307" s="1521">
        <v>305</v>
      </c>
      <c r="B307" s="1513" t="s">
        <v>2507</v>
      </c>
      <c r="C307" s="1263" t="s">
        <v>29</v>
      </c>
      <c r="D307" s="1458">
        <v>54656</v>
      </c>
      <c r="E307" s="1458" t="s">
        <v>2861</v>
      </c>
      <c r="F307" s="1316" t="s">
        <v>2862</v>
      </c>
      <c r="G307" s="1263" t="s">
        <v>2222</v>
      </c>
      <c r="H307" s="1512">
        <v>26121</v>
      </c>
      <c r="I307" s="1263"/>
      <c r="J307" s="1263"/>
      <c r="K307" s="1283">
        <v>45628</v>
      </c>
      <c r="L307" s="1283">
        <v>45628</v>
      </c>
      <c r="M307" s="1283">
        <v>45635</v>
      </c>
      <c r="N307" s="1283">
        <v>45645</v>
      </c>
      <c r="O307" s="1404">
        <v>45667</v>
      </c>
      <c r="P307" s="1263" t="s">
        <v>2557</v>
      </c>
      <c r="Q307" s="1426">
        <v>11.958556687876484</v>
      </c>
      <c r="R307" s="1331">
        <v>6.5580000000000007</v>
      </c>
      <c r="S307" s="1284">
        <f t="shared" si="78"/>
        <v>0.54839393842974904</v>
      </c>
      <c r="T307" s="1384">
        <v>710.71620148125646</v>
      </c>
      <c r="U307" s="1384">
        <v>992.74324911187637</v>
      </c>
      <c r="V307" s="1384">
        <v>60.440782503833475</v>
      </c>
      <c r="W307" s="1384">
        <v>50.830234484655421</v>
      </c>
      <c r="X307" s="1384">
        <v>14.924592099759176</v>
      </c>
      <c r="Y307" s="1285">
        <f t="shared" si="71"/>
        <v>6.5201226935542367E-2</v>
      </c>
      <c r="Z307" s="1384" t="s">
        <v>2556</v>
      </c>
      <c r="AA307" s="1629">
        <v>0</v>
      </c>
      <c r="AB307" s="1384">
        <v>0</v>
      </c>
      <c r="AC307" s="1384">
        <f t="shared" si="76"/>
        <v>2.5931446410051322</v>
      </c>
      <c r="AD307" s="1284">
        <f t="shared" si="77"/>
        <v>0.76669371937080655</v>
      </c>
      <c r="AE307" s="1384">
        <v>14.891148736678145</v>
      </c>
      <c r="AF307" s="1384">
        <v>14.667781505627973</v>
      </c>
      <c r="AG307" s="1384">
        <v>14.447764783043553</v>
      </c>
      <c r="AH307" s="1263"/>
      <c r="AI307" s="1263"/>
      <c r="AJ307" s="1263"/>
      <c r="AK307" s="1263"/>
      <c r="AL307" s="1263"/>
      <c r="AM307" s="1263"/>
      <c r="AN307" s="1263"/>
      <c r="AO307" s="1263"/>
      <c r="AP307" s="1263"/>
      <c r="AQ307" s="1383">
        <f t="shared" si="57"/>
        <v>0</v>
      </c>
      <c r="AR307" s="1266"/>
    </row>
    <row r="308" spans="1:44">
      <c r="A308" s="1521">
        <v>306</v>
      </c>
      <c r="B308" s="1519" t="s">
        <v>2507</v>
      </c>
      <c r="C308" s="1317" t="s">
        <v>29</v>
      </c>
      <c r="D308" s="1469">
        <v>54642</v>
      </c>
      <c r="E308" s="1469" t="s">
        <v>2863</v>
      </c>
      <c r="F308" s="1318" t="s">
        <v>2869</v>
      </c>
      <c r="G308" s="1317" t="s">
        <v>2222</v>
      </c>
      <c r="H308" s="1449">
        <v>140281</v>
      </c>
      <c r="I308" s="1317"/>
      <c r="J308" s="1317"/>
      <c r="K308" s="1325">
        <v>45628</v>
      </c>
      <c r="L308" s="1325">
        <v>45628</v>
      </c>
      <c r="M308" s="1325">
        <v>45635</v>
      </c>
      <c r="N308" s="1325">
        <v>45645</v>
      </c>
      <c r="O308" s="1541">
        <v>45668</v>
      </c>
      <c r="P308" s="1270" t="s">
        <v>2557</v>
      </c>
      <c r="Q308" s="1500">
        <v>13.243654917756521</v>
      </c>
      <c r="R308" s="1337">
        <v>5.8660000000000014</v>
      </c>
      <c r="S308" s="1281">
        <f t="shared" si="78"/>
        <v>0.44292908841464312</v>
      </c>
      <c r="T308" s="1437">
        <v>556.62705983402998</v>
      </c>
      <c r="U308" s="1437">
        <v>1011.2786157094752</v>
      </c>
      <c r="V308" s="1437">
        <v>92.494083366495474</v>
      </c>
      <c r="W308" s="1437">
        <v>39.333901634719155</v>
      </c>
      <c r="X308" s="1437">
        <v>24.810256364709101</v>
      </c>
      <c r="Y308" s="1282">
        <f t="shared" si="71"/>
        <v>9.7656760994764003E-2</v>
      </c>
      <c r="Z308" s="1437">
        <v>602.07494655811502</v>
      </c>
      <c r="AA308" s="1631">
        <v>163.25</v>
      </c>
      <c r="AB308" s="1437">
        <v>43.018618054999997</v>
      </c>
      <c r="AC308" s="1391">
        <f t="shared" si="76"/>
        <v>14.186317549034088</v>
      </c>
      <c r="AD308" s="1281">
        <f t="shared" si="77"/>
        <v>0.58769592353320776</v>
      </c>
      <c r="AE308" s="1437">
        <v>15.169179235642128</v>
      </c>
      <c r="AF308" s="1437">
        <v>14.941641547107498</v>
      </c>
      <c r="AG308" s="1437">
        <v>14.717516923900885</v>
      </c>
      <c r="AH308" s="1317"/>
      <c r="AI308" s="1317"/>
      <c r="AJ308" s="1317"/>
      <c r="AK308" s="1317"/>
      <c r="AL308" s="1317"/>
      <c r="AM308" s="1317"/>
      <c r="AN308" s="1317"/>
      <c r="AO308" s="1317"/>
      <c r="AP308" s="1579"/>
      <c r="AQ308" s="1436">
        <f t="shared" si="57"/>
        <v>0</v>
      </c>
      <c r="AR308" s="1616"/>
    </row>
    <row r="309" spans="1:44">
      <c r="A309" s="1521">
        <v>307</v>
      </c>
      <c r="B309" s="1519" t="s">
        <v>2507</v>
      </c>
      <c r="C309" s="1270" t="s">
        <v>29</v>
      </c>
      <c r="D309" s="1469">
        <v>54642</v>
      </c>
      <c r="E309" s="1469" t="s">
        <v>2871</v>
      </c>
      <c r="F309" s="1318" t="s">
        <v>2869</v>
      </c>
      <c r="G309" s="1317" t="s">
        <v>2222</v>
      </c>
      <c r="H309" s="1300">
        <v>67531</v>
      </c>
      <c r="I309" s="1270"/>
      <c r="J309" s="1270"/>
      <c r="K309" s="1280">
        <v>45628</v>
      </c>
      <c r="L309" s="1280">
        <v>45628</v>
      </c>
      <c r="M309" s="1280">
        <v>45635</v>
      </c>
      <c r="N309" s="1280">
        <v>45645</v>
      </c>
      <c r="O309" s="1541">
        <v>45668</v>
      </c>
      <c r="P309" s="1270" t="s">
        <v>2557</v>
      </c>
      <c r="Q309" s="1379">
        <v>13.243654917756521</v>
      </c>
      <c r="R309" s="1329">
        <v>5.8660000000000014</v>
      </c>
      <c r="S309" s="1281">
        <f t="shared" si="78"/>
        <v>0.44292908841464312</v>
      </c>
      <c r="T309" s="1391">
        <v>661.74238214063996</v>
      </c>
      <c r="U309" s="1391">
        <v>1120.2937164736604</v>
      </c>
      <c r="V309" s="1391">
        <v>94.596389812627663</v>
      </c>
      <c r="W309" s="1391">
        <v>39.333901634719155</v>
      </c>
      <c r="X309" s="1391">
        <v>25.030998541552982</v>
      </c>
      <c r="Y309" s="1282">
        <f t="shared" si="71"/>
        <v>8.9585953477744493E-2</v>
      </c>
      <c r="Z309" s="1391">
        <v>0</v>
      </c>
      <c r="AA309" s="1628">
        <v>0</v>
      </c>
      <c r="AB309" s="1391">
        <v>0</v>
      </c>
      <c r="AC309" s="1391">
        <f t="shared" si="76"/>
        <v>7.5654554967182754</v>
      </c>
      <c r="AD309" s="1281">
        <f t="shared" si="77"/>
        <v>0.62669222766458621</v>
      </c>
      <c r="AE309" s="1391">
        <v>16.804405747104905</v>
      </c>
      <c r="AF309" s="1391">
        <v>16.55233966089833</v>
      </c>
      <c r="AG309" s="1391">
        <v>16.304054565984856</v>
      </c>
      <c r="AH309" s="1270"/>
      <c r="AI309" s="1270"/>
      <c r="AJ309" s="1270"/>
      <c r="AK309" s="1270"/>
      <c r="AL309" s="1270"/>
      <c r="AM309" s="1270"/>
      <c r="AN309" s="1270"/>
      <c r="AO309" s="1270"/>
      <c r="AP309" s="1573"/>
      <c r="AQ309" s="1390">
        <f t="shared" si="57"/>
        <v>0</v>
      </c>
      <c r="AR309" s="1612"/>
    </row>
    <row r="310" spans="1:44">
      <c r="A310" s="1521">
        <v>308</v>
      </c>
      <c r="B310" s="1519" t="s">
        <v>2507</v>
      </c>
      <c r="C310" s="1270" t="s">
        <v>29</v>
      </c>
      <c r="D310" s="1469">
        <v>54642</v>
      </c>
      <c r="E310" s="1469" t="s">
        <v>2865</v>
      </c>
      <c r="F310" s="1318" t="s">
        <v>2869</v>
      </c>
      <c r="G310" s="1317" t="s">
        <v>2222</v>
      </c>
      <c r="H310" s="1300">
        <v>46107</v>
      </c>
      <c r="I310" s="1270"/>
      <c r="J310" s="1270"/>
      <c r="K310" s="1280">
        <v>45628</v>
      </c>
      <c r="L310" s="1280">
        <v>45628</v>
      </c>
      <c r="M310" s="1280">
        <v>45635</v>
      </c>
      <c r="N310" s="1280">
        <v>45645</v>
      </c>
      <c r="O310" s="1541">
        <v>45668</v>
      </c>
      <c r="P310" s="1270" t="s">
        <v>2557</v>
      </c>
      <c r="Q310" s="1379">
        <v>13.31658491775652</v>
      </c>
      <c r="R310" s="1329">
        <v>5.9220000000000006</v>
      </c>
      <c r="S310" s="1281">
        <f t="shared" si="78"/>
        <v>0.44470861234876541</v>
      </c>
      <c r="T310" s="1391">
        <v>563.99772623402998</v>
      </c>
      <c r="U310" s="1391">
        <v>1039.9919271308679</v>
      </c>
      <c r="V310" s="1391">
        <v>96.729445519721423</v>
      </c>
      <c r="W310" s="1391">
        <v>39.333901634719155</v>
      </c>
      <c r="X310" s="1391">
        <v>26.013575894221894</v>
      </c>
      <c r="Y310" s="1282">
        <f t="shared" si="71"/>
        <v>9.9245879417082336E-2</v>
      </c>
      <c r="Z310" s="1391">
        <v>6.7769575494400005</v>
      </c>
      <c r="AA310" s="1628">
        <v>0</v>
      </c>
      <c r="AB310" s="1391">
        <v>0</v>
      </c>
      <c r="AC310" s="1391">
        <f t="shared" si="76"/>
        <v>4.795090778422292</v>
      </c>
      <c r="AD310" s="1281">
        <f t="shared" si="77"/>
        <v>0.57867022837341664</v>
      </c>
      <c r="AE310" s="1391">
        <v>15.599878906963019</v>
      </c>
      <c r="AF310" s="1391">
        <v>15.365880723358572</v>
      </c>
      <c r="AG310" s="1391">
        <v>15.135392512508192</v>
      </c>
      <c r="AH310" s="1270"/>
      <c r="AI310" s="1270"/>
      <c r="AJ310" s="1270"/>
      <c r="AK310" s="1270"/>
      <c r="AL310" s="1270"/>
      <c r="AM310" s="1270"/>
      <c r="AN310" s="1270"/>
      <c r="AO310" s="1270"/>
      <c r="AP310" s="1573"/>
      <c r="AQ310" s="1390">
        <f t="shared" si="57"/>
        <v>0</v>
      </c>
      <c r="AR310" s="1612"/>
    </row>
    <row r="311" spans="1:44">
      <c r="A311" s="1521">
        <v>309</v>
      </c>
      <c r="B311" s="1519" t="s">
        <v>2507</v>
      </c>
      <c r="C311" s="1270" t="s">
        <v>29</v>
      </c>
      <c r="D311" s="1469">
        <v>54642</v>
      </c>
      <c r="E311" s="1469" t="s">
        <v>2866</v>
      </c>
      <c r="F311" s="1318" t="s">
        <v>2869</v>
      </c>
      <c r="G311" s="1317" t="s">
        <v>2222</v>
      </c>
      <c r="H311" s="1300">
        <v>1933</v>
      </c>
      <c r="I311" s="1270"/>
      <c r="J311" s="1270"/>
      <c r="K311" s="1280">
        <v>45628</v>
      </c>
      <c r="L311" s="1280">
        <v>45628</v>
      </c>
      <c r="M311" s="1280">
        <v>45635</v>
      </c>
      <c r="N311" s="1280">
        <v>45645</v>
      </c>
      <c r="O311" s="1541">
        <v>45668</v>
      </c>
      <c r="P311" s="1270" t="s">
        <v>2557</v>
      </c>
      <c r="Q311" s="1379">
        <v>13.31658491775652</v>
      </c>
      <c r="R311" s="1329">
        <v>5.9210000000000012</v>
      </c>
      <c r="S311" s="1281">
        <f t="shared" si="78"/>
        <v>0.4446335180204391</v>
      </c>
      <c r="T311" s="1391">
        <v>669.07683854063998</v>
      </c>
      <c r="U311" s="1391">
        <v>1148.9679745040532</v>
      </c>
      <c r="V311" s="1391">
        <v>98.831027765853619</v>
      </c>
      <c r="W311" s="1391">
        <v>39.333901634719155</v>
      </c>
      <c r="X311" s="1391">
        <v>26.234242030065772</v>
      </c>
      <c r="Y311" s="1282">
        <f t="shared" si="71"/>
        <v>9.1223041533330343E-2</v>
      </c>
      <c r="Z311" s="1391">
        <v>0</v>
      </c>
      <c r="AA311" s="1628">
        <v>0</v>
      </c>
      <c r="AB311" s="1391">
        <v>0</v>
      </c>
      <c r="AC311" s="1391">
        <f t="shared" si="76"/>
        <v>0.22209550947163348</v>
      </c>
      <c r="AD311" s="1281">
        <f t="shared" si="77"/>
        <v>0.61757148145604923</v>
      </c>
      <c r="AE311" s="1391">
        <v>17.2345196175608</v>
      </c>
      <c r="AF311" s="1391">
        <v>16.976001823297384</v>
      </c>
      <c r="AG311" s="1391">
        <v>16.721361795947924</v>
      </c>
      <c r="AH311" s="1270"/>
      <c r="AI311" s="1270"/>
      <c r="AJ311" s="1270"/>
      <c r="AK311" s="1270"/>
      <c r="AL311" s="1270"/>
      <c r="AM311" s="1270"/>
      <c r="AN311" s="1270"/>
      <c r="AO311" s="1270"/>
      <c r="AP311" s="1573"/>
      <c r="AQ311" s="1390">
        <f t="shared" si="57"/>
        <v>0</v>
      </c>
      <c r="AR311" s="1612"/>
    </row>
    <row r="312" spans="1:44">
      <c r="A312" s="1521">
        <v>310</v>
      </c>
      <c r="B312" s="1519" t="s">
        <v>2507</v>
      </c>
      <c r="C312" s="1270" t="s">
        <v>29</v>
      </c>
      <c r="D312" s="1469">
        <v>54642</v>
      </c>
      <c r="E312" s="1448" t="s">
        <v>2864</v>
      </c>
      <c r="F312" s="1318" t="s">
        <v>2870</v>
      </c>
      <c r="G312" s="1317" t="s">
        <v>2222</v>
      </c>
      <c r="H312" s="1446">
        <v>186388</v>
      </c>
      <c r="I312" s="1270"/>
      <c r="J312" s="1270"/>
      <c r="K312" s="1280">
        <v>45628</v>
      </c>
      <c r="L312" s="1280">
        <v>45628</v>
      </c>
      <c r="M312" s="1280">
        <v>45635</v>
      </c>
      <c r="N312" s="1280">
        <v>45645</v>
      </c>
      <c r="O312" s="1541">
        <v>45668</v>
      </c>
      <c r="P312" s="1270" t="s">
        <v>2557</v>
      </c>
      <c r="Q312" s="1379">
        <v>13.116831517756522</v>
      </c>
      <c r="R312" s="1329">
        <v>5.9479999999999995</v>
      </c>
      <c r="S312" s="1281">
        <f t="shared" si="78"/>
        <v>0.45346316996967378</v>
      </c>
      <c r="T312" s="1391">
        <v>554.51348840803007</v>
      </c>
      <c r="U312" s="1391">
        <v>1002.9211807835708</v>
      </c>
      <c r="V312" s="1391">
        <v>91.226811937975455</v>
      </c>
      <c r="W312" s="1391">
        <v>39.333901634719155</v>
      </c>
      <c r="X312" s="1391">
        <v>24.449867864714495</v>
      </c>
      <c r="Y312" s="1282">
        <f t="shared" si="71"/>
        <v>9.7138939245574027E-2</v>
      </c>
      <c r="Z312" s="1391">
        <v>578.01149640675487</v>
      </c>
      <c r="AA312" s="1628">
        <v>163.25</v>
      </c>
      <c r="AB312" s="1391">
        <v>43.018618054999997</v>
      </c>
      <c r="AC312" s="1391">
        <f t="shared" si="76"/>
        <v>18.693247304388819</v>
      </c>
      <c r="AD312" s="1281">
        <f t="shared" si="77"/>
        <v>0.59044979120766961</v>
      </c>
      <c r="AE312" s="1391">
        <v>15.04381771175356</v>
      </c>
      <c r="AF312" s="1391">
        <v>14.818160446077256</v>
      </c>
      <c r="AG312" s="1391">
        <v>14.595888039386097</v>
      </c>
      <c r="AH312" s="1270"/>
      <c r="AI312" s="1270"/>
      <c r="AJ312" s="1270"/>
      <c r="AK312" s="1270"/>
      <c r="AL312" s="1270"/>
      <c r="AM312" s="1270"/>
      <c r="AN312" s="1270"/>
      <c r="AO312" s="1270"/>
      <c r="AP312" s="1573"/>
      <c r="AQ312" s="1390">
        <f t="shared" si="57"/>
        <v>0</v>
      </c>
      <c r="AR312" s="1612"/>
    </row>
    <row r="313" spans="1:44">
      <c r="A313" s="1521">
        <v>311</v>
      </c>
      <c r="B313" s="1519" t="s">
        <v>2507</v>
      </c>
      <c r="C313" s="1270" t="s">
        <v>29</v>
      </c>
      <c r="D313" s="1469">
        <v>54642</v>
      </c>
      <c r="E313" s="1448" t="s">
        <v>2867</v>
      </c>
      <c r="F313" s="1318" t="s">
        <v>2870</v>
      </c>
      <c r="G313" s="1317" t="s">
        <v>2222</v>
      </c>
      <c r="H313" s="1300">
        <v>62469</v>
      </c>
      <c r="I313" s="1270"/>
      <c r="J313" s="1270"/>
      <c r="K313" s="1280">
        <v>45628</v>
      </c>
      <c r="L313" s="1280">
        <v>45628</v>
      </c>
      <c r="M313" s="1280">
        <v>45635</v>
      </c>
      <c r="N313" s="1280">
        <v>45645</v>
      </c>
      <c r="O313" s="1541">
        <v>45668</v>
      </c>
      <c r="P313" s="1270" t="s">
        <v>2557</v>
      </c>
      <c r="Q313" s="1379">
        <v>13.116831517756522</v>
      </c>
      <c r="R313" s="1329">
        <v>5.9477000000000002</v>
      </c>
      <c r="S313" s="1281">
        <f t="shared" si="78"/>
        <v>0.45344029859257379</v>
      </c>
      <c r="T313" s="1391">
        <v>659.61794771463997</v>
      </c>
      <c r="U313" s="1391">
        <v>1111.924565530456</v>
      </c>
      <c r="V313" s="1391">
        <v>93.328901124107659</v>
      </c>
      <c r="W313" s="1391">
        <v>39.333901634719155</v>
      </c>
      <c r="X313" s="1391">
        <v>24.670587229258373</v>
      </c>
      <c r="Y313" s="1282">
        <f t="shared" si="71"/>
        <v>8.906108700674456E-2</v>
      </c>
      <c r="Z313" s="1391">
        <v>0</v>
      </c>
      <c r="AA313" s="1628">
        <v>0</v>
      </c>
      <c r="AB313" s="1391">
        <v>0</v>
      </c>
      <c r="AC313" s="1391">
        <f t="shared" si="76"/>
        <v>6.9460815684122057</v>
      </c>
      <c r="AD313" s="1281">
        <f t="shared" si="77"/>
        <v>0.62945444256869287</v>
      </c>
      <c r="AE313" s="1391">
        <v>16.678868482956837</v>
      </c>
      <c r="AF313" s="1391">
        <v>16.428685455712483</v>
      </c>
      <c r="AG313" s="1391">
        <v>16.182255173876797</v>
      </c>
      <c r="AH313" s="1270"/>
      <c r="AI313" s="1270"/>
      <c r="AJ313" s="1270"/>
      <c r="AK313" s="1270"/>
      <c r="AL313" s="1270"/>
      <c r="AM313" s="1270"/>
      <c r="AN313" s="1270"/>
      <c r="AO313" s="1270"/>
      <c r="AP313" s="1573"/>
      <c r="AQ313" s="1390">
        <f t="shared" si="57"/>
        <v>0</v>
      </c>
      <c r="AR313" s="1612"/>
    </row>
    <row r="314" spans="1:44" ht="21.75" thickBot="1">
      <c r="A314" s="1521">
        <v>312</v>
      </c>
      <c r="B314" s="1622" t="s">
        <v>2507</v>
      </c>
      <c r="C314" s="1292" t="s">
        <v>29</v>
      </c>
      <c r="D314" s="1470">
        <v>54642</v>
      </c>
      <c r="E314" s="1470" t="s">
        <v>2868</v>
      </c>
      <c r="F314" s="1321" t="s">
        <v>2870</v>
      </c>
      <c r="G314" s="1292" t="s">
        <v>2222</v>
      </c>
      <c r="H314" s="1305">
        <v>6995</v>
      </c>
      <c r="I314" s="1292"/>
      <c r="J314" s="1292"/>
      <c r="K314" s="1413">
        <v>45628</v>
      </c>
      <c r="L314" s="1413">
        <v>45628</v>
      </c>
      <c r="M314" s="1413">
        <v>45635</v>
      </c>
      <c r="N314" s="1413">
        <v>45645</v>
      </c>
      <c r="O314" s="1541">
        <v>45668</v>
      </c>
      <c r="P314" s="1292" t="s">
        <v>2557</v>
      </c>
      <c r="Q314" s="1506">
        <v>13.311697984423189</v>
      </c>
      <c r="R314" s="1444">
        <v>6.0819999999999999</v>
      </c>
      <c r="S314" s="1281">
        <f t="shared" si="78"/>
        <v>0.4568913753239377</v>
      </c>
      <c r="T314" s="1415">
        <v>672.81733815863993</v>
      </c>
      <c r="U314" s="1415">
        <v>1130.3068533599285</v>
      </c>
      <c r="V314" s="1415">
        <v>94.467888932987677</v>
      </c>
      <c r="W314" s="1415">
        <v>39.333901634719155</v>
      </c>
      <c r="X314" s="1415">
        <v>24.952555949190781</v>
      </c>
      <c r="Y314" s="1282">
        <f t="shared" si="71"/>
        <v>8.8617337254808318E-2</v>
      </c>
      <c r="Z314" s="1415">
        <v>7.53604036624</v>
      </c>
      <c r="AA314" s="1627">
        <v>0</v>
      </c>
      <c r="AB314" s="1415">
        <v>0</v>
      </c>
      <c r="AC314" s="1391">
        <f t="shared" si="76"/>
        <v>0.79064964392526993</v>
      </c>
      <c r="AD314" s="1281">
        <f t="shared" si="77"/>
        <v>0.6311486542139344</v>
      </c>
      <c r="AE314" s="1415">
        <v>16.954602800398924</v>
      </c>
      <c r="AF314" s="1415">
        <v>16.700283758392938</v>
      </c>
      <c r="AG314" s="1415">
        <v>16.449779502017044</v>
      </c>
      <c r="AH314" s="1292"/>
      <c r="AI314" s="1292"/>
      <c r="AJ314" s="1292"/>
      <c r="AK314" s="1292"/>
      <c r="AL314" s="1292"/>
      <c r="AM314" s="1292"/>
      <c r="AN314" s="1292"/>
      <c r="AO314" s="1292"/>
      <c r="AP314" s="1576"/>
      <c r="AQ314" s="1414">
        <f t="shared" si="57"/>
        <v>0</v>
      </c>
      <c r="AR314" s="1622"/>
    </row>
    <row r="315" spans="1:44" ht="23.25">
      <c r="A315" s="1521">
        <v>313</v>
      </c>
      <c r="B315" s="1700" t="s">
        <v>2507</v>
      </c>
      <c r="C315" s="1347" t="s">
        <v>29</v>
      </c>
      <c r="D315" s="1490">
        <v>54849</v>
      </c>
      <c r="E315" s="1490" t="s">
        <v>2872</v>
      </c>
      <c r="F315" s="1491" t="s">
        <v>2873</v>
      </c>
      <c r="G315" s="1347" t="s">
        <v>2222</v>
      </c>
      <c r="H315" s="1507">
        <v>227589</v>
      </c>
      <c r="I315" s="1347"/>
      <c r="J315" s="1347"/>
      <c r="K315" s="1493">
        <v>45635</v>
      </c>
      <c r="L315" s="1493">
        <v>45635</v>
      </c>
      <c r="M315" s="1493">
        <v>45646</v>
      </c>
      <c r="N315" s="1493">
        <v>45646</v>
      </c>
      <c r="O315" s="1525">
        <v>45652</v>
      </c>
      <c r="P315" s="1347" t="s">
        <v>2557</v>
      </c>
      <c r="Q315" s="1494">
        <v>5.6506781100000012</v>
      </c>
      <c r="R315" s="1508">
        <v>3.9239999999999999</v>
      </c>
      <c r="S315" s="1498">
        <f t="shared" ref="S315:S320" si="79">R315/Q315</f>
        <v>0.69442992922490132</v>
      </c>
      <c r="T315" s="1496">
        <v>295.3542601062</v>
      </c>
      <c r="U315" s="1496">
        <v>437.57900444020703</v>
      </c>
      <c r="V315" s="1496">
        <v>28.481328716280682</v>
      </c>
      <c r="W315" s="1496">
        <v>8.4656502036631238</v>
      </c>
      <c r="X315" s="1496">
        <v>7.179674133050832</v>
      </c>
      <c r="Y315" s="1497">
        <f t="shared" ref="Y315:Y320" si="80">V315/(U315-W315-X315)</f>
        <v>6.7501908615815412E-2</v>
      </c>
      <c r="Z315" s="1496">
        <v>467.75305557533</v>
      </c>
      <c r="AA315" s="1496">
        <v>72</v>
      </c>
      <c r="AB315" s="1496"/>
      <c r="AC315" s="1496">
        <v>33.330933049999999</v>
      </c>
      <c r="AD315" s="1498">
        <f t="shared" ref="AD315:AD320" si="81">T315/(U315-W315-X315)</f>
        <v>0.70000162118784803</v>
      </c>
      <c r="AE315" s="1632">
        <v>5.4697375555025882</v>
      </c>
      <c r="AF315" s="1632">
        <v>5.4013658360588055</v>
      </c>
      <c r="AG315" s="1632">
        <v>5.3338487631080707</v>
      </c>
      <c r="AH315" s="1347"/>
      <c r="AI315" s="1347"/>
      <c r="AJ315" s="1347"/>
      <c r="AK315" s="1347"/>
      <c r="AL315" s="1347"/>
      <c r="AM315" s="1347"/>
      <c r="AN315" s="1347"/>
      <c r="AO315" s="1347"/>
      <c r="AP315" s="1347"/>
      <c r="AQ315" s="1623">
        <f t="shared" si="57"/>
        <v>0</v>
      </c>
      <c r="AR315" s="1350"/>
    </row>
    <row r="316" spans="1:44" ht="23.25">
      <c r="A316" s="1521">
        <v>314</v>
      </c>
      <c r="B316" s="1515" t="s">
        <v>2507</v>
      </c>
      <c r="C316" s="1270" t="s">
        <v>29</v>
      </c>
      <c r="D316" s="1448">
        <v>54849</v>
      </c>
      <c r="E316" s="1448" t="s">
        <v>2875</v>
      </c>
      <c r="F316" s="1315" t="s">
        <v>2873</v>
      </c>
      <c r="G316" s="1270" t="s">
        <v>2222</v>
      </c>
      <c r="H316" s="1300">
        <v>8356</v>
      </c>
      <c r="I316" s="1270"/>
      <c r="J316" s="1270"/>
      <c r="K316" s="1280">
        <v>45635</v>
      </c>
      <c r="L316" s="1280">
        <v>45635</v>
      </c>
      <c r="M316" s="1280">
        <v>45646</v>
      </c>
      <c r="N316" s="1280">
        <v>45646</v>
      </c>
      <c r="O316" s="1526">
        <v>45652</v>
      </c>
      <c r="P316" s="1270" t="s">
        <v>2557</v>
      </c>
      <c r="Q316" s="1379">
        <v>5.6506781100000012</v>
      </c>
      <c r="R316" s="1329">
        <v>3.9279999999999999</v>
      </c>
      <c r="S316" s="1281">
        <f t="shared" si="79"/>
        <v>0.69513780886733245</v>
      </c>
      <c r="T316" s="1391">
        <v>295.49910010619999</v>
      </c>
      <c r="U316" s="1391">
        <v>437.7352180042069</v>
      </c>
      <c r="V316" s="1391">
        <v>28.484225516280681</v>
      </c>
      <c r="W316" s="1391">
        <v>8.4656502036631238</v>
      </c>
      <c r="X316" s="1391">
        <v>7.1799782970508312</v>
      </c>
      <c r="Y316" s="1282">
        <f t="shared" si="80"/>
        <v>6.7483838087044223E-2</v>
      </c>
      <c r="Z316" s="1391">
        <v>0</v>
      </c>
      <c r="AA316" s="1391">
        <v>0</v>
      </c>
      <c r="AB316" s="1391"/>
      <c r="AC316" s="1391">
        <v>0</v>
      </c>
      <c r="AD316" s="1281">
        <f t="shared" si="81"/>
        <v>0.70008620789202058</v>
      </c>
      <c r="AE316" s="1633">
        <v>5.4716902250525878</v>
      </c>
      <c r="AF316" s="1633">
        <v>5.4032940972394305</v>
      </c>
      <c r="AG316" s="1633">
        <v>5.3357529210239374</v>
      </c>
      <c r="AH316" s="1270"/>
      <c r="AI316" s="1270"/>
      <c r="AJ316" s="1270"/>
      <c r="AK316" s="1270"/>
      <c r="AL316" s="1270"/>
      <c r="AM316" s="1270"/>
      <c r="AN316" s="1270"/>
      <c r="AO316" s="1270"/>
      <c r="AP316" s="1270"/>
      <c r="AQ316" s="1390">
        <f t="shared" si="57"/>
        <v>0</v>
      </c>
      <c r="AR316" s="1624"/>
    </row>
    <row r="317" spans="1:44" ht="23.25">
      <c r="A317" s="1521">
        <v>315</v>
      </c>
      <c r="B317" s="1515" t="s">
        <v>2507</v>
      </c>
      <c r="C317" s="1270" t="s">
        <v>29</v>
      </c>
      <c r="D317" s="1448">
        <v>54849</v>
      </c>
      <c r="E317" s="1448" t="s">
        <v>2876</v>
      </c>
      <c r="F317" s="1315" t="s">
        <v>2873</v>
      </c>
      <c r="G317" s="1270" t="s">
        <v>2222</v>
      </c>
      <c r="H317" s="1300">
        <v>61725</v>
      </c>
      <c r="I317" s="1270"/>
      <c r="J317" s="1270"/>
      <c r="K317" s="1280">
        <v>45635</v>
      </c>
      <c r="L317" s="1280">
        <v>45635</v>
      </c>
      <c r="M317" s="1280">
        <v>45646</v>
      </c>
      <c r="N317" s="1280">
        <v>45646</v>
      </c>
      <c r="O317" s="1526">
        <v>45652</v>
      </c>
      <c r="P317" s="1270" t="s">
        <v>2557</v>
      </c>
      <c r="Q317" s="1379">
        <v>5.6506781100000012</v>
      </c>
      <c r="R317" s="1329">
        <v>3.9229999999999996</v>
      </c>
      <c r="S317" s="1281">
        <f t="shared" si="79"/>
        <v>0.69425295931429343</v>
      </c>
      <c r="T317" s="1391">
        <v>348.94009022699998</v>
      </c>
      <c r="U317" s="1391">
        <v>493.15136885848869</v>
      </c>
      <c r="V317" s="1391">
        <v>29.553045318696682</v>
      </c>
      <c r="W317" s="1391">
        <v>8.4656502036631238</v>
      </c>
      <c r="X317" s="1391">
        <v>7.2922043763045137</v>
      </c>
      <c r="Y317" s="1282">
        <f t="shared" si="80"/>
        <v>6.1904999617265095E-2</v>
      </c>
      <c r="Z317" s="1391">
        <v>0</v>
      </c>
      <c r="AA317" s="1391">
        <v>0</v>
      </c>
      <c r="AB317" s="1391"/>
      <c r="AC317" s="1391">
        <v>0</v>
      </c>
      <c r="AD317" s="1281">
        <f t="shared" si="81"/>
        <v>0.73092758864633689</v>
      </c>
      <c r="AE317" s="1633">
        <v>6.164392110731109</v>
      </c>
      <c r="AF317" s="1633">
        <v>6.0873372093469698</v>
      </c>
      <c r="AG317" s="1633">
        <v>6.011245494230133</v>
      </c>
      <c r="AH317" s="1270"/>
      <c r="AI317" s="1270"/>
      <c r="AJ317" s="1270"/>
      <c r="AK317" s="1270"/>
      <c r="AL317" s="1270"/>
      <c r="AM317" s="1270"/>
      <c r="AN317" s="1270"/>
      <c r="AO317" s="1270"/>
      <c r="AP317" s="1270"/>
      <c r="AQ317" s="1390">
        <f t="shared" si="57"/>
        <v>0</v>
      </c>
      <c r="AR317" s="1624"/>
    </row>
    <row r="318" spans="1:44" ht="23.25">
      <c r="A318" s="1521">
        <v>316</v>
      </c>
      <c r="B318" s="1515" t="s">
        <v>2507</v>
      </c>
      <c r="C318" s="1270" t="s">
        <v>29</v>
      </c>
      <c r="D318" s="1448">
        <v>54849</v>
      </c>
      <c r="E318" s="1448" t="s">
        <v>2877</v>
      </c>
      <c r="F318" s="1315" t="s">
        <v>2874</v>
      </c>
      <c r="G318" s="1270" t="s">
        <v>2222</v>
      </c>
      <c r="H318" s="1446">
        <v>38840</v>
      </c>
      <c r="I318" s="1270"/>
      <c r="J318" s="1270"/>
      <c r="K318" s="1280">
        <v>45635</v>
      </c>
      <c r="L318" s="1280">
        <v>45635</v>
      </c>
      <c r="M318" s="1280">
        <v>45646</v>
      </c>
      <c r="N318" s="1280">
        <v>45646</v>
      </c>
      <c r="O318" s="1526">
        <v>45652</v>
      </c>
      <c r="P318" s="1270" t="s">
        <v>2557</v>
      </c>
      <c r="Q318" s="1379">
        <v>5.6048374536000001</v>
      </c>
      <c r="R318" s="1329">
        <v>3.9219999999999997</v>
      </c>
      <c r="S318" s="1281">
        <f t="shared" si="79"/>
        <v>0.69975267480431391</v>
      </c>
      <c r="T318" s="1391">
        <v>295.38461689912793</v>
      </c>
      <c r="U318" s="1391">
        <v>429.90581160312263</v>
      </c>
      <c r="V318" s="1391">
        <v>26.981637219390038</v>
      </c>
      <c r="W318" s="1391">
        <v>8.4656502036631238</v>
      </c>
      <c r="X318" s="1391">
        <v>6.7437939653142838</v>
      </c>
      <c r="Y318" s="1282">
        <f t="shared" si="80"/>
        <v>6.5063596737858539E-2</v>
      </c>
      <c r="Z318" s="1391">
        <v>323.36059724212998</v>
      </c>
      <c r="AA318" s="1391">
        <v>72</v>
      </c>
      <c r="AB318" s="1391"/>
      <c r="AC318" s="1391">
        <v>33.330933049999999</v>
      </c>
      <c r="AD318" s="1281">
        <f t="shared" si="81"/>
        <v>0.71229130538751517</v>
      </c>
      <c r="AE318" s="1633">
        <v>5.3738226450390325</v>
      </c>
      <c r="AF318" s="1633">
        <v>5.3066498619760445</v>
      </c>
      <c r="AG318" s="1633">
        <v>5.2403167387013445</v>
      </c>
      <c r="AH318" s="1270"/>
      <c r="AI318" s="1270"/>
      <c r="AJ318" s="1270"/>
      <c r="AK318" s="1270"/>
      <c r="AL318" s="1270"/>
      <c r="AM318" s="1270"/>
      <c r="AN318" s="1270"/>
      <c r="AO318" s="1270"/>
      <c r="AP318" s="1270"/>
      <c r="AQ318" s="1390">
        <f t="shared" si="57"/>
        <v>0</v>
      </c>
      <c r="AR318" s="1624"/>
    </row>
    <row r="319" spans="1:44" ht="23.25">
      <c r="A319" s="1521">
        <v>317</v>
      </c>
      <c r="B319" s="1515" t="s">
        <v>2507</v>
      </c>
      <c r="C319" s="1270" t="s">
        <v>29</v>
      </c>
      <c r="D319" s="1448">
        <v>54849</v>
      </c>
      <c r="E319" s="1448" t="s">
        <v>2878</v>
      </c>
      <c r="F319" s="1315" t="s">
        <v>2874</v>
      </c>
      <c r="G319" s="1270" t="s">
        <v>2222</v>
      </c>
      <c r="H319" s="1300">
        <v>188749</v>
      </c>
      <c r="I319" s="1270"/>
      <c r="J319" s="1270"/>
      <c r="K319" s="1280">
        <v>45635</v>
      </c>
      <c r="L319" s="1280">
        <v>45635</v>
      </c>
      <c r="M319" s="1280">
        <v>45646</v>
      </c>
      <c r="N319" s="1280">
        <v>45646</v>
      </c>
      <c r="O319" s="1526">
        <v>45652</v>
      </c>
      <c r="P319" s="1270" t="s">
        <v>2557</v>
      </c>
      <c r="Q319" s="1379">
        <v>5.6048374536000001</v>
      </c>
      <c r="R319" s="1329">
        <v>3.9179999999999997</v>
      </c>
      <c r="S319" s="1281">
        <f t="shared" si="79"/>
        <v>0.69903900557962817</v>
      </c>
      <c r="T319" s="1391">
        <v>295.23977689912795</v>
      </c>
      <c r="U319" s="1391">
        <v>429.74959803912259</v>
      </c>
      <c r="V319" s="1391">
        <v>26.978740419390036</v>
      </c>
      <c r="W319" s="1391">
        <v>8.4656502036631238</v>
      </c>
      <c r="X319" s="1391">
        <v>6.7434898013142845</v>
      </c>
      <c r="Y319" s="1282">
        <f t="shared" si="80"/>
        <v>6.5081079292790847E-2</v>
      </c>
      <c r="Z319" s="1391">
        <v>0</v>
      </c>
      <c r="AA319" s="1391">
        <v>0</v>
      </c>
      <c r="AB319" s="1391"/>
      <c r="AC319" s="1391">
        <v>0</v>
      </c>
      <c r="AD319" s="1281">
        <f t="shared" si="81"/>
        <v>0.7122098004600782</v>
      </c>
      <c r="AE319" s="1633">
        <v>5.3718699754890329</v>
      </c>
      <c r="AF319" s="1633">
        <v>5.3047216007954203</v>
      </c>
      <c r="AG319" s="1633">
        <v>5.2384125807854778</v>
      </c>
      <c r="AH319" s="1270"/>
      <c r="AI319" s="1270"/>
      <c r="AJ319" s="1270"/>
      <c r="AK319" s="1270"/>
      <c r="AL319" s="1270"/>
      <c r="AM319" s="1270"/>
      <c r="AN319" s="1270"/>
      <c r="AO319" s="1270"/>
      <c r="AP319" s="1270"/>
      <c r="AQ319" s="1390">
        <f t="shared" si="57"/>
        <v>0</v>
      </c>
      <c r="AR319" s="1624"/>
    </row>
    <row r="320" spans="1:44" ht="24" thickBot="1">
      <c r="A320" s="1521">
        <v>318</v>
      </c>
      <c r="B320" s="1513" t="s">
        <v>2507</v>
      </c>
      <c r="C320" s="1263" t="s">
        <v>29</v>
      </c>
      <c r="D320" s="1458">
        <v>54849</v>
      </c>
      <c r="E320" s="1458" t="s">
        <v>2879</v>
      </c>
      <c r="F320" s="1316" t="s">
        <v>2874</v>
      </c>
      <c r="G320" s="1263" t="s">
        <v>2222</v>
      </c>
      <c r="H320" s="1512">
        <v>70081</v>
      </c>
      <c r="I320" s="1263"/>
      <c r="J320" s="1263"/>
      <c r="K320" s="1283">
        <v>45635</v>
      </c>
      <c r="L320" s="1283">
        <v>45635</v>
      </c>
      <c r="M320" s="1283">
        <v>45646</v>
      </c>
      <c r="N320" s="1283">
        <v>45646</v>
      </c>
      <c r="O320" s="1404">
        <v>45652</v>
      </c>
      <c r="P320" s="1263" t="s">
        <v>2557</v>
      </c>
      <c r="Q320" s="1426">
        <v>5.6048374536000001</v>
      </c>
      <c r="R320" s="1331">
        <v>3.9179999999999997</v>
      </c>
      <c r="S320" s="1284">
        <f t="shared" si="79"/>
        <v>0.69903900557962817</v>
      </c>
      <c r="T320" s="1384">
        <v>348.297976946208</v>
      </c>
      <c r="U320" s="1384">
        <v>484.77625730794932</v>
      </c>
      <c r="V320" s="1384">
        <v>28.039904420331638</v>
      </c>
      <c r="W320" s="1384">
        <v>8.4656502036631238</v>
      </c>
      <c r="X320" s="1384">
        <v>6.8549120214131518</v>
      </c>
      <c r="Y320" s="1285">
        <f t="shared" si="80"/>
        <v>5.9728542467424435E-2</v>
      </c>
      <c r="Z320" s="1384">
        <v>0</v>
      </c>
      <c r="AA320" s="1384">
        <v>0</v>
      </c>
      <c r="AB320" s="1384"/>
      <c r="AC320" s="1384">
        <v>0</v>
      </c>
      <c r="AD320" s="1284">
        <f t="shared" si="81"/>
        <v>0.74191873822027643</v>
      </c>
      <c r="AE320" s="1634">
        <v>6.0597032163493658</v>
      </c>
      <c r="AF320" s="1634">
        <v>5.983956926144999</v>
      </c>
      <c r="AG320" s="1634">
        <v>5.9091574645681861</v>
      </c>
      <c r="AH320" s="1263"/>
      <c r="AI320" s="1263"/>
      <c r="AJ320" s="1263"/>
      <c r="AK320" s="1263"/>
      <c r="AL320" s="1263"/>
      <c r="AM320" s="1263"/>
      <c r="AN320" s="1263"/>
      <c r="AO320" s="1263"/>
      <c r="AP320" s="1263"/>
      <c r="AQ320" s="1383">
        <f t="shared" si="57"/>
        <v>0</v>
      </c>
      <c r="AR320" s="1266"/>
    </row>
    <row r="321" spans="1:44" ht="21.75" thickBot="1">
      <c r="A321" s="1521">
        <v>319</v>
      </c>
      <c r="B321" s="1520" t="s">
        <v>2300</v>
      </c>
      <c r="C321" s="1307" t="s">
        <v>29</v>
      </c>
      <c r="D321" s="1341">
        <v>54922</v>
      </c>
      <c r="E321" s="1341" t="s">
        <v>2880</v>
      </c>
      <c r="F321" s="1326" t="s">
        <v>2881</v>
      </c>
      <c r="G321" s="1307" t="s">
        <v>2222</v>
      </c>
      <c r="H321" s="1524">
        <v>130211</v>
      </c>
      <c r="I321" s="1307"/>
      <c r="J321" s="1307"/>
      <c r="K321" s="1421">
        <v>45635</v>
      </c>
      <c r="L321" s="1421">
        <v>45635</v>
      </c>
      <c r="M321" s="1421">
        <v>45644</v>
      </c>
      <c r="N321" s="1421">
        <v>45644</v>
      </c>
      <c r="O321" s="1547">
        <v>45651</v>
      </c>
      <c r="P321" s="1307" t="s">
        <v>2557</v>
      </c>
      <c r="Q321" s="1522">
        <v>3.0421634231999994</v>
      </c>
      <c r="R321" s="1333">
        <v>1.796</v>
      </c>
      <c r="S321" s="1334">
        <f>R321/Q321</f>
        <v>0.59036933594804009</v>
      </c>
      <c r="T321" s="1423">
        <v>201.98281374867202</v>
      </c>
      <c r="U321" s="1423">
        <v>331.56020707517791</v>
      </c>
      <c r="V321" s="1423">
        <v>26.677898457745499</v>
      </c>
      <c r="W321" s="1423">
        <v>16.113634995406233</v>
      </c>
      <c r="X321" s="1423">
        <v>7.002190280266265</v>
      </c>
      <c r="Y321" s="1335">
        <f t="shared" ref="Y321:Y322" si="82">V321/(U321-W321-X321)</f>
        <v>8.6491763286797793E-2</v>
      </c>
      <c r="Z321" s="1423">
        <v>351.78442368417006</v>
      </c>
      <c r="AA321" s="1336"/>
      <c r="AB321" s="1423">
        <v>37.5</v>
      </c>
      <c r="AC321" s="1423">
        <f t="shared" ref="AC321:AC322" si="83">U321*H321/10^7</f>
        <v>4.3172786123465992</v>
      </c>
      <c r="AD321" s="1334">
        <f t="shared" ref="AD321:AD322" si="84">T321/(U321-W321-X321)</f>
        <v>0.65484354933060385</v>
      </c>
      <c r="AE321" s="1423">
        <v>4.9734031061276696</v>
      </c>
      <c r="AF321" s="1423">
        <v>4.8988020595357549</v>
      </c>
      <c r="AG321" s="1423">
        <v>4.8253200286427189</v>
      </c>
      <c r="AH321" s="1569" t="s">
        <v>2775</v>
      </c>
      <c r="AI321" s="1569"/>
      <c r="AJ321" s="1569">
        <v>329.23</v>
      </c>
      <c r="AK321" s="1569">
        <v>387</v>
      </c>
      <c r="AL321" s="1307"/>
      <c r="AM321" s="1569">
        <v>16.63</v>
      </c>
      <c r="AN321" s="1569">
        <v>-4.9400000000000004</v>
      </c>
      <c r="AO321" s="1569">
        <v>-4.8600000000000003</v>
      </c>
      <c r="AP321" s="1578">
        <v>-4.79</v>
      </c>
      <c r="AQ321" s="1699">
        <f t="shared" si="57"/>
        <v>4.286936753</v>
      </c>
      <c r="AR321" s="1619"/>
    </row>
    <row r="322" spans="1:44" ht="24" thickBot="1">
      <c r="A322" s="1521">
        <v>320</v>
      </c>
      <c r="B322" s="1518" t="s">
        <v>2885</v>
      </c>
      <c r="C322" s="1311" t="s">
        <v>29</v>
      </c>
      <c r="D322" s="1635">
        <v>54821</v>
      </c>
      <c r="E322" s="1635" t="s">
        <v>2886</v>
      </c>
      <c r="F322" s="1656" t="s">
        <v>2881</v>
      </c>
      <c r="G322" s="1311" t="s">
        <v>2741</v>
      </c>
      <c r="H322" s="1636">
        <v>135046</v>
      </c>
      <c r="I322" s="1311"/>
      <c r="J322" s="1311"/>
      <c r="K322" s="1430">
        <v>45642</v>
      </c>
      <c r="L322" s="1430">
        <v>45642</v>
      </c>
      <c r="M322" s="1430"/>
      <c r="N322" s="1430">
        <v>45650</v>
      </c>
      <c r="O322" s="1543">
        <v>45649</v>
      </c>
      <c r="P322" s="1311" t="s">
        <v>2557</v>
      </c>
      <c r="Q322" s="1442">
        <v>3.0421634231999994</v>
      </c>
      <c r="R322" s="1637">
        <v>1.796</v>
      </c>
      <c r="S322" s="1434">
        <f>R322/Q322</f>
        <v>0.59036933594804009</v>
      </c>
      <c r="T322" s="1432">
        <v>202.691443156048</v>
      </c>
      <c r="U322" s="1432">
        <v>349.08898853606246</v>
      </c>
      <c r="V322" s="1432">
        <v>29.02348261225838</v>
      </c>
      <c r="W322" s="1432">
        <v>27.409096764192167</v>
      </c>
      <c r="X322" s="1432">
        <v>7.6811199914484884</v>
      </c>
      <c r="Y322" s="1420">
        <f t="shared" si="82"/>
        <v>9.243183483709419E-2</v>
      </c>
      <c r="Z322" s="1432">
        <v>351.78442368417006</v>
      </c>
      <c r="AA322" s="1625">
        <v>37.5</v>
      </c>
      <c r="AB322" s="1432">
        <v>16.587965499999999</v>
      </c>
      <c r="AC322" s="1415">
        <f t="shared" si="83"/>
        <v>4.7143071545841089</v>
      </c>
      <c r="AD322" s="1416">
        <f t="shared" si="84"/>
        <v>0.64551667513460653</v>
      </c>
      <c r="AE322" s="1432">
        <v>5.2363348280409356</v>
      </c>
      <c r="AF322" s="1432">
        <v>5.1577898056203217</v>
      </c>
      <c r="AG322" s="1432">
        <v>5.0804229585360172</v>
      </c>
      <c r="AH322" s="1681" t="s">
        <v>2775</v>
      </c>
      <c r="AI322" s="1681"/>
      <c r="AJ322" s="1681">
        <v>340</v>
      </c>
      <c r="AK322" s="1768">
        <v>364.91</v>
      </c>
      <c r="AL322" s="1311"/>
      <c r="AM322" s="1681">
        <v>16.59</v>
      </c>
      <c r="AN322" s="1681">
        <v>-5.0999999999999996</v>
      </c>
      <c r="AO322" s="1681">
        <v>-5.0199999999999996</v>
      </c>
      <c r="AP322" s="1682">
        <v>-4.95</v>
      </c>
      <c r="AQ322" s="1683">
        <f>AJ322*H322/10^7</f>
        <v>4.591564</v>
      </c>
      <c r="AR322" s="1684"/>
    </row>
    <row r="323" spans="1:44" ht="23.25">
      <c r="A323" s="1521">
        <v>321</v>
      </c>
      <c r="B323" s="1700" t="s">
        <v>2300</v>
      </c>
      <c r="C323" s="1347" t="s">
        <v>29</v>
      </c>
      <c r="D323" s="1490">
        <v>55538</v>
      </c>
      <c r="E323" s="1490" t="s">
        <v>2892</v>
      </c>
      <c r="F323" s="1491" t="s">
        <v>2894</v>
      </c>
      <c r="G323" s="1347" t="s">
        <v>2222</v>
      </c>
      <c r="H323" s="1507">
        <v>172211</v>
      </c>
      <c r="I323" s="1347"/>
      <c r="J323" s="1347"/>
      <c r="K323" s="1493">
        <v>45666</v>
      </c>
      <c r="L323" s="1493">
        <v>45666</v>
      </c>
      <c r="M323" s="1493"/>
      <c r="N323" s="1493"/>
      <c r="O323" s="1525"/>
      <c r="P323" s="1347" t="s">
        <v>2777</v>
      </c>
      <c r="Q323" s="1494"/>
      <c r="R323" s="1508"/>
      <c r="S323" s="1498"/>
      <c r="T323" s="1496"/>
      <c r="U323" s="1496"/>
      <c r="V323" s="1496"/>
      <c r="W323" s="1496"/>
      <c r="X323" s="1496"/>
      <c r="Y323" s="1497"/>
      <c r="Z323" s="1496"/>
      <c r="AA323" s="1638"/>
      <c r="AB323" s="1496"/>
      <c r="AC323" s="1496"/>
      <c r="AD323" s="1498"/>
      <c r="AE323" s="1496"/>
      <c r="AF323" s="1496"/>
      <c r="AG323" s="1496"/>
      <c r="AH323" s="1347"/>
      <c r="AI323" s="1347"/>
      <c r="AJ323" s="1347"/>
      <c r="AK323" s="1347"/>
      <c r="AL323" s="1347"/>
      <c r="AM323" s="1347"/>
      <c r="AN323" s="1347"/>
      <c r="AO323" s="1347"/>
      <c r="AP323" s="1347"/>
      <c r="AQ323" s="1623">
        <f>AJ323*H323/10^7</f>
        <v>0</v>
      </c>
      <c r="AR323" s="1350"/>
    </row>
    <row r="324" spans="1:44" ht="24" thickBot="1">
      <c r="A324" s="1521">
        <v>322</v>
      </c>
      <c r="B324" s="1622" t="s">
        <v>2300</v>
      </c>
      <c r="C324" s="1292" t="s">
        <v>29</v>
      </c>
      <c r="D324" s="1470">
        <v>55538</v>
      </c>
      <c r="E324" s="1470" t="s">
        <v>2893</v>
      </c>
      <c r="F324" s="1321" t="s">
        <v>2895</v>
      </c>
      <c r="G324" s="1292" t="s">
        <v>2222</v>
      </c>
      <c r="H324" s="1447">
        <v>172211</v>
      </c>
      <c r="I324" s="1292"/>
      <c r="J324" s="1292"/>
      <c r="K324" s="1413">
        <v>45666</v>
      </c>
      <c r="L324" s="1413">
        <v>45666</v>
      </c>
      <c r="M324" s="1413"/>
      <c r="N324" s="1413"/>
      <c r="O324" s="1548"/>
      <c r="P324" s="1292" t="s">
        <v>2777</v>
      </c>
      <c r="Q324" s="1506"/>
      <c r="R324" s="1444"/>
      <c r="S324" s="1416"/>
      <c r="T324" s="1415"/>
      <c r="U324" s="1415"/>
      <c r="V324" s="1415"/>
      <c r="W324" s="1415"/>
      <c r="X324" s="1415"/>
      <c r="Y324" s="1420"/>
      <c r="Z324" s="1415"/>
      <c r="AA324" s="1625"/>
      <c r="AB324" s="1415"/>
      <c r="AC324" s="1415"/>
      <c r="AD324" s="1416"/>
      <c r="AE324" s="1415"/>
      <c r="AF324" s="1415"/>
      <c r="AG324" s="1415"/>
      <c r="AH324" s="1292"/>
      <c r="AI324" s="1292"/>
      <c r="AJ324" s="1292"/>
      <c r="AK324" s="1292"/>
      <c r="AL324" s="1292"/>
      <c r="AM324" s="1292"/>
      <c r="AN324" s="1292"/>
      <c r="AO324" s="1292"/>
      <c r="AP324" s="1292"/>
      <c r="AQ324" s="1414"/>
      <c r="AR324" s="1639"/>
    </row>
    <row r="325" spans="1:44" ht="24" thickBot="1">
      <c r="A325" s="1521">
        <v>323</v>
      </c>
      <c r="B325" s="1514" t="s">
        <v>2901</v>
      </c>
      <c r="C325" s="1267" t="s">
        <v>29</v>
      </c>
      <c r="D325" s="1459">
        <v>55609</v>
      </c>
      <c r="E325" s="1459" t="s">
        <v>2898</v>
      </c>
      <c r="F325" s="1450" t="s">
        <v>2899</v>
      </c>
      <c r="G325" s="1267" t="s">
        <v>2900</v>
      </c>
      <c r="H325" s="1451">
        <v>159600</v>
      </c>
      <c r="I325" s="1267"/>
      <c r="J325" s="1267"/>
      <c r="K325" s="1386">
        <v>45672</v>
      </c>
      <c r="L325" s="1386">
        <v>45673</v>
      </c>
      <c r="M325" s="1386"/>
      <c r="N325" s="1386"/>
      <c r="O325" s="1401">
        <v>45701</v>
      </c>
      <c r="P325" s="1267" t="s">
        <v>2557</v>
      </c>
      <c r="Q325" s="1501">
        <v>8.1921950986666676</v>
      </c>
      <c r="R325" s="1452">
        <v>5.229000000000001</v>
      </c>
      <c r="S325" s="1275">
        <f>R325/Q325</f>
        <v>0.63829046269308876</v>
      </c>
      <c r="T325" s="1388">
        <v>808.85123076634659</v>
      </c>
      <c r="U325" s="1388">
        <v>1572.8616793888673</v>
      </c>
      <c r="V325" s="1388">
        <v>89.752105492654508</v>
      </c>
      <c r="W325" s="1388">
        <v>0</v>
      </c>
      <c r="X325" s="1388">
        <v>132.44461934789777</v>
      </c>
      <c r="Y325" s="1276">
        <f t="shared" ref="Y325:Y327" si="85">V325/(U325-W325-X325)</f>
        <v>6.2309804557647841E-2</v>
      </c>
      <c r="Z325" s="1388">
        <v>219.27895133830998</v>
      </c>
      <c r="AA325" s="1503">
        <v>192</v>
      </c>
      <c r="AB325" s="1388">
        <v>36.267092500000004</v>
      </c>
      <c r="AC325" s="1388">
        <f t="shared" ref="AC325:AC327" si="86">U325*H325/10^7</f>
        <v>25.102872403046323</v>
      </c>
      <c r="AD325" s="1275">
        <f t="shared" ref="AD325:AD327" si="87">T325/(U325-W325-X325)</f>
        <v>0.5615396076628949</v>
      </c>
      <c r="AE325" s="1680">
        <f>'[1]QUOTE -75610-75U00'!P459</f>
        <v>0</v>
      </c>
      <c r="AF325" s="1680">
        <f>'[1]QUOTE -75610-75U00'!P460</f>
        <v>0</v>
      </c>
      <c r="AG325" s="1680">
        <f>'[1]QUOTE -75610-75U00'!P461</f>
        <v>0</v>
      </c>
      <c r="AH325" s="1267"/>
      <c r="AI325" s="1267"/>
      <c r="AJ325" s="1267"/>
      <c r="AK325" s="1267"/>
      <c r="AL325" s="1267"/>
      <c r="AM325" s="1267"/>
      <c r="AN325" s="1267"/>
      <c r="AO325" s="1267"/>
      <c r="AP325" s="1267"/>
      <c r="AQ325" s="1387"/>
      <c r="AR325" s="1640"/>
    </row>
    <row r="326" spans="1:44" ht="24" thickBot="1">
      <c r="A326" s="1521">
        <v>324</v>
      </c>
      <c r="B326" s="1520" t="s">
        <v>2300</v>
      </c>
      <c r="C326" s="1307" t="s">
        <v>29</v>
      </c>
      <c r="D326" s="1341">
        <v>55600</v>
      </c>
      <c r="E326" s="1341" t="s">
        <v>2902</v>
      </c>
      <c r="F326" s="1326" t="s">
        <v>2903</v>
      </c>
      <c r="G326" s="1307" t="s">
        <v>2900</v>
      </c>
      <c r="H326" s="1524">
        <v>138500</v>
      </c>
      <c r="I326" s="1307"/>
      <c r="J326" s="1307"/>
      <c r="K326" s="1421">
        <v>45681</v>
      </c>
      <c r="L326" s="1421">
        <v>45681</v>
      </c>
      <c r="M326" s="1421"/>
      <c r="N326" s="1421"/>
      <c r="O326" s="1547">
        <v>45701</v>
      </c>
      <c r="P326" s="1307" t="s">
        <v>2557</v>
      </c>
      <c r="Q326" s="1522">
        <v>8.6922167403076909</v>
      </c>
      <c r="R326" s="1333">
        <v>5.7859999999999996</v>
      </c>
      <c r="S326" s="1275">
        <f>R326/Q326</f>
        <v>0.66565298276204565</v>
      </c>
      <c r="T326" s="1423">
        <v>1218.3759252457785</v>
      </c>
      <c r="U326" s="1423">
        <v>1604.4915883493497</v>
      </c>
      <c r="V326" s="1423">
        <v>65.29944444236142</v>
      </c>
      <c r="W326" s="1423">
        <v>0</v>
      </c>
      <c r="X326" s="1423">
        <v>27.444154757417049</v>
      </c>
      <c r="Y326" s="1276">
        <f t="shared" si="85"/>
        <v>4.1406138491112694E-2</v>
      </c>
      <c r="Z326" s="1423">
        <v>162.10837605485</v>
      </c>
      <c r="AA326" s="1644">
        <v>81.5</v>
      </c>
      <c r="AB326" s="1423">
        <v>24.966853800000003</v>
      </c>
      <c r="AC326" s="1388">
        <f t="shared" si="86"/>
        <v>22.222208498638494</v>
      </c>
      <c r="AD326" s="1275">
        <f t="shared" si="87"/>
        <v>0.77256771057974283</v>
      </c>
      <c r="AE326" s="1680">
        <f>'[1]QUOTE -75610-75U00'!P460</f>
        <v>0</v>
      </c>
      <c r="AF326" s="1680">
        <f>'[1]QUOTE -75610-75U00'!P461</f>
        <v>0</v>
      </c>
      <c r="AG326" s="1680">
        <f>'[1]QUOTE -75610-75U00'!P462</f>
        <v>0</v>
      </c>
      <c r="AH326" s="1307"/>
      <c r="AI326" s="1307"/>
      <c r="AJ326" s="1307"/>
      <c r="AK326" s="1307"/>
      <c r="AL326" s="1307"/>
      <c r="AM326" s="1307"/>
      <c r="AN326" s="1307"/>
      <c r="AO326" s="1307"/>
      <c r="AP326" s="1307"/>
      <c r="AQ326" s="1422"/>
      <c r="AR326" s="1645"/>
    </row>
    <row r="327" spans="1:44" ht="24" thickBot="1">
      <c r="A327" s="1521">
        <v>325</v>
      </c>
      <c r="B327" s="1758" t="s">
        <v>2435</v>
      </c>
      <c r="C327" s="1267" t="s">
        <v>29</v>
      </c>
      <c r="D327" s="1459">
        <v>55641</v>
      </c>
      <c r="E327" s="1459" t="s">
        <v>2908</v>
      </c>
      <c r="F327" s="1450" t="s">
        <v>2909</v>
      </c>
      <c r="G327" s="1267" t="s">
        <v>2741</v>
      </c>
      <c r="H327" s="1451">
        <v>127400</v>
      </c>
      <c r="I327" s="1267"/>
      <c r="J327" s="1267"/>
      <c r="K327" s="1386">
        <v>45698</v>
      </c>
      <c r="L327" s="1386">
        <v>45698</v>
      </c>
      <c r="M327" s="1386"/>
      <c r="N327" s="1386"/>
      <c r="O327" s="1401">
        <v>45695</v>
      </c>
      <c r="P327" s="1267" t="s">
        <v>2557</v>
      </c>
      <c r="Q327" s="1501">
        <v>1.1588545583999998</v>
      </c>
      <c r="R327" s="1452">
        <v>0.23400000000000001</v>
      </c>
      <c r="S327" s="1275">
        <f>R327/Q327</f>
        <v>0.20192352724838714</v>
      </c>
      <c r="T327" s="1388">
        <v>526.45410340302408</v>
      </c>
      <c r="U327" s="1388">
        <v>701.40889937366182</v>
      </c>
      <c r="V327" s="1388">
        <v>44.859316523312465</v>
      </c>
      <c r="W327" s="1388">
        <v>27.678438473700666</v>
      </c>
      <c r="X327" s="1759">
        <v>7.9033470577893548</v>
      </c>
      <c r="Y327" s="1276">
        <f t="shared" si="85"/>
        <v>6.7373820607050189E-2</v>
      </c>
      <c r="Z327" s="1760">
        <v>0</v>
      </c>
      <c r="AA327" s="1503">
        <v>39</v>
      </c>
      <c r="AB327" s="1388">
        <v>6.5965758000000001</v>
      </c>
      <c r="AC327" s="1388">
        <f t="shared" si="86"/>
        <v>8.9359493780204513</v>
      </c>
      <c r="AD327" s="1275">
        <f t="shared" si="87"/>
        <v>0.79067687761333072</v>
      </c>
      <c r="AE327" s="1680">
        <f>'[2]QUOTE -61530-58Q00'!P410</f>
        <v>0</v>
      </c>
      <c r="AF327" s="1680">
        <f>'[2]QUOTE -61530-58Q00'!P411</f>
        <v>0</v>
      </c>
      <c r="AG327" s="1680">
        <f>'[2]QUOTE -61530-58Q00'!P412</f>
        <v>0</v>
      </c>
      <c r="AH327" s="1267"/>
      <c r="AI327" s="1267"/>
      <c r="AJ327" s="1267"/>
      <c r="AK327" s="1267"/>
      <c r="AL327" s="1267"/>
      <c r="AM327" s="1267"/>
      <c r="AN327" s="1267"/>
      <c r="AO327" s="1267"/>
      <c r="AP327" s="1267"/>
      <c r="AQ327" s="1387"/>
      <c r="AR327" s="1640"/>
    </row>
    <row r="328" spans="1:44" ht="24" thickBot="1">
      <c r="A328" s="1777">
        <v>326</v>
      </c>
      <c r="B328" s="1518" t="s">
        <v>2435</v>
      </c>
      <c r="C328" s="1311" t="s">
        <v>29</v>
      </c>
      <c r="D328" s="1635">
        <v>54964</v>
      </c>
      <c r="E328" s="1635" t="s">
        <v>2906</v>
      </c>
      <c r="F328" s="1656" t="s">
        <v>2912</v>
      </c>
      <c r="G328" s="1311" t="s">
        <v>2907</v>
      </c>
      <c r="H328" s="1636">
        <v>212760</v>
      </c>
      <c r="I328" s="1311"/>
      <c r="J328" s="1311"/>
      <c r="K328" s="1430">
        <v>45702</v>
      </c>
      <c r="L328" s="1430">
        <v>45702</v>
      </c>
      <c r="M328" s="1430"/>
      <c r="N328" s="1430"/>
      <c r="O328" s="1543"/>
      <c r="P328" s="1292" t="s">
        <v>2777</v>
      </c>
      <c r="Q328" s="1442"/>
      <c r="R328" s="1637"/>
      <c r="S328" s="1434"/>
      <c r="T328" s="1432"/>
      <c r="U328" s="1432"/>
      <c r="V328" s="1432"/>
      <c r="W328" s="1432"/>
      <c r="X328" s="1778"/>
      <c r="Y328" s="1779"/>
      <c r="Z328" s="1780"/>
      <c r="AA328" s="1781"/>
      <c r="AB328" s="1432"/>
      <c r="AC328" s="1432"/>
      <c r="AD328" s="1434"/>
      <c r="AE328" s="1782"/>
      <c r="AF328" s="1782"/>
      <c r="AG328" s="1782"/>
      <c r="AH328" s="1311"/>
      <c r="AI328" s="1311"/>
      <c r="AJ328" s="1311"/>
      <c r="AK328" s="1311"/>
      <c r="AL328" s="1311"/>
      <c r="AM328" s="1311"/>
      <c r="AN328" s="1311"/>
      <c r="AO328" s="1311"/>
      <c r="AP328" s="1311"/>
      <c r="AQ328" s="1431"/>
      <c r="AR328" s="1783"/>
    </row>
    <row r="329" spans="1:44" ht="24" thickBot="1">
      <c r="A329" s="1784">
        <v>327</v>
      </c>
      <c r="B329" s="1758" t="s">
        <v>2300</v>
      </c>
      <c r="C329" s="1267" t="s">
        <v>29</v>
      </c>
      <c r="D329" s="1459"/>
      <c r="E329" s="1459" t="s">
        <v>2915</v>
      </c>
      <c r="F329" s="1450" t="s">
        <v>2913</v>
      </c>
      <c r="G329" s="1267" t="s">
        <v>2914</v>
      </c>
      <c r="H329" s="1451">
        <v>185612</v>
      </c>
      <c r="I329" s="1267"/>
      <c r="J329" s="1267"/>
      <c r="K329" s="1386">
        <v>45720</v>
      </c>
      <c r="L329" s="1386"/>
      <c r="M329" s="1386"/>
      <c r="N329" s="1386"/>
      <c r="O329" s="1386">
        <v>45720</v>
      </c>
      <c r="P329" s="1267"/>
      <c r="Q329" s="1501"/>
      <c r="R329" s="1452"/>
      <c r="S329" s="1275"/>
      <c r="T329" s="1388"/>
      <c r="U329" s="1388"/>
      <c r="V329" s="1388"/>
      <c r="W329" s="1388"/>
      <c r="X329" s="1759"/>
      <c r="Y329" s="1785"/>
      <c r="Z329" s="1760"/>
      <c r="AA329" s="1786"/>
      <c r="AB329" s="1760"/>
      <c r="AC329" s="1760"/>
      <c r="AD329" s="1275"/>
      <c r="AE329" s="1787"/>
      <c r="AF329" s="1787"/>
      <c r="AG329" s="1787"/>
      <c r="AH329" s="1267"/>
      <c r="AI329" s="1267"/>
      <c r="AJ329" s="1267"/>
      <c r="AK329" s="1267"/>
      <c r="AL329" s="1267"/>
      <c r="AM329" s="1267"/>
      <c r="AN329" s="1267"/>
      <c r="AO329" s="1267"/>
      <c r="AP329" s="1267"/>
      <c r="AQ329" s="1387"/>
      <c r="AR329" s="1640"/>
    </row>
    <row r="330" spans="1:44" ht="25.5" customHeight="1" thickBot="1">
      <c r="A330" s="1788">
        <v>328</v>
      </c>
      <c r="B330" s="1789" t="s">
        <v>2507</v>
      </c>
      <c r="C330" s="1471" t="s">
        <v>29</v>
      </c>
      <c r="D330" s="1472"/>
      <c r="E330" s="1790" t="s">
        <v>2916</v>
      </c>
      <c r="F330" s="1483" t="s">
        <v>2913</v>
      </c>
      <c r="G330" s="1471" t="s">
        <v>2914</v>
      </c>
      <c r="H330" s="1509">
        <v>252704</v>
      </c>
      <c r="I330" s="1471"/>
      <c r="J330" s="1471"/>
      <c r="K330" s="1475">
        <v>45720</v>
      </c>
      <c r="L330" s="1475"/>
      <c r="M330" s="1475"/>
      <c r="N330" s="1475"/>
      <c r="O330" s="1475">
        <v>45720</v>
      </c>
      <c r="P330" s="1471"/>
      <c r="Q330" s="1523"/>
      <c r="R330" s="1510"/>
      <c r="S330" s="1477"/>
      <c r="T330" s="1478"/>
      <c r="U330" s="1478"/>
      <c r="V330" s="1478"/>
      <c r="W330" s="1478"/>
      <c r="X330" s="1791"/>
      <c r="Y330" s="1792"/>
      <c r="Z330" s="1793"/>
      <c r="AA330" s="1794"/>
      <c r="AB330" s="1793"/>
      <c r="AC330" s="1793"/>
      <c r="AD330" s="1477"/>
      <c r="AE330" s="1795"/>
      <c r="AF330" s="1795"/>
      <c r="AG330" s="1795"/>
      <c r="AH330" s="1471"/>
      <c r="AI330" s="1471"/>
      <c r="AJ330" s="1471"/>
      <c r="AK330" s="1471"/>
      <c r="AL330" s="1471"/>
      <c r="AM330" s="1471"/>
      <c r="AN330" s="1471"/>
      <c r="AO330" s="1471"/>
      <c r="AP330" s="1471"/>
      <c r="AQ330" s="1476"/>
      <c r="AR330" s="1796"/>
    </row>
    <row r="331" spans="1:44" ht="24" thickBot="1">
      <c r="A331" s="1797"/>
      <c r="B331" s="1758"/>
      <c r="C331" s="1267"/>
      <c r="D331" s="1459"/>
      <c r="E331" s="1734"/>
      <c r="F331" s="1450"/>
      <c r="G331" s="1267"/>
      <c r="H331" s="1451"/>
      <c r="I331" s="1267"/>
      <c r="J331" s="1267"/>
      <c r="K331" s="1386"/>
      <c r="L331" s="1386"/>
      <c r="M331" s="1386"/>
      <c r="N331" s="1386"/>
      <c r="O331" s="1386"/>
      <c r="P331" s="1267"/>
      <c r="Q331" s="1501"/>
      <c r="R331" s="1452"/>
      <c r="S331" s="1275"/>
      <c r="T331" s="1388"/>
      <c r="U331" s="1388"/>
      <c r="V331" s="1388"/>
      <c r="W331" s="1388"/>
      <c r="X331" s="1759"/>
      <c r="Y331" s="1785"/>
      <c r="Z331" s="1760"/>
      <c r="AA331" s="1786"/>
      <c r="AB331" s="1760"/>
      <c r="AC331" s="1760"/>
      <c r="AD331" s="1275"/>
      <c r="AE331" s="1787"/>
      <c r="AF331" s="1787"/>
      <c r="AG331" s="1787"/>
      <c r="AH331" s="1267"/>
      <c r="AI331" s="1267"/>
      <c r="AJ331" s="1267"/>
      <c r="AK331" s="1267"/>
      <c r="AL331" s="1267"/>
      <c r="AM331" s="1267"/>
      <c r="AN331" s="1267"/>
      <c r="AO331" s="1267"/>
      <c r="AP331" s="1267"/>
      <c r="AQ331" s="1387"/>
      <c r="AR331" s="1640"/>
    </row>
    <row r="332" spans="1:44" ht="24" thickBot="1">
      <c r="A332" s="1797"/>
      <c r="B332" s="1758"/>
      <c r="C332" s="1267"/>
      <c r="D332" s="1459"/>
      <c r="E332" s="1734"/>
      <c r="F332" s="1450"/>
      <c r="G332" s="1267"/>
      <c r="H332" s="1451"/>
      <c r="I332" s="1267"/>
      <c r="J332" s="1267"/>
      <c r="K332" s="1386"/>
      <c r="L332" s="1386"/>
      <c r="M332" s="1386"/>
      <c r="N332" s="1386"/>
      <c r="O332" s="1386"/>
      <c r="P332" s="1267"/>
      <c r="Q332" s="1501"/>
      <c r="R332" s="1452"/>
      <c r="S332" s="1275"/>
      <c r="T332" s="1388"/>
      <c r="U332" s="1388"/>
      <c r="V332" s="1388"/>
      <c r="W332" s="1388"/>
      <c r="X332" s="1759"/>
      <c r="Y332" s="1785"/>
      <c r="Z332" s="1760"/>
      <c r="AA332" s="1786"/>
      <c r="AB332" s="1760"/>
      <c r="AC332" s="1760"/>
      <c r="AD332" s="1275"/>
      <c r="AE332" s="1787"/>
      <c r="AF332" s="1787"/>
      <c r="AG332" s="1787"/>
      <c r="AH332" s="1267"/>
      <c r="AI332" s="1267"/>
      <c r="AJ332" s="1267"/>
      <c r="AK332" s="1267"/>
      <c r="AL332" s="1267"/>
      <c r="AM332" s="1267"/>
      <c r="AN332" s="1267"/>
      <c r="AO332" s="1267"/>
      <c r="AP332" s="1267"/>
      <c r="AQ332" s="1387"/>
      <c r="AR332" s="1640"/>
    </row>
    <row r="333" spans="1:44" s="1489" customFormat="1" ht="38.1" customHeight="1" thickBot="1">
      <c r="A333" s="1856" t="s">
        <v>2393</v>
      </c>
      <c r="B333" s="1857"/>
      <c r="C333" s="1857"/>
      <c r="D333" s="1857"/>
      <c r="E333" s="1857"/>
      <c r="F333" s="1857"/>
      <c r="G333" s="1857"/>
      <c r="H333" s="1857"/>
      <c r="I333" s="1857"/>
      <c r="J333" s="1857"/>
      <c r="K333" s="1857"/>
      <c r="L333" s="1857"/>
      <c r="M333" s="1857"/>
      <c r="N333" s="1857"/>
      <c r="O333" s="1857"/>
      <c r="P333" s="1857"/>
      <c r="Q333" s="1798">
        <f>Q3+Q4+Q5+Q6+Q8+Q10+Q11+Q12+Q13+Q16+Q19+Q22+Q23+Q24+Q25+Q26+Q28+Q30+Q31+Q32+Q34+Q36+Q37+Q38+Q39+Q40+Q41+Q42+Q43+Q44+Q45+Q46+Q47+Q48+Q49+Q50+Q52+Q54+Q55+Q56+Q58+Q60+Q61+Q63+Q64+Q65+Q66+Q67+Q68+Q69+Q70+Q71+Q72+Q73+Q74+Q75+Q76+Q77+Q80+Q83+Q84+Q85+Q86+Q87+Q88+Q91+Q92+Q93+Q96+Q98+Q99+Q102+Q104+Q106+Q107+Q108+Q109+Q110+Q111+Q112+Q113+Q116+Q119+Q120+Q121+Q122+Q123+Q124+Q126+Q128+Q129+Q130+Q131+Q132+Q133+Q134+Q135+Q136+Q137+Q139+Q140+Q141+Q142+Q143+Q145+Q147+Q148+Q149+Q151+Q152+Q153+Q158+Q159+Q160+Q161+Q162+Q163+Q164+Q165+Q166+Q167+Q170+Q171+Q172+Q173+Q174+Q177+Q178+Q179+Q180+Q182+Q184+Q185+Q186+Q191+Q196+Q201+Q206+Q212+Q213+Q214+Q215+Q216+Q217+Q218+Q219+Q220+Q221+Q222+Q223+Q225+Q226+Q227+Q228+Q230+Q233+Q235+Q236+Q244+Q247+Q250+Q252+Q254+Q257+Q258+Q259+Q261+Q263+Q265+Q267+Q270+Q273+Q274+Q276+Q134+Q279+Q283+Q284+Q285+Q289+Q291+Q293+Q295+Q296+Q245+Q246+Q297+Q298+Q299+Q308+Q312+Q315+Q318+Q321+Q322+Q323+Q324+Q325+Q326+Q328+Q327+Q329+Q330+Q331+Q332</f>
        <v>1008.1448882911412</v>
      </c>
      <c r="R333" s="1798">
        <f>R3+R4+R5+R6+R8+R10+R11+R12+R13+R16+R19+R22+R23+R24+R25+R26+R28+R30+R31+R32+R34+R36+R37+R38+R39+R40+R41+R42+R43+R44+R45+R46+R47+R48+R49+R50+R52+R54+R55+R56+R58+R60+R61+R63+R64+R65+R66+R67+R68+R69+R70+R71+R72+R73+R74+R75+R76+R77+R80+R83+R84+R85+R86+R87+R88+R91+R92+R93+R96+R98+R99+R102+R104+R106+R107+R108+R109+R110+R111+R112+R113+R116+R119+R120+R121+R122+R123+R124+R126+R128+R129+R130+R131+R132+R133+R134+R135+R136+R137+R139+R140+R141+R142+R143+R145+R147+R148+R149+R151+R152+R153+R158+R159+R160+R161+R162+R163+R164+R165+R166+R167+R170+R171+R172+R173+R174+R177+R178+R179+R180+R182+R184+R185+R186+R191+R196+R201+R206+R212+R213+R214+R215+R216+R217+R218+R219+R220+R221+R222+R223+R225+R226+R227+R228+R230+R233+R235+R236+R244+R247+R250+R252+R254+R257+R258+R259+R261+R263+R265+R267+R270+R273+R274+R276+R134+R279+R283+R284+R285+R289+R291+R293+R295+R296+R245+R246+R297+R298+R299+R308+R312+R315+R318+R321+R322+R323+R324+R325+R326+R328+R327+R329+R330+R331+R332</f>
        <v>588.15700000000049</v>
      </c>
      <c r="S333" s="1799">
        <f>R333/Q333</f>
        <v>0.58340522957663121</v>
      </c>
      <c r="T333" s="1798">
        <f>T3+T4+T5+T6+T8+T10+T11+T12+T13+T16+T19+T22+T23+T24+T25+T26+T28+T30+T31+T32+T34+T36+T37+T38+T39+T40+T41+T42+T43+T44+T45+T46+T47+T48+T49+T50+T52+T54+T55+T56+T58+T60+T61+T63+T64+T65+T66+T67+T68+T69+T70+T71+T72+T73+T74+T75+T76+T77+T80+T83+T84+T85+T86+T87+T88+T91+T92+T93+T96+T98+T99+T102+T104+T106+T107+T108+T109+T110+T111+T112+T113+T116+T119+T120+T121+T122+T123+T124+T126+T128+T129+T130+T131+T132+T133+T134+T135+T136+T137+T139+T140+T141+T142+T143+T145+T147+T148+T149+T151+T152+T153+T158+T159+T160+T161+T162+T163+T164+T165+T166+T167+T170+T171+T172+T173+T174+T177+T178+T179+T180+T182+T184+T185+T186+T191+T196+T201+T206+T212+T213+T214+T215+T216+T217+T218+T219+T220+T221+T222+T223+T225+T226+T227+T228+T230+T233+T235+T236+T244+T247+T250+T252+T254+T257+T258+T259+T261+T263+T265+T267+T270+T273+T274+T276+T134+T279+T283+T284+T285+T289+T291+T293+T295+T296+T245+T246+T297+T298+T299+T308+T312+T315+T318+T321+T322+T323+T324+T325+T326+T328+T327+T329+T330+T331+T332</f>
        <v>64450.445725988116</v>
      </c>
      <c r="U333" s="1798">
        <f>U3+U4+U5+U6+U8+U10+U11+U12+U13+U16+U19+U22+U23+U24+U25+U26+U28+U30+U31+U32+U34+U36+U37+U38+U39+U40+U41+U42+U43+U44+U45+U46+U47+U48+U49+U50+U52+U54+U55+U56+U58+U60+U61+U63+U64+U65+U66+U67+U68+U69+U70+U71+U72+U73+U74+U75+U76+U77+U80+U83+U84+U85+U86+U87+U88+U91+U92+U93+U96+U98+U99+U102+U104+U106+U107+U108+U109+U110+U111+U112+U113+U116+U119+U120+U121+U122+U123+U124+U126+U128+U129+U130+U131+U132+U133+U134+U135+U136+U137+U139+U140+U141+U142+U143+U145+U147+U148+U149+U151+U152+U153+U158+U159+U160+U161+U162+U163+U164+U165+U166+U167+U170+U171+U172+U173+U174+U177+U178+U179+U180+U182+U184+U185+U186+U191+U196+U201+U206+U212+U213+U214+U215+U216+U217+U218+U219+U220+U221+U222+U223+U225+U226+U227+U228+U230+U233+U235+U236+U244+U247+U250+U252+U254+U257+U258+U259+U261+U263+U265+U267+U270+U273+U274+U276+U134+U279+U283+U284+U285+U289+U291+U293+U295+U296+U245+U246+U297+U298+U299+U308+U312+U315+U318+U321+U322+U323+U324+U325+U326+U328+U327+U329+U330+U331+U332</f>
        <v>98672.599137496756</v>
      </c>
      <c r="V333" s="1798">
        <f>V3+V4+V5+V6+V8+V10+V11+V12+V13+V16+V19+V22+V23+V24+V25+V26+V28+V30+V31+V32+V34+V36+V37+V38+V39+V40+V41+V42+V43+V44+V45+V46+V47+V48+V49+V50+V52+V54+V55+V56+V58+V60+V61+V63+V64+V65+V66+V67+V68+V69+V70+V71+V72+V73+V74+V75+V76+V77+V80+V83+V84+V85+V86+V87+V88+V91+V92+V93+V96+V98+V99+V102+V104+V106+V107+V108+V109+V110+V111+V112+V113+V116+V119+V120+V121+V122+V123+V124+V126+V128+V129+V130+V131+V132+V133+V134+V135+V136+V137+V139+V140+V141+V142+V143+V145+V147+V148+V149+V151+V152+V153+V158+V159+V160+V161+V162+V163+V164+V165+V166+V167+V170+V171+V172+V173+V174+V177+V178+V179+V180+V182+V184+V185+V186+V191+V196+V201+V206+V212+V213+V214+V215+V216+V217+V218+V219+V220+V221+V222+V223+V225+V226+V227+V228+V230+V233+V235+V236+V244+V247+V250+V252+V254+V257+V258+V259+V261+V263+V265+V267+V270+V273+V274+V276+V134+V279+V283+V284+V285+V289+V291+V293+V295+V296+V245+V246+V297+V298+V299+V308+V312+V315+V318+V321+V322+V323+V324+V325+V326+V328+V327+V329+V330+V331+V332</f>
        <v>7050.0728159970859</v>
      </c>
      <c r="W333" s="1798">
        <f>W3+W4+W5+W6+W8+W10+W11+W12+W13+W16+W19+W22+W23+W24+W25+W26+W28+W30+W31+W32+W34+W36+W37+W38+W39+W40+W41+W42+W43+W44+W45+W46+W47+W48+W49+W50+W52+W54+W55+W56+W58+W60+W61+W63+W64+W65+W66+W67+W68+W69+W70+W71+W72+W73+W74+W75+W76+W77+W80+W83+W84+W85+W86+W87+W88+W91+W92+W93+W96+W98+W99+W102+W104+W106+W107+W108+W109+W110+W111+W112+W113+W116+W119+W120+W121+W122+W123+W124+W126+W128+W129+W130+W131+W132+W133+W134+W135+W136+W137+W139+W140+W141+W142+W143+W145+W147+W148+W149+W151+W152+W153+W158+W159+W160+W161+W162+W163+W164+W165+W166+W167+W170+W171+W172+W173+W174+W177+W178+W179+W180+W182+W184+W185+W186+W191+W196+W201+W206+W212+W213+W214+W215+W216+W217+W218+W219+W220+W221+W222+W223+W225+W226+W227+W228+W230+W233+W235+W236+W244+W247+W250+W252+W254+W257+W258+W259+W261+W263+W265+W267+W270+W273+W274+W276+W134+W279+W283+W284+W285+W289+W291+W293+W295+W296+W245+W246+W297+W298+W299+W308+W312+W315+W318+W321+W322+W323+W324+W325+W326+W328+W327+W329+W330+W331+W332</f>
        <v>4247.1222263325244</v>
      </c>
      <c r="X333" s="1798">
        <f>X3+X4+X5+X6+X8+X10+X11+X12+X13+X16+X19+X22+X23+X24+X25+X26+X28+X30+X31+X32+X34+X36+X37+X38+X39+X40+X41+X42+X43+X44+X45+X46+X47+X48+X49+X50+X52+X54+X55+X56+X58+X60+X61+X63+X64+X65+X66+X67+X68+X69+X70+X71+X72+X73+X74+X75+X76+X77+X80+X83+X84+X85+X86+X87+X88+X91+X92+X93+X96+X98+X99+X102+X104+X106+X107+X108+X109+X110+X111+X112+X113+X116+X119+X120+X121+X122+X123+X124+X126+X128+X129+X130+X131+X132+X133+X134+X135+X136+X137+X139+X140+X141+X142+X143+X145+X147+X148+X149+X151+X152+X153+X158+X159+X160+X161+X162+X163+X164+X165+X166+X167+X170+X171+X172+X173+X174+X177+X178+X179+X180+X182+X184+X185+X186+X191+X196+X201+X206+X212+X213+X214+X215+X216+X217+X218+X219+X220+X221+X222+X223+X225+X226+X227+X228+X230+X233+X235+X236+X244+X247+X250+X252+X254+X257+X258+X259+X261+X263+X265+X267+X270+X273+X274+X276+X134+X279+X283+X284+X285+X289+X291+X293+X295+X296+X245+X246+X297+X298+X299+X308+X312+X315+X318+X321+X322+X323+X324+X325+X326+X328+X327+X329+X330+X331+X332</f>
        <v>2111.9350587692534</v>
      </c>
      <c r="Y333" s="1800">
        <f t="shared" ref="Y333" si="88">V333/(U333-W333-X333)</f>
        <v>7.6370949207753516E-2</v>
      </c>
      <c r="Z333" s="1801">
        <f>SUM(Z3:Z332)</f>
        <v>85155.602667178639</v>
      </c>
      <c r="AA333" s="1801">
        <f>SUM(AA3:AA332)</f>
        <v>17260.404999999999</v>
      </c>
      <c r="AB333" s="1801">
        <f>SUM(AB3:AB332)</f>
        <v>5444.2361738809032</v>
      </c>
      <c r="AC333" s="1801">
        <f>SUM(AC3:AC332)</f>
        <v>1997.3076577193535</v>
      </c>
      <c r="AD333" s="1799">
        <f>T333/(U333-W333-X333)</f>
        <v>0.69816891901993472</v>
      </c>
      <c r="AE333" s="1801">
        <f>SUM(AE3:AE332)</f>
        <v>3288.0034514041017</v>
      </c>
      <c r="AF333" s="1801">
        <f>SUM(AF3:AF332)</f>
        <v>3301.9571455610035</v>
      </c>
      <c r="AG333" s="1801">
        <f>SUM(AG3:AG332)</f>
        <v>3293.865082663503</v>
      </c>
      <c r="AH333" s="1802"/>
      <c r="AI333" s="1802"/>
      <c r="AJ333" s="1798">
        <f>AJ3+AJ4+AJ5+AJ6+AJ8+AJ10+AJ11+AJ12+AJ13+AJ16+AJ19+AJ22+AJ23+AJ24+AJ25+AJ26+AJ28+AJ30+AJ31+AJ32+AJ34+AJ36+AJ37+AJ38+AJ39+AJ40+AJ41+AJ42+AJ43+AJ44+AJ45+AJ46+AJ47+AJ48+AJ49+AJ50+AJ52+AJ54+AJ55+AJ56+AJ58+AJ60+AJ61+AJ63+AJ64+AJ65+AJ66+AJ67+AJ68+AJ69+AJ70+AJ71+AJ72+AJ73+AJ74+AJ75+AJ76+AJ77+AJ80+AJ83+AJ84+AJ85+AJ86+AJ87+AJ88+AJ91+AJ92+AJ93+AJ96+AJ98+AJ99+AJ102+AJ104+AJ106+AJ107+AJ108+AJ109+AJ110+AJ111+AJ112+AJ113+AJ116+AJ119+AJ120+AJ121+AJ122+AJ123+AJ124+AJ126+AJ128+AJ129+AJ130+AJ131+AJ132+AJ133+AJ134+AJ135+AJ136+AJ137+AJ139+AJ140+AJ141+AJ142+AJ143+AJ145+AJ147+AJ148+AJ149+AJ151+AJ152+AJ153+AJ158+AJ159+AJ160+AJ161+AJ162+AJ163+AJ164+AJ165+AJ166+AJ167+AJ170+AJ171+AJ172+AJ173+AJ174+AJ177+AJ178+AJ179+AJ180+AJ182+AJ184+AJ185+AJ186+AJ191+AJ196+AJ201+AJ206+AJ212+AJ213+AJ214+AJ215+AJ216+AJ217+AJ218+AJ219+AJ220+AJ221+AJ222+AJ223+AJ225+AJ226+AJ227+AJ228+AJ230+AJ233+AJ235+AJ236+AJ244+AJ247+AJ250+AJ252+AJ254+AJ257+AJ258+AJ259+AJ261+AJ263+AJ265+AJ267+AJ270+AJ273+AJ274+AJ276+AJ134+AJ279+AJ283+AJ284+AJ285+AJ289+AJ291+AJ293+AJ295+AJ296+AJ245+AJ246+AJ297+AJ298+AJ299+AJ308+AJ312+AJ315+AJ318+AJ321+AJ322+AJ323+AJ324+AJ325+AJ326+AJ328+AJ327+AJ329+AJ330+AJ331+AJ332</f>
        <v>28301.359999999997</v>
      </c>
      <c r="AK333" s="1798">
        <f>AK3+AK4+AK5+AK6+AK8+AK10+AK11+AK12+AK13+AK16+AK19+AK22+AK23+AK24+AK25+AK26+AK28+AK30+AK31+AK32+AK34+AK36+AK37+AK38+AK39+AK40+AK41+AK42+AK43+AK44+AK45+AK46+AK47+AK48+AK49+AK50+AK52+AK54+AK55+AK56+AK58+AK60+AK61+AK63+AK64+AK65+AK66+AK67+AK68+AK69+AK70+AK71+AK72+AK73+AK74+AK75+AK76+AK77+AK80+AK83+AK84+AK85+AK86+AK87+AK88+AK91+AK92+AK93+AK96+AK98+AK99+AK102+AK104+AK106+AK107+AK108+AK109+AK110+AK111+AK112+AK113+AK116+AK119+AK120+AK121+AK122+AK123+AK124+AK126+AK128+AK129+AK130+AK131+AK132+AK133+AK134+AK135+AK136+AK137+AK139+AK140+AK141+AK142+AK143+AK145+AK147+AK148+AK149+AK151+AK152+AK153+AK158+AK159+AK160+AK161+AK162+AK163+AK164+AK165+AK166+AK167+AK170+AK171+AK172+AK173+AK174+AK177+AK178+AK179+AK180+AK182+AK184+AK185+AK186+AK191+AK196+AK201+AK206+AK212+AK213+AK214+AK215+AK216+AK217+AK218+AK219+AK220+AK221+AK222+AK223+AK225+AK226+AK227+AK228+AK230+AK233+AK235+AK236+AK244+AK247+AK250+AK252+AK254+AK257+AK258+AK259+AK261+AK263+AK265+AK267+AK270+AK273+AK274+AK276+AK134+AK279+AK283+AK284+AK285+AK289+AK291+AK293+AK295+AK296+AK245+AK246+AK297+AK298+AK299+AK308+AK312+AK315+AK318+AK321+AK322+AK323+AK324+AK325+AK326+AK328+AK327+AK329+AK330+AK331+AK332</f>
        <v>25604.800000000003</v>
      </c>
      <c r="AL333" s="1798">
        <f t="shared" ref="AL333" si="89">SUM(AL3:AL322)</f>
        <v>0</v>
      </c>
      <c r="AM333" s="1798">
        <f>AM3+AM4+AM5+AM6+AM8+AM10+AM11+AM12+AM13+AM16+AM19+AM22+AM23+AM24+AM25+AM26+AM28+AM30+AM31+AM32+AM34+AM36+AM37+AM38+AM39+AM40+AM41+AM42+AM43+AM44+AM45+AM46+AM47+AM48+AM49+AM50+AM52+AM54+AM55+AM56+AM58+AM60+AM61+AM63+AM64+AM65+AM66+AM67+AM68+AM69+AM70+AM71+AM72+AM73+AM74+AM75+AM76+AM77+AM80+AM83+AM84+AM85+AM86+AM87+AM88+AM91+AM92+AM93+AM96+AM98+AM99+AM102+AM104+AM106+AM107+AM108+AM109+AM110+AM111+AM112+AM113+AM116+AM119+AM120+AM121+AM122+AM123+AM124+AM126+AM128+AM129+AM130+AM131+AM132+AM133+AM134+AM135+AM136+AM137+AM139+AM140+AM141+AM142+AM143+AM145+AM147+AM148+AM149+AM151+AM152+AM153+AM158+AM159+AM160+AM161+AM162+AM163+AM164+AM165+AM166+AM167+AM170+AM171+AM172+AM173+AM174+AM177+AM178+AM179+AM180+AM182+AM184+AM185+AM186+AM191+AM196+AM201+AM206+AM212+AM213+AM214+AM215+AM216+AM217+AM218+AM219+AM220+AM221+AM222+AM223+AM225+AM226+AM227+AM228+AM230+AM233+AM235+AM236+AM244+AM247+AM250+AM252+AM254+AM257+AM258+AM259+AM261+AM263+AM265+AM267+AM270+AM273+AM274+AM276+AM134+AM279+AM283+AM284+AM285+AM289+AM291+AM293+AM295+AM296+AM245+AM246+AM297+AM298+AM299+AM308+AM312+AM315+AM318+AM321+AM322+AM323+AM324+AM325+AM326+AM328+AM327+AM329+AM330+AM331+AM332</f>
        <v>1472.0200000000007</v>
      </c>
      <c r="AN333" s="1798">
        <f>SUBTOTAL(9,AN3:AN332)</f>
        <v>-1011.83</v>
      </c>
      <c r="AO333" s="1798">
        <f>SUBTOTAL(9,AO3:AO332)</f>
        <v>-982.13</v>
      </c>
      <c r="AP333" s="1798">
        <f>SUBTOTAL(9,AP3:AP332)</f>
        <v>-950.65</v>
      </c>
      <c r="AQ333" s="1798">
        <f>SUBTOTAL(9,AQ3:AQ332)</f>
        <v>578.03089813700035</v>
      </c>
      <c r="AR333" s="1803"/>
    </row>
    <row r="334" spans="1:44">
      <c r="AO334" s="1115"/>
    </row>
    <row r="337" spans="2:4" ht="21.75" thickBot="1"/>
    <row r="338" spans="2:4">
      <c r="B338" s="1820"/>
      <c r="C338" s="1821"/>
      <c r="D338" s="1775" t="s">
        <v>2891</v>
      </c>
    </row>
    <row r="339" spans="2:4" ht="21.75" thickBot="1">
      <c r="B339" s="1822"/>
      <c r="C339" s="1823"/>
      <c r="D339" s="1776" t="s">
        <v>352</v>
      </c>
    </row>
    <row r="340" spans="2:4">
      <c r="B340" s="1643" t="s">
        <v>2922</v>
      </c>
    </row>
  </sheetData>
  <autoFilter ref="A2:AR330"/>
  <mergeCells count="35">
    <mergeCell ref="B338:C338"/>
    <mergeCell ref="B339:C339"/>
    <mergeCell ref="AQ1:AQ2"/>
    <mergeCell ref="N1:N2"/>
    <mergeCell ref="M1:M2"/>
    <mergeCell ref="AF1:AF2"/>
    <mergeCell ref="AE1:AE2"/>
    <mergeCell ref="T1:AB1"/>
    <mergeCell ref="P1:P2"/>
    <mergeCell ref="O1:O2"/>
    <mergeCell ref="L1:L2"/>
    <mergeCell ref="F1:F2"/>
    <mergeCell ref="G1:G2"/>
    <mergeCell ref="H1:H2"/>
    <mergeCell ref="I1:I2"/>
    <mergeCell ref="J1:J2"/>
    <mergeCell ref="AR1:AR2"/>
    <mergeCell ref="AJ1:AP1"/>
    <mergeCell ref="AI1:AI2"/>
    <mergeCell ref="AH1:AH2"/>
    <mergeCell ref="AG1:AG2"/>
    <mergeCell ref="K1:K2"/>
    <mergeCell ref="O12:O15"/>
    <mergeCell ref="O16:O21"/>
    <mergeCell ref="A333:P333"/>
    <mergeCell ref="O22:O23"/>
    <mergeCell ref="O24:O25"/>
    <mergeCell ref="O26:O29"/>
    <mergeCell ref="O30:O31"/>
    <mergeCell ref="O32:O35"/>
    <mergeCell ref="A1:A2"/>
    <mergeCell ref="B1:B2"/>
    <mergeCell ref="C1:C2"/>
    <mergeCell ref="D1:D2"/>
    <mergeCell ref="E1:E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
  <sheetViews>
    <sheetView topLeftCell="A4" workbookViewId="0">
      <selection sqref="A1:F33"/>
    </sheetView>
  </sheetViews>
  <sheetFormatPr defaultColWidth="8.7109375" defaultRowHeight="12.75"/>
  <cols>
    <col min="1" max="4" width="8.7109375" style="8"/>
    <col min="5" max="5" width="17.140625" style="8" bestFit="1" customWidth="1"/>
    <col min="6" max="6" width="48.5703125" style="8" bestFit="1" customWidth="1"/>
    <col min="7" max="16384" width="8.7109375" style="8"/>
  </cols>
  <sheetData>
    <row r="1" spans="1:6" ht="15.75" thickBot="1">
      <c r="A1" s="1677" t="s">
        <v>445</v>
      </c>
      <c r="B1" s="1678" t="s">
        <v>1</v>
      </c>
      <c r="C1" s="1678" t="s">
        <v>2904</v>
      </c>
      <c r="D1" s="1678" t="s">
        <v>5</v>
      </c>
      <c r="E1" s="1678" t="s">
        <v>3</v>
      </c>
      <c r="F1" s="1679" t="s">
        <v>2905</v>
      </c>
    </row>
    <row r="2" spans="1:6" ht="13.5" thickBot="1">
      <c r="A2" s="1676">
        <v>1</v>
      </c>
      <c r="B2" s="1657" t="s">
        <v>2300</v>
      </c>
      <c r="C2" s="1657" t="s">
        <v>29</v>
      </c>
      <c r="D2" s="1658">
        <v>51238</v>
      </c>
      <c r="E2" s="1659" t="s">
        <v>2603</v>
      </c>
      <c r="F2" s="1660" t="s">
        <v>2604</v>
      </c>
    </row>
    <row r="3" spans="1:6">
      <c r="A3" s="1858">
        <v>2</v>
      </c>
      <c r="B3" s="1661" t="s">
        <v>2300</v>
      </c>
      <c r="C3" s="1661" t="s">
        <v>29</v>
      </c>
      <c r="D3" s="1662">
        <v>51159</v>
      </c>
      <c r="E3" s="1663" t="s">
        <v>2605</v>
      </c>
      <c r="F3" s="1664" t="s">
        <v>2606</v>
      </c>
    </row>
    <row r="4" spans="1:6" ht="13.5" thickBot="1">
      <c r="A4" s="1859"/>
      <c r="B4" s="1665" t="s">
        <v>2300</v>
      </c>
      <c r="C4" s="1665" t="s">
        <v>29</v>
      </c>
      <c r="D4" s="1666">
        <v>51159</v>
      </c>
      <c r="E4" s="1667" t="s">
        <v>2607</v>
      </c>
      <c r="F4" s="1668" t="s">
        <v>2608</v>
      </c>
    </row>
    <row r="5" spans="1:6">
      <c r="A5" s="1858">
        <v>3</v>
      </c>
      <c r="B5" s="1661" t="s">
        <v>2300</v>
      </c>
      <c r="C5" s="1661" t="s">
        <v>29</v>
      </c>
      <c r="D5" s="1662">
        <v>51239</v>
      </c>
      <c r="E5" s="1663" t="s">
        <v>2609</v>
      </c>
      <c r="F5" s="1664" t="s">
        <v>2610</v>
      </c>
    </row>
    <row r="6" spans="1:6" ht="13.5" thickBot="1">
      <c r="A6" s="1859"/>
      <c r="B6" s="1665" t="s">
        <v>2300</v>
      </c>
      <c r="C6" s="1665" t="s">
        <v>29</v>
      </c>
      <c r="D6" s="1666">
        <v>51239</v>
      </c>
      <c r="E6" s="1667" t="s">
        <v>2611</v>
      </c>
      <c r="F6" s="1668" t="s">
        <v>2610</v>
      </c>
    </row>
    <row r="7" spans="1:6">
      <c r="A7" s="1858">
        <v>4</v>
      </c>
      <c r="B7" s="1661" t="s">
        <v>2300</v>
      </c>
      <c r="C7" s="1661" t="s">
        <v>29</v>
      </c>
      <c r="D7" s="1662">
        <v>51317</v>
      </c>
      <c r="E7" s="1663" t="s">
        <v>2612</v>
      </c>
      <c r="F7" s="1664" t="s">
        <v>2613</v>
      </c>
    </row>
    <row r="8" spans="1:6" ht="13.5" thickBot="1">
      <c r="A8" s="1859"/>
      <c r="B8" s="1665" t="s">
        <v>2300</v>
      </c>
      <c r="C8" s="1665" t="s">
        <v>29</v>
      </c>
      <c r="D8" s="1666">
        <v>51317</v>
      </c>
      <c r="E8" s="1667" t="s">
        <v>2612</v>
      </c>
      <c r="F8" s="1668" t="s">
        <v>2614</v>
      </c>
    </row>
    <row r="9" spans="1:6">
      <c r="A9" s="1858">
        <v>5</v>
      </c>
      <c r="B9" s="1661" t="s">
        <v>2300</v>
      </c>
      <c r="C9" s="1661" t="s">
        <v>29</v>
      </c>
      <c r="D9" s="1662">
        <v>51167</v>
      </c>
      <c r="E9" s="1663" t="s">
        <v>2615</v>
      </c>
      <c r="F9" s="1664" t="s">
        <v>2616</v>
      </c>
    </row>
    <row r="10" spans="1:6" ht="13.5" thickBot="1">
      <c r="A10" s="1859"/>
      <c r="B10" s="1665" t="s">
        <v>2300</v>
      </c>
      <c r="C10" s="1665" t="s">
        <v>29</v>
      </c>
      <c r="D10" s="1666">
        <v>51167</v>
      </c>
      <c r="E10" s="1667" t="s">
        <v>2617</v>
      </c>
      <c r="F10" s="1668" t="s">
        <v>2618</v>
      </c>
    </row>
    <row r="11" spans="1:6">
      <c r="A11" s="1858">
        <v>6</v>
      </c>
      <c r="B11" s="1661" t="s">
        <v>2300</v>
      </c>
      <c r="C11" s="1661" t="s">
        <v>29</v>
      </c>
      <c r="D11" s="1662">
        <v>51586</v>
      </c>
      <c r="E11" s="1663" t="s">
        <v>2632</v>
      </c>
      <c r="F11" s="1664" t="s">
        <v>2633</v>
      </c>
    </row>
    <row r="12" spans="1:6" ht="13.5" thickBot="1">
      <c r="A12" s="1859"/>
      <c r="B12" s="1665" t="s">
        <v>2300</v>
      </c>
      <c r="C12" s="1665" t="s">
        <v>29</v>
      </c>
      <c r="D12" s="1666">
        <v>51586</v>
      </c>
      <c r="E12" s="1667" t="s">
        <v>2634</v>
      </c>
      <c r="F12" s="1668" t="s">
        <v>2635</v>
      </c>
    </row>
    <row r="13" spans="1:6">
      <c r="A13" s="1858">
        <v>7</v>
      </c>
      <c r="B13" s="1661" t="s">
        <v>2300</v>
      </c>
      <c r="C13" s="1661" t="s">
        <v>29</v>
      </c>
      <c r="D13" s="1662">
        <v>51336</v>
      </c>
      <c r="E13" s="1663" t="s">
        <v>2636</v>
      </c>
      <c r="F13" s="1664" t="s">
        <v>2637</v>
      </c>
    </row>
    <row r="14" spans="1:6">
      <c r="A14" s="1860"/>
      <c r="B14" s="1669" t="s">
        <v>2300</v>
      </c>
      <c r="C14" s="1669" t="s">
        <v>29</v>
      </c>
      <c r="D14" s="1670">
        <v>51336</v>
      </c>
      <c r="E14" s="1671" t="s">
        <v>2638</v>
      </c>
      <c r="F14" s="1672" t="s">
        <v>2637</v>
      </c>
    </row>
    <row r="15" spans="1:6">
      <c r="A15" s="1860"/>
      <c r="B15" s="1669" t="s">
        <v>2300</v>
      </c>
      <c r="C15" s="1669" t="s">
        <v>29</v>
      </c>
      <c r="D15" s="1670">
        <v>51336</v>
      </c>
      <c r="E15" s="1671" t="s">
        <v>2639</v>
      </c>
      <c r="F15" s="1672" t="s">
        <v>2637</v>
      </c>
    </row>
    <row r="16" spans="1:6">
      <c r="A16" s="1860"/>
      <c r="B16" s="1669" t="s">
        <v>2300</v>
      </c>
      <c r="C16" s="1669" t="s">
        <v>29</v>
      </c>
      <c r="D16" s="1670">
        <v>51336</v>
      </c>
      <c r="E16" s="1671" t="s">
        <v>2640</v>
      </c>
      <c r="F16" s="1672" t="s">
        <v>2637</v>
      </c>
    </row>
    <row r="17" spans="1:6" ht="13.5" thickBot="1">
      <c r="A17" s="1859"/>
      <c r="B17" s="1665" t="s">
        <v>2300</v>
      </c>
      <c r="C17" s="1665" t="s">
        <v>29</v>
      </c>
      <c r="D17" s="1666">
        <v>51336</v>
      </c>
      <c r="E17" s="1667" t="s">
        <v>2641</v>
      </c>
      <c r="F17" s="1668" t="s">
        <v>2637</v>
      </c>
    </row>
    <row r="18" spans="1:6">
      <c r="A18" s="1858">
        <v>8</v>
      </c>
      <c r="B18" s="1661" t="s">
        <v>2300</v>
      </c>
      <c r="C18" s="1661" t="s">
        <v>29</v>
      </c>
      <c r="D18" s="1662">
        <v>51097</v>
      </c>
      <c r="E18" s="1663" t="s">
        <v>2643</v>
      </c>
      <c r="F18" s="1664" t="s">
        <v>2644</v>
      </c>
    </row>
    <row r="19" spans="1:6" ht="13.5" thickBot="1">
      <c r="A19" s="1859"/>
      <c r="B19" s="1665" t="s">
        <v>2300</v>
      </c>
      <c r="C19" s="1665" t="s">
        <v>29</v>
      </c>
      <c r="D19" s="1666">
        <v>51097</v>
      </c>
      <c r="E19" s="1667" t="s">
        <v>2645</v>
      </c>
      <c r="F19" s="1668" t="s">
        <v>2646</v>
      </c>
    </row>
    <row r="20" spans="1:6">
      <c r="A20" s="1858">
        <v>9</v>
      </c>
      <c r="B20" s="1661" t="s">
        <v>2300</v>
      </c>
      <c r="C20" s="1661" t="s">
        <v>29</v>
      </c>
      <c r="D20" s="1662">
        <v>51287</v>
      </c>
      <c r="E20" s="1663" t="s">
        <v>2653</v>
      </c>
      <c r="F20" s="1664" t="s">
        <v>2654</v>
      </c>
    </row>
    <row r="21" spans="1:6" ht="13.5" thickBot="1">
      <c r="A21" s="1859"/>
      <c r="B21" s="1665" t="s">
        <v>2300</v>
      </c>
      <c r="C21" s="1665" t="s">
        <v>29</v>
      </c>
      <c r="D21" s="1666">
        <v>51287</v>
      </c>
      <c r="E21" s="1667" t="s">
        <v>2655</v>
      </c>
      <c r="F21" s="1668" t="s">
        <v>2656</v>
      </c>
    </row>
    <row r="22" spans="1:6">
      <c r="A22" s="1858">
        <v>10</v>
      </c>
      <c r="B22" s="1661" t="s">
        <v>2300</v>
      </c>
      <c r="C22" s="1661" t="s">
        <v>29</v>
      </c>
      <c r="D22" s="1662">
        <v>51147</v>
      </c>
      <c r="E22" s="1663" t="s">
        <v>2657</v>
      </c>
      <c r="F22" s="1664" t="s">
        <v>2658</v>
      </c>
    </row>
    <row r="23" spans="1:6">
      <c r="A23" s="1860"/>
      <c r="B23" s="1669" t="s">
        <v>2300</v>
      </c>
      <c r="C23" s="1669" t="s">
        <v>29</v>
      </c>
      <c r="D23" s="1670">
        <v>51147</v>
      </c>
      <c r="E23" s="1671" t="s">
        <v>2659</v>
      </c>
      <c r="F23" s="1672" t="s">
        <v>2658</v>
      </c>
    </row>
    <row r="24" spans="1:6" ht="13.5" thickBot="1">
      <c r="A24" s="1859"/>
      <c r="B24" s="1665" t="s">
        <v>2300</v>
      </c>
      <c r="C24" s="1665" t="s">
        <v>29</v>
      </c>
      <c r="D24" s="1666">
        <v>51147</v>
      </c>
      <c r="E24" s="1667" t="s">
        <v>2660</v>
      </c>
      <c r="F24" s="1668" t="s">
        <v>2658</v>
      </c>
    </row>
    <row r="25" spans="1:6" ht="13.5" thickBot="1">
      <c r="A25" s="1676">
        <v>11</v>
      </c>
      <c r="B25" s="1657" t="s">
        <v>2300</v>
      </c>
      <c r="C25" s="1657" t="s">
        <v>29</v>
      </c>
      <c r="D25" s="1658">
        <v>51598</v>
      </c>
      <c r="E25" s="1659" t="s">
        <v>2663</v>
      </c>
      <c r="F25" s="1660" t="s">
        <v>2664</v>
      </c>
    </row>
    <row r="26" spans="1:6" ht="13.5" thickBot="1">
      <c r="A26" s="1676">
        <v>12</v>
      </c>
      <c r="B26" s="1657" t="s">
        <v>2300</v>
      </c>
      <c r="C26" s="1657" t="s">
        <v>29</v>
      </c>
      <c r="D26" s="1658">
        <v>51307</v>
      </c>
      <c r="E26" s="1659" t="s">
        <v>2665</v>
      </c>
      <c r="F26" s="1660" t="s">
        <v>2666</v>
      </c>
    </row>
    <row r="27" spans="1:6">
      <c r="A27" s="1858">
        <v>13</v>
      </c>
      <c r="B27" s="1661" t="s">
        <v>2300</v>
      </c>
      <c r="C27" s="1661" t="s">
        <v>29</v>
      </c>
      <c r="D27" s="1662">
        <v>51316</v>
      </c>
      <c r="E27" s="1663" t="s">
        <v>2667</v>
      </c>
      <c r="F27" s="1664" t="s">
        <v>2668</v>
      </c>
    </row>
    <row r="28" spans="1:6">
      <c r="A28" s="1860"/>
      <c r="B28" s="1669" t="s">
        <v>2300</v>
      </c>
      <c r="C28" s="1669" t="s">
        <v>29</v>
      </c>
      <c r="D28" s="1670">
        <v>51316</v>
      </c>
      <c r="E28" s="1671" t="s">
        <v>2670</v>
      </c>
      <c r="F28" s="1672" t="s">
        <v>2671</v>
      </c>
    </row>
    <row r="29" spans="1:6">
      <c r="A29" s="1860"/>
      <c r="B29" s="1669" t="s">
        <v>2300</v>
      </c>
      <c r="C29" s="1669" t="s">
        <v>29</v>
      </c>
      <c r="D29" s="1670">
        <v>51316</v>
      </c>
      <c r="E29" s="1671" t="s">
        <v>2669</v>
      </c>
      <c r="F29" s="1672" t="s">
        <v>2668</v>
      </c>
    </row>
    <row r="30" spans="1:6" ht="13.5" thickBot="1">
      <c r="A30" s="1859"/>
      <c r="B30" s="1665" t="s">
        <v>2300</v>
      </c>
      <c r="C30" s="1665" t="s">
        <v>29</v>
      </c>
      <c r="D30" s="1666">
        <v>51316</v>
      </c>
      <c r="E30" s="1667" t="s">
        <v>2672</v>
      </c>
      <c r="F30" s="1668" t="s">
        <v>2671</v>
      </c>
    </row>
    <row r="31" spans="1:6">
      <c r="A31" s="1858">
        <v>14</v>
      </c>
      <c r="B31" s="1661" t="s">
        <v>2300</v>
      </c>
      <c r="C31" s="1661" t="s">
        <v>29</v>
      </c>
      <c r="D31" s="1662">
        <v>51208</v>
      </c>
      <c r="E31" s="1662" t="s">
        <v>2600</v>
      </c>
      <c r="F31" s="1673" t="s">
        <v>2818</v>
      </c>
    </row>
    <row r="32" spans="1:6">
      <c r="A32" s="1860"/>
      <c r="B32" s="1669" t="s">
        <v>2300</v>
      </c>
      <c r="C32" s="1669" t="s">
        <v>29</v>
      </c>
      <c r="D32" s="1670">
        <v>51208</v>
      </c>
      <c r="E32" s="1670" t="s">
        <v>2601</v>
      </c>
      <c r="F32" s="1674" t="s">
        <v>2819</v>
      </c>
    </row>
    <row r="33" spans="1:6" ht="13.5" thickBot="1">
      <c r="A33" s="1859"/>
      <c r="B33" s="1665" t="s">
        <v>2300</v>
      </c>
      <c r="C33" s="1665" t="s">
        <v>29</v>
      </c>
      <c r="D33" s="1666">
        <v>51208</v>
      </c>
      <c r="E33" s="1666" t="s">
        <v>2602</v>
      </c>
      <c r="F33" s="1675" t="s">
        <v>2819</v>
      </c>
    </row>
  </sheetData>
  <mergeCells count="11">
    <mergeCell ref="A13:A17"/>
    <mergeCell ref="A3:A4"/>
    <mergeCell ref="A5:A6"/>
    <mergeCell ref="A7:A8"/>
    <mergeCell ref="A9:A10"/>
    <mergeCell ref="A11:A12"/>
    <mergeCell ref="A18:A19"/>
    <mergeCell ref="A20:A21"/>
    <mergeCell ref="A22:A24"/>
    <mergeCell ref="A27:A30"/>
    <mergeCell ref="A31:A3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65"/>
  <sheetViews>
    <sheetView showGridLines="0" zoomScale="70" zoomScaleNormal="70" workbookViewId="0">
      <pane xSplit="6" ySplit="2" topLeftCell="H29" activePane="bottomRight" state="frozen"/>
      <selection pane="topRight" activeCell="G1" sqref="G1"/>
      <selection pane="bottomLeft" activeCell="A3" sqref="A3"/>
      <selection pane="bottomRight" activeCell="N61" sqref="N61:N64"/>
    </sheetView>
  </sheetViews>
  <sheetFormatPr defaultColWidth="9.140625" defaultRowHeight="15.75"/>
  <cols>
    <col min="1" max="1" width="6.42578125" style="729" bestFit="1" customWidth="1"/>
    <col min="2" max="2" width="14.42578125" style="729" customWidth="1"/>
    <col min="3" max="3" width="15.7109375" style="729" customWidth="1"/>
    <col min="4" max="4" width="32.140625" style="729" customWidth="1"/>
    <col min="5" max="5" width="19.28515625" style="729" customWidth="1"/>
    <col min="6" max="6" width="44.42578125" style="925" bestFit="1" customWidth="1"/>
    <col min="7" max="7" width="19.28515625" style="729" customWidth="1"/>
    <col min="8" max="8" width="17.5703125" style="729" customWidth="1"/>
    <col min="9" max="9" width="8.28515625" style="729" customWidth="1"/>
    <col min="10" max="10" width="7" style="729" customWidth="1"/>
    <col min="11" max="11" width="12.5703125" style="729" customWidth="1"/>
    <col min="12" max="12" width="8" style="729" customWidth="1"/>
    <col min="13" max="13" width="11.140625" style="729" customWidth="1"/>
    <col min="14" max="14" width="14.5703125" style="729" customWidth="1"/>
    <col min="15" max="15" width="23" style="729" customWidth="1"/>
    <col min="16" max="16" width="20.5703125" style="729" customWidth="1"/>
    <col min="17" max="17" width="13.85546875" style="729" customWidth="1"/>
    <col min="18" max="18" width="23.140625" style="729" customWidth="1"/>
    <col min="19" max="19" width="17.140625" style="729" customWidth="1"/>
    <col min="20" max="20" width="17.42578125" style="729" bestFit="1" customWidth="1"/>
    <col min="21" max="21" width="17.42578125" style="729" customWidth="1"/>
    <col min="22" max="22" width="11.5703125" style="729" customWidth="1"/>
    <col min="23" max="23" width="13.5703125" style="729" customWidth="1"/>
    <col min="24" max="24" width="18.5703125" style="729" customWidth="1"/>
    <col min="25" max="26" width="14.42578125" style="729" customWidth="1"/>
    <col min="27" max="29" width="15.28515625" style="729" customWidth="1"/>
    <col min="30" max="30" width="49.140625" style="729" customWidth="1"/>
    <col min="31" max="31" width="21.140625" style="729" customWidth="1"/>
    <col min="32" max="32" width="13" style="729" customWidth="1"/>
    <col min="33" max="33" width="11.85546875" style="729" customWidth="1"/>
    <col min="34" max="34" width="12.140625" style="729" customWidth="1"/>
    <col min="35" max="37" width="10.42578125" style="729" customWidth="1"/>
    <col min="38" max="38" width="11.140625" style="729" customWidth="1"/>
    <col min="39" max="39" width="14.42578125" style="729" customWidth="1"/>
    <col min="40" max="16384" width="9.140625" style="729"/>
  </cols>
  <sheetData>
    <row r="1" spans="1:39" ht="15.75" customHeight="1" thickBot="1">
      <c r="A1" s="1904" t="s">
        <v>0</v>
      </c>
      <c r="B1" s="1891" t="s">
        <v>1</v>
      </c>
      <c r="C1" s="1891" t="s">
        <v>1665</v>
      </c>
      <c r="D1" s="1891" t="s">
        <v>5</v>
      </c>
      <c r="E1" s="1891" t="s">
        <v>3</v>
      </c>
      <c r="F1" s="1891" t="s">
        <v>4</v>
      </c>
      <c r="G1" s="1891" t="s">
        <v>6</v>
      </c>
      <c r="H1" s="1891" t="s">
        <v>7</v>
      </c>
      <c r="I1" s="1891" t="s">
        <v>8</v>
      </c>
      <c r="J1" s="1891" t="s">
        <v>9</v>
      </c>
      <c r="K1" s="1891" t="s">
        <v>10</v>
      </c>
      <c r="L1" s="1891" t="s">
        <v>11</v>
      </c>
      <c r="M1" s="1891" t="s">
        <v>12</v>
      </c>
      <c r="N1" s="1891" t="s">
        <v>55</v>
      </c>
      <c r="O1" s="1891" t="s">
        <v>116</v>
      </c>
      <c r="P1" s="1891" t="s">
        <v>1239</v>
      </c>
      <c r="Q1" s="1891" t="s">
        <v>15</v>
      </c>
      <c r="R1" s="1891" t="s">
        <v>1884</v>
      </c>
      <c r="S1" s="1891" t="s">
        <v>1215</v>
      </c>
      <c r="T1" s="1901" t="s">
        <v>349</v>
      </c>
      <c r="U1" s="1901"/>
      <c r="V1" s="1901"/>
      <c r="W1" s="1901"/>
      <c r="X1" s="1901"/>
      <c r="Y1" s="1901"/>
      <c r="Z1" s="679"/>
      <c r="AA1" s="1891" t="s">
        <v>24</v>
      </c>
      <c r="AB1" s="1891" t="s">
        <v>25</v>
      </c>
      <c r="AC1" s="1891" t="s">
        <v>26</v>
      </c>
      <c r="AD1" s="1891" t="s">
        <v>1554</v>
      </c>
      <c r="AE1" s="1891" t="s">
        <v>27</v>
      </c>
      <c r="AF1" s="1897" t="s">
        <v>1583</v>
      </c>
      <c r="AG1" s="1898"/>
      <c r="AH1" s="1898"/>
      <c r="AI1" s="1898"/>
      <c r="AJ1" s="1898"/>
      <c r="AK1" s="1898"/>
      <c r="AL1" s="1898"/>
      <c r="AM1" s="1899" t="s">
        <v>23</v>
      </c>
    </row>
    <row r="2" spans="1:39" ht="94.5">
      <c r="A2" s="1905"/>
      <c r="B2" s="1892"/>
      <c r="C2" s="1892"/>
      <c r="D2" s="1892"/>
      <c r="E2" s="1892"/>
      <c r="F2" s="1892"/>
      <c r="G2" s="1892"/>
      <c r="H2" s="1892"/>
      <c r="I2" s="1892"/>
      <c r="J2" s="1892"/>
      <c r="K2" s="1892"/>
      <c r="L2" s="1892"/>
      <c r="M2" s="1892"/>
      <c r="N2" s="1892"/>
      <c r="O2" s="1892"/>
      <c r="P2" s="1892"/>
      <c r="Q2" s="1892"/>
      <c r="R2" s="1892"/>
      <c r="S2" s="1892"/>
      <c r="T2" s="998" t="s">
        <v>2238</v>
      </c>
      <c r="U2" s="998" t="s">
        <v>1240</v>
      </c>
      <c r="V2" s="990" t="s">
        <v>249</v>
      </c>
      <c r="W2" s="998" t="s">
        <v>168</v>
      </c>
      <c r="X2" s="998" t="s">
        <v>1598</v>
      </c>
      <c r="Y2" s="998" t="s">
        <v>350</v>
      </c>
      <c r="Z2" s="990" t="s">
        <v>19</v>
      </c>
      <c r="AA2" s="1892"/>
      <c r="AB2" s="1892"/>
      <c r="AC2" s="1892"/>
      <c r="AD2" s="1892"/>
      <c r="AE2" s="1892"/>
      <c r="AF2" s="990" t="s">
        <v>1582</v>
      </c>
      <c r="AG2" s="998" t="s">
        <v>168</v>
      </c>
      <c r="AH2" s="998" t="s">
        <v>169</v>
      </c>
      <c r="AI2" s="998" t="s">
        <v>350</v>
      </c>
      <c r="AJ2" s="991" t="s">
        <v>24</v>
      </c>
      <c r="AK2" s="991" t="s">
        <v>25</v>
      </c>
      <c r="AL2" s="991" t="s">
        <v>26</v>
      </c>
      <c r="AM2" s="1900"/>
    </row>
    <row r="3" spans="1:39">
      <c r="A3" s="993">
        <v>1</v>
      </c>
      <c r="B3" s="995" t="s">
        <v>2282</v>
      </c>
      <c r="C3" s="995" t="s">
        <v>29</v>
      </c>
      <c r="D3" s="1907" t="s">
        <v>2193</v>
      </c>
      <c r="E3" s="997" t="s">
        <v>2283</v>
      </c>
      <c r="F3" s="997" t="s">
        <v>2285</v>
      </c>
      <c r="G3" s="995" t="s">
        <v>2292</v>
      </c>
      <c r="H3" s="995">
        <v>43400</v>
      </c>
      <c r="I3" s="995" t="s">
        <v>2178</v>
      </c>
      <c r="J3" s="995" t="s">
        <v>2178</v>
      </c>
      <c r="K3" s="995" t="s">
        <v>2178</v>
      </c>
      <c r="L3" s="995" t="s">
        <v>1773</v>
      </c>
      <c r="M3" s="995" t="s">
        <v>36</v>
      </c>
      <c r="N3" s="992">
        <v>45157</v>
      </c>
      <c r="O3" s="992">
        <v>45170</v>
      </c>
      <c r="P3" s="992">
        <v>45170</v>
      </c>
      <c r="Q3" s="992">
        <f>N3</f>
        <v>45157</v>
      </c>
      <c r="R3" s="995"/>
      <c r="S3" s="995" t="s">
        <v>1216</v>
      </c>
      <c r="T3" s="995">
        <v>69.2645470378</v>
      </c>
      <c r="U3" s="995">
        <v>116.57538108289798</v>
      </c>
      <c r="V3" s="995">
        <v>10.649290940756002</v>
      </c>
      <c r="W3" s="995">
        <v>0</v>
      </c>
      <c r="X3" s="995">
        <v>0</v>
      </c>
      <c r="Y3" s="995">
        <v>8.16</v>
      </c>
      <c r="Z3" s="1006">
        <f t="shared" ref="Z3:Z4" si="0">(H3*U3)/10^7</f>
        <v>0.50593715389977723</v>
      </c>
      <c r="AA3" s="995">
        <v>0</v>
      </c>
      <c r="AB3" s="995">
        <v>0</v>
      </c>
      <c r="AC3" s="995">
        <v>0</v>
      </c>
      <c r="AD3" s="995"/>
      <c r="AE3" s="995" t="s">
        <v>2287</v>
      </c>
      <c r="AF3" s="995"/>
      <c r="AG3" s="995"/>
      <c r="AH3" s="995"/>
      <c r="AI3" s="995"/>
      <c r="AJ3" s="995"/>
      <c r="AK3" s="995"/>
      <c r="AL3" s="995"/>
      <c r="AM3" s="995"/>
    </row>
    <row r="4" spans="1:39">
      <c r="A4" s="1020">
        <v>1</v>
      </c>
      <c r="B4" s="995" t="s">
        <v>2282</v>
      </c>
      <c r="C4" s="995" t="s">
        <v>29</v>
      </c>
      <c r="D4" s="1903"/>
      <c r="E4" s="1026" t="s">
        <v>2284</v>
      </c>
      <c r="F4" s="1026" t="s">
        <v>2286</v>
      </c>
      <c r="G4" s="995" t="s">
        <v>2292</v>
      </c>
      <c r="H4" s="995">
        <v>43400</v>
      </c>
      <c r="I4" s="995" t="s">
        <v>2178</v>
      </c>
      <c r="J4" s="995" t="s">
        <v>2178</v>
      </c>
      <c r="K4" s="995" t="s">
        <v>2178</v>
      </c>
      <c r="L4" s="995" t="s">
        <v>1773</v>
      </c>
      <c r="M4" s="995" t="s">
        <v>36</v>
      </c>
      <c r="N4" s="992">
        <v>45157</v>
      </c>
      <c r="O4" s="992">
        <v>45170</v>
      </c>
      <c r="P4" s="992">
        <v>45170</v>
      </c>
      <c r="Q4" s="992">
        <f>N4</f>
        <v>45157</v>
      </c>
      <c r="R4" s="1017"/>
      <c r="S4" s="995" t="s">
        <v>1216</v>
      </c>
      <c r="T4" s="1017">
        <v>65.946807037799999</v>
      </c>
      <c r="U4" s="1017">
        <v>111.36554492889798</v>
      </c>
      <c r="V4" s="1017">
        <v>10.198936140756</v>
      </c>
      <c r="W4" s="1017">
        <v>0</v>
      </c>
      <c r="X4" s="1017">
        <v>0</v>
      </c>
      <c r="Y4" s="995">
        <v>0</v>
      </c>
      <c r="Z4" s="1006">
        <f t="shared" si="0"/>
        <v>0.48332646499141724</v>
      </c>
      <c r="AA4" s="995">
        <v>0</v>
      </c>
      <c r="AB4" s="995">
        <v>0</v>
      </c>
      <c r="AC4" s="995">
        <v>0</v>
      </c>
      <c r="AD4" s="1017"/>
      <c r="AE4" s="995" t="s">
        <v>2287</v>
      </c>
      <c r="AF4" s="1017"/>
      <c r="AG4" s="1017"/>
      <c r="AH4" s="1017"/>
      <c r="AI4" s="1017"/>
      <c r="AJ4" s="1017"/>
      <c r="AK4" s="1017"/>
      <c r="AL4" s="1017"/>
      <c r="AM4" s="1017"/>
    </row>
    <row r="5" spans="1:39" s="1019" customFormat="1">
      <c r="A5" s="1025">
        <v>2</v>
      </c>
      <c r="B5" s="1022"/>
      <c r="C5" s="1022"/>
      <c r="D5" s="1021" t="s">
        <v>2194</v>
      </c>
      <c r="E5" s="1024"/>
      <c r="F5" s="1024"/>
      <c r="G5" s="1022" t="s">
        <v>2293</v>
      </c>
      <c r="H5" s="1022"/>
      <c r="I5" s="1022"/>
      <c r="J5" s="1022"/>
      <c r="K5" s="1022"/>
      <c r="L5" s="1022"/>
      <c r="M5" s="1022" t="s">
        <v>36</v>
      </c>
      <c r="N5" s="1022"/>
      <c r="O5" s="1022"/>
      <c r="P5" s="1022"/>
      <c r="Q5" s="1022"/>
      <c r="R5" s="1022"/>
      <c r="S5" s="1022"/>
      <c r="T5" s="1022"/>
      <c r="U5" s="1022"/>
      <c r="V5" s="1022"/>
      <c r="W5" s="1022"/>
      <c r="X5" s="1022"/>
      <c r="Y5" s="1022"/>
      <c r="Z5" s="1022"/>
      <c r="AA5" s="1022"/>
      <c r="AB5" s="1022"/>
      <c r="AC5" s="1022"/>
      <c r="AD5" s="1022"/>
      <c r="AE5" s="1022"/>
      <c r="AF5" s="1022"/>
      <c r="AG5" s="1022"/>
      <c r="AH5" s="1022"/>
      <c r="AI5" s="1022"/>
      <c r="AJ5" s="1022"/>
      <c r="AK5" s="1022"/>
      <c r="AL5" s="1022"/>
      <c r="AM5" s="1022"/>
    </row>
    <row r="6" spans="1:39" s="1019" customFormat="1">
      <c r="A6" s="1025">
        <v>3</v>
      </c>
      <c r="B6" s="1022"/>
      <c r="C6" s="1022"/>
      <c r="D6" s="1021" t="s">
        <v>2195</v>
      </c>
      <c r="E6" s="1024"/>
      <c r="F6" s="1024"/>
      <c r="G6" s="1022" t="s">
        <v>2222</v>
      </c>
      <c r="H6" s="1022"/>
      <c r="I6" s="1022"/>
      <c r="J6" s="1022"/>
      <c r="K6" s="1022"/>
      <c r="L6" s="1022"/>
      <c r="M6" s="1022" t="s">
        <v>36</v>
      </c>
      <c r="N6" s="1022"/>
      <c r="O6" s="1022"/>
      <c r="P6" s="1022"/>
      <c r="Q6" s="1022"/>
      <c r="R6" s="1022"/>
      <c r="S6" s="1018"/>
      <c r="T6" s="1018"/>
      <c r="U6" s="1018"/>
      <c r="V6" s="1022"/>
      <c r="W6" s="1022"/>
      <c r="X6" s="1022"/>
      <c r="Y6" s="1022"/>
      <c r="Z6" s="1022"/>
      <c r="AA6" s="1022"/>
      <c r="AB6" s="1022"/>
      <c r="AC6" s="1022"/>
      <c r="AD6" s="1022"/>
      <c r="AE6" s="1022"/>
      <c r="AF6" s="1022"/>
      <c r="AG6" s="1022"/>
      <c r="AH6" s="1022"/>
      <c r="AI6" s="1022"/>
      <c r="AJ6" s="1022"/>
      <c r="AK6" s="1022"/>
      <c r="AL6" s="1022"/>
      <c r="AM6" s="1022"/>
    </row>
    <row r="7" spans="1:39">
      <c r="A7" s="993">
        <v>4</v>
      </c>
      <c r="B7" s="995" t="s">
        <v>1850</v>
      </c>
      <c r="C7" s="995" t="s">
        <v>29</v>
      </c>
      <c r="D7" s="994" t="s">
        <v>2196</v>
      </c>
      <c r="E7" s="996" t="s">
        <v>2219</v>
      </c>
      <c r="F7" s="996" t="s">
        <v>2220</v>
      </c>
      <c r="G7" s="995" t="s">
        <v>2222</v>
      </c>
      <c r="H7" s="1005">
        <v>40102</v>
      </c>
      <c r="I7" s="995" t="s">
        <v>2178</v>
      </c>
      <c r="J7" s="995" t="s">
        <v>2178</v>
      </c>
      <c r="K7" s="995" t="s">
        <v>2178</v>
      </c>
      <c r="L7" s="995" t="s">
        <v>35</v>
      </c>
      <c r="M7" s="995" t="s">
        <v>36</v>
      </c>
      <c r="N7" s="992">
        <v>45149</v>
      </c>
      <c r="O7" s="992">
        <v>45164</v>
      </c>
      <c r="P7" s="992">
        <v>45162</v>
      </c>
      <c r="Q7" s="992">
        <v>45149</v>
      </c>
      <c r="R7" s="995"/>
      <c r="S7" s="995" t="s">
        <v>1216</v>
      </c>
      <c r="T7" s="1002">
        <v>447.79</v>
      </c>
      <c r="U7" s="1002">
        <v>618.06642467270979</v>
      </c>
      <c r="V7" s="1002">
        <v>36.32089672829953</v>
      </c>
      <c r="W7" s="1002">
        <v>20.705228844299999</v>
      </c>
      <c r="X7" s="1002">
        <v>7</v>
      </c>
      <c r="Y7" s="1002">
        <v>0</v>
      </c>
      <c r="Z7" s="1006">
        <f t="shared" ref="Z7:Z14" si="1">(H7*U7)/10^7</f>
        <v>2.4785699762225009</v>
      </c>
      <c r="AA7" s="995">
        <v>3.09</v>
      </c>
      <c r="AB7" s="995">
        <v>3.07</v>
      </c>
      <c r="AC7" s="995">
        <v>3.06</v>
      </c>
      <c r="AD7" s="995"/>
      <c r="AE7" s="995" t="s">
        <v>2287</v>
      </c>
      <c r="AF7" s="995"/>
      <c r="AG7" s="995"/>
      <c r="AH7" s="995"/>
      <c r="AI7" s="995"/>
      <c r="AJ7" s="995"/>
      <c r="AK7" s="995"/>
      <c r="AL7" s="995"/>
      <c r="AM7" s="995"/>
    </row>
    <row r="8" spans="1:39">
      <c r="A8" s="993">
        <v>5</v>
      </c>
      <c r="B8" s="995" t="s">
        <v>1850</v>
      </c>
      <c r="C8" s="995" t="s">
        <v>29</v>
      </c>
      <c r="D8" s="994" t="s">
        <v>2197</v>
      </c>
      <c r="E8" s="996" t="s">
        <v>2221</v>
      </c>
      <c r="F8" s="996" t="s">
        <v>2220</v>
      </c>
      <c r="G8" s="995" t="s">
        <v>2222</v>
      </c>
      <c r="H8" s="1005">
        <v>160410</v>
      </c>
      <c r="I8" s="995" t="s">
        <v>2178</v>
      </c>
      <c r="J8" s="995" t="s">
        <v>2178</v>
      </c>
      <c r="K8" s="995" t="s">
        <v>2178</v>
      </c>
      <c r="L8" s="995" t="s">
        <v>35</v>
      </c>
      <c r="M8" s="995" t="s">
        <v>36</v>
      </c>
      <c r="N8" s="992">
        <v>45149</v>
      </c>
      <c r="O8" s="992">
        <v>45164</v>
      </c>
      <c r="P8" s="992">
        <v>45162</v>
      </c>
      <c r="Q8" s="992">
        <v>45149</v>
      </c>
      <c r="R8" s="995"/>
      <c r="S8" s="995" t="s">
        <v>1216</v>
      </c>
      <c r="T8" s="1002">
        <v>433.5</v>
      </c>
      <c r="U8" s="1002">
        <v>591.97107946941378</v>
      </c>
      <c r="V8" s="1002">
        <v>33.761774571754231</v>
      </c>
      <c r="W8" s="1002">
        <v>348.41848468061261</v>
      </c>
      <c r="X8" s="1002">
        <v>105.13</v>
      </c>
      <c r="Y8" s="1002">
        <v>24.71</v>
      </c>
      <c r="Z8" s="1006">
        <f t="shared" si="1"/>
        <v>9.495808085768866</v>
      </c>
      <c r="AA8" s="995">
        <v>2.96</v>
      </c>
      <c r="AB8" s="995">
        <v>2.95</v>
      </c>
      <c r="AC8" s="995">
        <v>2.93</v>
      </c>
      <c r="AD8" s="995"/>
      <c r="AE8" s="995" t="s">
        <v>2287</v>
      </c>
      <c r="AF8" s="995"/>
      <c r="AG8" s="995"/>
      <c r="AH8" s="995"/>
      <c r="AI8" s="995"/>
      <c r="AJ8" s="995"/>
      <c r="AK8" s="995"/>
      <c r="AL8" s="995"/>
      <c r="AM8" s="995"/>
    </row>
    <row r="9" spans="1:39">
      <c r="A9" s="993">
        <v>6</v>
      </c>
      <c r="B9" s="995" t="s">
        <v>1850</v>
      </c>
      <c r="C9" s="995" t="s">
        <v>29</v>
      </c>
      <c r="D9" s="994" t="s">
        <v>2198</v>
      </c>
      <c r="E9" s="996" t="s">
        <v>2223</v>
      </c>
      <c r="F9" s="996" t="s">
        <v>2224</v>
      </c>
      <c r="G9" s="995" t="s">
        <v>2222</v>
      </c>
      <c r="H9" s="1005">
        <v>160410</v>
      </c>
      <c r="I9" s="995" t="s">
        <v>2178</v>
      </c>
      <c r="J9" s="995" t="s">
        <v>2178</v>
      </c>
      <c r="K9" s="995" t="s">
        <v>2178</v>
      </c>
      <c r="L9" s="995" t="s">
        <v>35</v>
      </c>
      <c r="M9" s="995" t="s">
        <v>36</v>
      </c>
      <c r="N9" s="992">
        <v>45149</v>
      </c>
      <c r="O9" s="992">
        <v>45164</v>
      </c>
      <c r="P9" s="992">
        <v>45162</v>
      </c>
      <c r="Q9" s="992">
        <v>45149</v>
      </c>
      <c r="R9" s="995"/>
      <c r="S9" s="995" t="s">
        <v>1216</v>
      </c>
      <c r="T9" s="1002">
        <v>362.81</v>
      </c>
      <c r="U9" s="1002">
        <v>533.73192986866547</v>
      </c>
      <c r="V9" s="1002">
        <v>35.596380618430807</v>
      </c>
      <c r="W9" s="1002">
        <v>340.80567724087501</v>
      </c>
      <c r="X9" s="1002">
        <v>112.13</v>
      </c>
      <c r="Y9" s="1002">
        <v>24.71</v>
      </c>
      <c r="Z9" s="1006">
        <f t="shared" si="1"/>
        <v>8.5615938870232622</v>
      </c>
      <c r="AA9" s="995">
        <v>2.67</v>
      </c>
      <c r="AB9" s="995">
        <v>2.66</v>
      </c>
      <c r="AC9" s="995">
        <v>2.64</v>
      </c>
      <c r="AD9" s="995"/>
      <c r="AE9" s="995" t="s">
        <v>2287</v>
      </c>
      <c r="AF9" s="995"/>
      <c r="AG9" s="995"/>
      <c r="AH9" s="995"/>
      <c r="AI9" s="995"/>
      <c r="AJ9" s="995"/>
      <c r="AK9" s="995"/>
      <c r="AL9" s="995"/>
      <c r="AM9" s="995"/>
    </row>
    <row r="10" spans="1:39">
      <c r="A10" s="993">
        <v>7</v>
      </c>
      <c r="B10" s="995" t="s">
        <v>1850</v>
      </c>
      <c r="C10" s="995" t="s">
        <v>29</v>
      </c>
      <c r="D10" s="994" t="s">
        <v>2199</v>
      </c>
      <c r="E10" s="996" t="s">
        <v>2225</v>
      </c>
      <c r="F10" s="996" t="s">
        <v>2224</v>
      </c>
      <c r="G10" s="995" t="s">
        <v>2222</v>
      </c>
      <c r="H10" s="1005">
        <v>40102</v>
      </c>
      <c r="I10" s="995" t="s">
        <v>2178</v>
      </c>
      <c r="J10" s="995" t="s">
        <v>2178</v>
      </c>
      <c r="K10" s="995" t="s">
        <v>2178</v>
      </c>
      <c r="L10" s="995" t="s">
        <v>35</v>
      </c>
      <c r="M10" s="995" t="s">
        <v>36</v>
      </c>
      <c r="N10" s="992">
        <v>45149</v>
      </c>
      <c r="O10" s="992">
        <v>45164</v>
      </c>
      <c r="P10" s="992">
        <v>45162</v>
      </c>
      <c r="Q10" s="992">
        <v>45149</v>
      </c>
      <c r="R10" s="995"/>
      <c r="S10" s="995" t="s">
        <v>1216</v>
      </c>
      <c r="T10" s="1002">
        <v>392.75</v>
      </c>
      <c r="U10" s="1002">
        <v>580.45179491354747</v>
      </c>
      <c r="V10" s="1002">
        <v>39.397395751190459</v>
      </c>
      <c r="W10" s="1002">
        <v>33.629723727600002</v>
      </c>
      <c r="X10" s="1002">
        <v>89.13</v>
      </c>
      <c r="Y10" s="1002">
        <v>0</v>
      </c>
      <c r="Z10" s="1006">
        <f t="shared" si="1"/>
        <v>2.3277277879623082</v>
      </c>
      <c r="AA10" s="995">
        <v>2.9</v>
      </c>
      <c r="AB10" s="995">
        <v>2.89</v>
      </c>
      <c r="AC10" s="995">
        <v>2.87</v>
      </c>
      <c r="AD10" s="995"/>
      <c r="AE10" s="995" t="s">
        <v>2287</v>
      </c>
      <c r="AF10" s="995"/>
      <c r="AG10" s="995"/>
      <c r="AH10" s="995"/>
      <c r="AI10" s="995"/>
      <c r="AJ10" s="995"/>
      <c r="AK10" s="995"/>
      <c r="AL10" s="995"/>
      <c r="AM10" s="995"/>
    </row>
    <row r="11" spans="1:39">
      <c r="A11" s="993">
        <v>8</v>
      </c>
      <c r="B11" s="995" t="s">
        <v>1850</v>
      </c>
      <c r="C11" s="995" t="s">
        <v>29</v>
      </c>
      <c r="D11" s="994" t="s">
        <v>2200</v>
      </c>
      <c r="E11" s="996" t="s">
        <v>2226</v>
      </c>
      <c r="F11" s="996" t="s">
        <v>2227</v>
      </c>
      <c r="G11" s="995" t="s">
        <v>2222</v>
      </c>
      <c r="H11" s="995">
        <v>200512</v>
      </c>
      <c r="I11" s="995" t="s">
        <v>2178</v>
      </c>
      <c r="J11" s="995" t="s">
        <v>2178</v>
      </c>
      <c r="K11" s="995" t="s">
        <v>2178</v>
      </c>
      <c r="L11" s="995" t="s">
        <v>35</v>
      </c>
      <c r="M11" s="995" t="s">
        <v>36</v>
      </c>
      <c r="N11" s="992">
        <v>45149</v>
      </c>
      <c r="O11" s="992">
        <v>45164</v>
      </c>
      <c r="P11" s="992">
        <v>45161</v>
      </c>
      <c r="Q11" s="992">
        <v>45149</v>
      </c>
      <c r="R11" s="995"/>
      <c r="S11" s="995" t="s">
        <v>1216</v>
      </c>
      <c r="T11" s="1002">
        <v>363.39221268480003</v>
      </c>
      <c r="U11" s="1002">
        <v>462.2702641201214</v>
      </c>
      <c r="V11" s="1002">
        <v>23.172075344909512</v>
      </c>
      <c r="W11" s="1002">
        <v>238.81293374399996</v>
      </c>
      <c r="X11" s="1002">
        <v>10</v>
      </c>
      <c r="Y11" s="1002">
        <v>19.233696399999999</v>
      </c>
      <c r="Z11" s="1006">
        <f t="shared" si="1"/>
        <v>9.269073519925378</v>
      </c>
      <c r="AA11" s="995">
        <v>1.1599999999999999</v>
      </c>
      <c r="AB11" s="995">
        <v>1.1499999999999999</v>
      </c>
      <c r="AC11" s="995">
        <v>1.1499999999999999</v>
      </c>
      <c r="AD11" s="995"/>
      <c r="AE11" s="995" t="s">
        <v>2287</v>
      </c>
      <c r="AF11" s="995"/>
      <c r="AG11" s="995"/>
      <c r="AH11" s="995"/>
      <c r="AI11" s="995"/>
      <c r="AJ11" s="995"/>
      <c r="AK11" s="995"/>
      <c r="AL11" s="995"/>
      <c r="AM11" s="995"/>
    </row>
    <row r="12" spans="1:39">
      <c r="A12" s="993">
        <v>9</v>
      </c>
      <c r="B12" s="995" t="s">
        <v>1850</v>
      </c>
      <c r="C12" s="995" t="s">
        <v>29</v>
      </c>
      <c r="D12" s="994" t="s">
        <v>2201</v>
      </c>
      <c r="E12" s="997" t="s">
        <v>2228</v>
      </c>
      <c r="F12" s="997" t="s">
        <v>2229</v>
      </c>
      <c r="G12" s="995" t="s">
        <v>2222</v>
      </c>
      <c r="H12" s="995">
        <v>52133</v>
      </c>
      <c r="I12" s="995" t="s">
        <v>2178</v>
      </c>
      <c r="J12" s="995" t="s">
        <v>2178</v>
      </c>
      <c r="K12" s="995" t="s">
        <v>2178</v>
      </c>
      <c r="L12" s="995" t="s">
        <v>35</v>
      </c>
      <c r="M12" s="995" t="s">
        <v>36</v>
      </c>
      <c r="N12" s="992">
        <v>45149</v>
      </c>
      <c r="O12" s="992">
        <v>45164</v>
      </c>
      <c r="P12" s="992">
        <v>45171</v>
      </c>
      <c r="Q12" s="992">
        <v>45149</v>
      </c>
      <c r="R12" s="995"/>
      <c r="S12" s="995" t="s">
        <v>1216</v>
      </c>
      <c r="T12" s="1003">
        <v>643.67999999999995</v>
      </c>
      <c r="U12" s="1002">
        <v>1051.8499999999999</v>
      </c>
      <c r="V12" s="1002">
        <v>82.86</v>
      </c>
      <c r="W12" s="1002">
        <v>711.9</v>
      </c>
      <c r="X12" s="1002">
        <f>56+153</f>
        <v>209</v>
      </c>
      <c r="Y12" s="1002">
        <v>38.44</v>
      </c>
      <c r="Z12" s="1006">
        <f t="shared" si="1"/>
        <v>5.4836096049999998</v>
      </c>
      <c r="AA12" s="1004"/>
      <c r="AB12" s="1004"/>
      <c r="AC12" s="1004"/>
      <c r="AD12" s="995"/>
      <c r="AE12" s="995" t="s">
        <v>2287</v>
      </c>
      <c r="AF12" s="995"/>
      <c r="AG12" s="995"/>
      <c r="AH12" s="995"/>
      <c r="AI12" s="995"/>
      <c r="AJ12" s="995"/>
      <c r="AK12" s="995"/>
      <c r="AL12" s="995"/>
      <c r="AM12" s="995"/>
    </row>
    <row r="13" spans="1:39">
      <c r="A13" s="993">
        <v>10</v>
      </c>
      <c r="B13" s="995" t="s">
        <v>1850</v>
      </c>
      <c r="C13" s="995" t="s">
        <v>29</v>
      </c>
      <c r="D13" s="994" t="s">
        <v>2202</v>
      </c>
      <c r="E13" s="997" t="s">
        <v>2230</v>
      </c>
      <c r="F13" s="997" t="s">
        <v>2231</v>
      </c>
      <c r="G13" s="995" t="s">
        <v>2222</v>
      </c>
      <c r="H13" s="995">
        <v>184385</v>
      </c>
      <c r="I13" s="995" t="s">
        <v>2178</v>
      </c>
      <c r="J13" s="995" t="s">
        <v>2178</v>
      </c>
      <c r="K13" s="995" t="s">
        <v>2178</v>
      </c>
      <c r="L13" s="995" t="s">
        <v>35</v>
      </c>
      <c r="M13" s="995" t="s">
        <v>36</v>
      </c>
      <c r="N13" s="992">
        <v>45149</v>
      </c>
      <c r="O13" s="992">
        <v>45164</v>
      </c>
      <c r="P13" s="992">
        <v>45161</v>
      </c>
      <c r="Q13" s="992">
        <v>45149</v>
      </c>
      <c r="R13" s="995"/>
      <c r="S13" s="995" t="s">
        <v>1216</v>
      </c>
      <c r="T13" s="995">
        <v>97.07</v>
      </c>
      <c r="U13" s="1002">
        <v>142.26</v>
      </c>
      <c r="V13" s="1002">
        <v>9.75</v>
      </c>
      <c r="W13" s="1002">
        <v>169.46</v>
      </c>
      <c r="X13" s="1002">
        <v>8</v>
      </c>
      <c r="Y13" s="1002">
        <v>10.54</v>
      </c>
      <c r="Z13" s="1006">
        <f t="shared" si="1"/>
        <v>2.6230610099999998</v>
      </c>
      <c r="AA13" s="995">
        <v>0.36</v>
      </c>
      <c r="AB13" s="995">
        <v>0.35</v>
      </c>
      <c r="AC13" s="995">
        <v>0.35</v>
      </c>
      <c r="AD13" s="995"/>
      <c r="AE13" s="995" t="s">
        <v>2287</v>
      </c>
      <c r="AF13" s="995"/>
      <c r="AG13" s="995"/>
      <c r="AH13" s="995"/>
      <c r="AI13" s="995"/>
      <c r="AJ13" s="995"/>
      <c r="AK13" s="995"/>
      <c r="AL13" s="995"/>
      <c r="AM13" s="995"/>
    </row>
    <row r="14" spans="1:39">
      <c r="A14" s="993">
        <v>11</v>
      </c>
      <c r="B14" s="995" t="s">
        <v>1850</v>
      </c>
      <c r="C14" s="995" t="s">
        <v>29</v>
      </c>
      <c r="D14" s="994" t="s">
        <v>2203</v>
      </c>
      <c r="E14" s="997" t="s">
        <v>2232</v>
      </c>
      <c r="F14" s="997" t="s">
        <v>539</v>
      </c>
      <c r="G14" s="995" t="s">
        <v>2222</v>
      </c>
      <c r="H14" s="995">
        <v>188185</v>
      </c>
      <c r="I14" s="995" t="s">
        <v>2178</v>
      </c>
      <c r="J14" s="995" t="s">
        <v>2178</v>
      </c>
      <c r="K14" s="995" t="s">
        <v>2178</v>
      </c>
      <c r="L14" s="995" t="s">
        <v>35</v>
      </c>
      <c r="M14" s="995" t="s">
        <v>36</v>
      </c>
      <c r="N14" s="992">
        <v>45149</v>
      </c>
      <c r="O14" s="992">
        <v>45164</v>
      </c>
      <c r="P14" s="992">
        <v>45164</v>
      </c>
      <c r="Q14" s="992">
        <v>45149</v>
      </c>
      <c r="R14" s="995"/>
      <c r="S14" s="995" t="s">
        <v>1216</v>
      </c>
      <c r="T14" s="995">
        <v>553.71</v>
      </c>
      <c r="U14" s="1002">
        <v>776.2344569253919</v>
      </c>
      <c r="V14" s="995">
        <v>47.53</v>
      </c>
      <c r="W14" s="1002">
        <v>618.79086343882511</v>
      </c>
      <c r="X14" s="995">
        <v>152.5</v>
      </c>
      <c r="Y14" s="995">
        <v>47.35</v>
      </c>
      <c r="Z14" s="1000">
        <f t="shared" si="1"/>
        <v>14.607568127650488</v>
      </c>
      <c r="AA14" s="995">
        <v>3.88</v>
      </c>
      <c r="AB14" s="995">
        <v>3.86</v>
      </c>
      <c r="AC14" s="995">
        <v>3.84</v>
      </c>
      <c r="AD14" s="995"/>
      <c r="AE14" s="995" t="s">
        <v>2287</v>
      </c>
      <c r="AF14" s="995"/>
      <c r="AG14" s="995"/>
      <c r="AH14" s="995"/>
      <c r="AI14" s="995"/>
      <c r="AJ14" s="995"/>
      <c r="AK14" s="995"/>
      <c r="AL14" s="995"/>
      <c r="AM14" s="995"/>
    </row>
    <row r="15" spans="1:39" s="1019" customFormat="1">
      <c r="A15" s="1025">
        <v>12</v>
      </c>
      <c r="B15" s="1022"/>
      <c r="C15" s="1022"/>
      <c r="D15" s="1021" t="s">
        <v>2204</v>
      </c>
      <c r="E15" s="1024"/>
      <c r="F15" s="1024"/>
      <c r="G15" s="1022"/>
      <c r="H15" s="1022"/>
      <c r="I15" s="1022"/>
      <c r="J15" s="1022"/>
      <c r="K15" s="1022"/>
      <c r="L15" s="1022"/>
      <c r="M15" s="1022" t="s">
        <v>36</v>
      </c>
      <c r="N15" s="1022"/>
      <c r="O15" s="1022"/>
      <c r="P15" s="1022"/>
      <c r="Q15" s="1022"/>
      <c r="R15" s="1022"/>
      <c r="S15" s="1022"/>
      <c r="T15" s="1022"/>
      <c r="U15" s="1022"/>
      <c r="V15" s="1022"/>
      <c r="W15" s="1022"/>
      <c r="X15" s="1022"/>
      <c r="Y15" s="1022"/>
      <c r="Z15" s="1022"/>
      <c r="AA15" s="1022"/>
      <c r="AB15" s="1022"/>
      <c r="AC15" s="1022"/>
      <c r="AD15" s="1022"/>
      <c r="AE15" s="1022"/>
      <c r="AF15" s="1022"/>
      <c r="AG15" s="1022"/>
      <c r="AH15" s="1022"/>
      <c r="AI15" s="1022"/>
      <c r="AJ15" s="1022"/>
      <c r="AK15" s="1022"/>
      <c r="AL15" s="1022"/>
      <c r="AM15" s="1022"/>
    </row>
    <row r="16" spans="1:39">
      <c r="A16" s="993">
        <v>13</v>
      </c>
      <c r="B16" s="995" t="s">
        <v>1850</v>
      </c>
      <c r="C16" s="995" t="s">
        <v>29</v>
      </c>
      <c r="D16" s="994" t="s">
        <v>2205</v>
      </c>
      <c r="E16" s="997" t="s">
        <v>2233</v>
      </c>
      <c r="F16" s="997" t="s">
        <v>539</v>
      </c>
      <c r="G16" s="995" t="s">
        <v>2222</v>
      </c>
      <c r="H16" s="995">
        <v>12327</v>
      </c>
      <c r="I16" s="995" t="s">
        <v>2178</v>
      </c>
      <c r="J16" s="995" t="s">
        <v>2178</v>
      </c>
      <c r="K16" s="995" t="s">
        <v>2178</v>
      </c>
      <c r="L16" s="995" t="s">
        <v>35</v>
      </c>
      <c r="M16" s="995" t="s">
        <v>36</v>
      </c>
      <c r="N16" s="992">
        <v>45149</v>
      </c>
      <c r="O16" s="992">
        <v>45164</v>
      </c>
      <c r="P16" s="992">
        <v>45164</v>
      </c>
      <c r="Q16" s="992">
        <v>45149</v>
      </c>
      <c r="R16" s="995"/>
      <c r="S16" s="995" t="s">
        <v>1216</v>
      </c>
      <c r="T16" s="995">
        <v>552.03</v>
      </c>
      <c r="U16" s="1002">
        <v>774.48340692539171</v>
      </c>
      <c r="V16" s="995">
        <v>47.41</v>
      </c>
      <c r="W16" s="995">
        <v>181.02</v>
      </c>
      <c r="X16" s="995">
        <v>23</v>
      </c>
      <c r="Y16" s="995">
        <v>0</v>
      </c>
      <c r="Z16" s="1000">
        <f t="shared" ref="Z16:Z26" si="2">(H16*U16)/10^7</f>
        <v>0.95470569571693031</v>
      </c>
      <c r="AA16" s="1000">
        <v>3.0903321233635497</v>
      </c>
      <c r="AB16" s="1000">
        <v>3.0748804627467319</v>
      </c>
      <c r="AC16" s="1000">
        <v>3.0595060604329984</v>
      </c>
      <c r="AD16" s="995"/>
      <c r="AE16" s="995" t="s">
        <v>2287</v>
      </c>
      <c r="AF16" s="995"/>
      <c r="AG16" s="995"/>
      <c r="AH16" s="995"/>
      <c r="AI16" s="995"/>
      <c r="AJ16" s="995"/>
      <c r="AK16" s="995"/>
      <c r="AL16" s="995"/>
      <c r="AM16" s="995"/>
    </row>
    <row r="17" spans="1:39">
      <c r="A17" s="993">
        <v>14</v>
      </c>
      <c r="B17" s="995" t="s">
        <v>1850</v>
      </c>
      <c r="C17" s="995" t="s">
        <v>29</v>
      </c>
      <c r="D17" s="994" t="s">
        <v>2206</v>
      </c>
      <c r="E17" s="997" t="s">
        <v>2234</v>
      </c>
      <c r="F17" s="997" t="s">
        <v>2235</v>
      </c>
      <c r="G17" s="995" t="s">
        <v>2222</v>
      </c>
      <c r="H17" s="995">
        <v>200512</v>
      </c>
      <c r="I17" s="995" t="s">
        <v>2178</v>
      </c>
      <c r="J17" s="995" t="s">
        <v>2178</v>
      </c>
      <c r="K17" s="995" t="s">
        <v>2178</v>
      </c>
      <c r="L17" s="995" t="s">
        <v>35</v>
      </c>
      <c r="M17" s="995" t="s">
        <v>36</v>
      </c>
      <c r="N17" s="992">
        <v>45149</v>
      </c>
      <c r="O17" s="992">
        <v>45164</v>
      </c>
      <c r="P17" s="992">
        <v>45167</v>
      </c>
      <c r="Q17" s="992">
        <v>45149</v>
      </c>
      <c r="R17" s="995"/>
      <c r="S17" s="995" t="s">
        <v>1216</v>
      </c>
      <c r="T17" s="995">
        <v>197.53</v>
      </c>
      <c r="U17" s="1002">
        <v>299.56166307097806</v>
      </c>
      <c r="V17" s="995">
        <v>21.83</v>
      </c>
      <c r="W17" s="995">
        <v>187.04</v>
      </c>
      <c r="X17" s="995">
        <v>72.25</v>
      </c>
      <c r="Y17" s="995">
        <v>16.170000000000002</v>
      </c>
      <c r="Z17" s="1000">
        <f t="shared" si="2"/>
        <v>6.0065708185687949</v>
      </c>
      <c r="AA17" s="995">
        <v>1.5</v>
      </c>
      <c r="AB17" s="995">
        <v>1.49</v>
      </c>
      <c r="AC17" s="995">
        <v>1.48</v>
      </c>
      <c r="AD17" s="995"/>
      <c r="AE17" s="995" t="s">
        <v>2287</v>
      </c>
      <c r="AF17" s="995"/>
      <c r="AG17" s="995"/>
      <c r="AH17" s="995"/>
      <c r="AI17" s="995"/>
      <c r="AJ17" s="995"/>
      <c r="AK17" s="995"/>
      <c r="AL17" s="995"/>
      <c r="AM17" s="995"/>
    </row>
    <row r="18" spans="1:39">
      <c r="A18" s="993">
        <v>15</v>
      </c>
      <c r="B18" s="995" t="s">
        <v>1850</v>
      </c>
      <c r="C18" s="995" t="s">
        <v>29</v>
      </c>
      <c r="D18" s="994" t="s">
        <v>2207</v>
      </c>
      <c r="E18" s="1027" t="s">
        <v>2239</v>
      </c>
      <c r="F18" s="994" t="s">
        <v>2240</v>
      </c>
      <c r="G18" s="995" t="s">
        <v>2222</v>
      </c>
      <c r="H18" s="995">
        <v>184385</v>
      </c>
      <c r="I18" s="995" t="s">
        <v>2178</v>
      </c>
      <c r="J18" s="995" t="s">
        <v>2178</v>
      </c>
      <c r="K18" s="995" t="s">
        <v>2178</v>
      </c>
      <c r="L18" s="995" t="s">
        <v>35</v>
      </c>
      <c r="M18" s="995" t="s">
        <v>36</v>
      </c>
      <c r="N18" s="992">
        <v>45149</v>
      </c>
      <c r="O18" s="992">
        <v>45164</v>
      </c>
      <c r="P18" s="992">
        <v>45164</v>
      </c>
      <c r="Q18" s="992">
        <v>45149</v>
      </c>
      <c r="R18" s="995"/>
      <c r="S18" s="995" t="s">
        <v>1216</v>
      </c>
      <c r="T18" s="995">
        <v>206.78</v>
      </c>
      <c r="U18" s="1002">
        <v>329.85071902192186</v>
      </c>
      <c r="V18" s="995">
        <v>26.02</v>
      </c>
      <c r="W18" s="995">
        <v>203.14</v>
      </c>
      <c r="X18" s="995">
        <v>91.25</v>
      </c>
      <c r="Y18" s="995">
        <v>16.739999999999998</v>
      </c>
      <c r="Z18" s="1000">
        <f t="shared" si="2"/>
        <v>6.0819524826857059</v>
      </c>
      <c r="AA18" s="995">
        <v>2.4700000000000002</v>
      </c>
      <c r="AB18" s="995">
        <v>2.46</v>
      </c>
      <c r="AC18" s="995">
        <v>2.44</v>
      </c>
      <c r="AD18" s="995"/>
      <c r="AE18" s="995" t="s">
        <v>2287</v>
      </c>
      <c r="AF18" s="995"/>
      <c r="AG18" s="995"/>
      <c r="AH18" s="995"/>
      <c r="AI18" s="995"/>
      <c r="AJ18" s="995"/>
      <c r="AK18" s="995"/>
      <c r="AL18" s="995"/>
      <c r="AM18" s="995"/>
    </row>
    <row r="19" spans="1:39">
      <c r="A19" s="993">
        <v>16</v>
      </c>
      <c r="B19" s="995" t="s">
        <v>1850</v>
      </c>
      <c r="C19" s="995" t="s">
        <v>29</v>
      </c>
      <c r="D19" s="994" t="s">
        <v>2208</v>
      </c>
      <c r="E19" s="997" t="s">
        <v>2236</v>
      </c>
      <c r="F19" s="997" t="s">
        <v>2237</v>
      </c>
      <c r="G19" s="995" t="s">
        <v>2222</v>
      </c>
      <c r="H19" s="995">
        <v>200512</v>
      </c>
      <c r="I19" s="995" t="s">
        <v>2178</v>
      </c>
      <c r="J19" s="995" t="s">
        <v>2178</v>
      </c>
      <c r="K19" s="995" t="s">
        <v>2178</v>
      </c>
      <c r="L19" s="995" t="s">
        <v>35</v>
      </c>
      <c r="M19" s="995" t="s">
        <v>36</v>
      </c>
      <c r="N19" s="992">
        <v>45149</v>
      </c>
      <c r="O19" s="992">
        <v>45164</v>
      </c>
      <c r="P19" s="992">
        <v>45167</v>
      </c>
      <c r="Q19" s="992">
        <v>45149</v>
      </c>
      <c r="R19" s="995"/>
      <c r="S19" s="995" t="s">
        <v>1216</v>
      </c>
      <c r="T19" s="995">
        <v>209.2</v>
      </c>
      <c r="U19" s="1002">
        <v>328.44489257486975</v>
      </c>
      <c r="V19" s="995">
        <v>25.51</v>
      </c>
      <c r="W19" s="995">
        <v>208.47</v>
      </c>
      <c r="X19" s="995">
        <v>64.25</v>
      </c>
      <c r="Y19" s="995">
        <v>16.170000000000002</v>
      </c>
      <c r="Z19" s="1000">
        <f t="shared" si="2"/>
        <v>6.5857142299972278</v>
      </c>
      <c r="AA19" s="995">
        <v>1.64</v>
      </c>
      <c r="AB19" s="995">
        <v>1.63</v>
      </c>
      <c r="AC19" s="995">
        <v>1.63</v>
      </c>
      <c r="AD19" s="995"/>
      <c r="AE19" s="995" t="s">
        <v>2287</v>
      </c>
      <c r="AF19" s="995"/>
      <c r="AG19" s="995"/>
      <c r="AH19" s="995"/>
      <c r="AI19" s="995"/>
      <c r="AJ19" s="995"/>
      <c r="AK19" s="995"/>
      <c r="AL19" s="995"/>
      <c r="AM19" s="995"/>
    </row>
    <row r="20" spans="1:39">
      <c r="A20" s="993">
        <v>17</v>
      </c>
      <c r="B20" s="995" t="s">
        <v>1850</v>
      </c>
      <c r="C20" s="995" t="s">
        <v>29</v>
      </c>
      <c r="D20" s="994" t="s">
        <v>2209</v>
      </c>
      <c r="E20" s="997" t="s">
        <v>2242</v>
      </c>
      <c r="F20" s="997" t="s">
        <v>2241</v>
      </c>
      <c r="G20" s="995" t="s">
        <v>2222</v>
      </c>
      <c r="H20" s="995">
        <v>184385</v>
      </c>
      <c r="I20" s="995" t="s">
        <v>2178</v>
      </c>
      <c r="J20" s="995" t="s">
        <v>2178</v>
      </c>
      <c r="K20" s="995" t="s">
        <v>2178</v>
      </c>
      <c r="L20" s="995" t="s">
        <v>35</v>
      </c>
      <c r="M20" s="995" t="s">
        <v>36</v>
      </c>
      <c r="N20" s="992">
        <v>45149</v>
      </c>
      <c r="O20" s="992">
        <v>45164</v>
      </c>
      <c r="P20" s="992">
        <v>45164</v>
      </c>
      <c r="Q20" s="992">
        <v>45149</v>
      </c>
      <c r="R20" s="995"/>
      <c r="S20" s="995" t="s">
        <v>1216</v>
      </c>
      <c r="T20" s="995">
        <v>206.78</v>
      </c>
      <c r="U20" s="1002">
        <v>329.85071902192186</v>
      </c>
      <c r="V20" s="995">
        <v>26.02</v>
      </c>
      <c r="W20" s="995">
        <v>149.68</v>
      </c>
      <c r="X20" s="995">
        <v>90.62</v>
      </c>
      <c r="Y20" s="995">
        <v>16.739999999999998</v>
      </c>
      <c r="Z20" s="1000">
        <f t="shared" si="2"/>
        <v>6.0819524826857059</v>
      </c>
      <c r="AA20" s="995">
        <v>2.4700000000000002</v>
      </c>
      <c r="AB20" s="995">
        <v>2.46</v>
      </c>
      <c r="AC20" s="995">
        <v>2.44</v>
      </c>
      <c r="AD20" s="995"/>
      <c r="AE20" s="995" t="s">
        <v>2287</v>
      </c>
      <c r="AF20" s="995"/>
      <c r="AG20" s="995"/>
      <c r="AH20" s="995"/>
      <c r="AI20" s="995"/>
      <c r="AJ20" s="995"/>
      <c r="AK20" s="995"/>
      <c r="AL20" s="995"/>
      <c r="AM20" s="995"/>
    </row>
    <row r="21" spans="1:39">
      <c r="A21" s="1906">
        <v>18</v>
      </c>
      <c r="B21" s="995" t="s">
        <v>1850</v>
      </c>
      <c r="C21" s="995" t="s">
        <v>29</v>
      </c>
      <c r="D21" s="1902" t="s">
        <v>2210</v>
      </c>
      <c r="E21" s="997" t="s">
        <v>2243</v>
      </c>
      <c r="F21" s="997" t="s">
        <v>2245</v>
      </c>
      <c r="G21" s="995" t="s">
        <v>2248</v>
      </c>
      <c r="H21" s="995">
        <v>194512</v>
      </c>
      <c r="I21" s="995" t="s">
        <v>2178</v>
      </c>
      <c r="J21" s="995" t="s">
        <v>2178</v>
      </c>
      <c r="K21" s="995" t="s">
        <v>2178</v>
      </c>
      <c r="L21" s="995" t="s">
        <v>35</v>
      </c>
      <c r="M21" s="995" t="s">
        <v>36</v>
      </c>
      <c r="N21" s="992">
        <v>45119</v>
      </c>
      <c r="O21" s="992">
        <v>45132</v>
      </c>
      <c r="P21" s="992">
        <v>45132</v>
      </c>
      <c r="Q21" s="992">
        <f>N21</f>
        <v>45119</v>
      </c>
      <c r="R21" s="995"/>
      <c r="S21" s="995" t="s">
        <v>1216</v>
      </c>
      <c r="T21" s="995">
        <v>118.2</v>
      </c>
      <c r="U21" s="1002">
        <v>169.80446403193969</v>
      </c>
      <c r="V21" s="995">
        <v>11.51</v>
      </c>
      <c r="W21" s="995">
        <v>211.98</v>
      </c>
      <c r="X21" s="995">
        <v>7</v>
      </c>
      <c r="Y21" s="995">
        <v>11.79</v>
      </c>
      <c r="Z21" s="1000">
        <f t="shared" si="2"/>
        <v>3.3029005907780653</v>
      </c>
      <c r="AA21" s="995">
        <v>0.42</v>
      </c>
      <c r="AB21" s="995">
        <v>0.42</v>
      </c>
      <c r="AC21" s="995">
        <v>0.42</v>
      </c>
      <c r="AD21" s="995"/>
      <c r="AE21" s="995" t="s">
        <v>2287</v>
      </c>
      <c r="AF21" s="995"/>
      <c r="AG21" s="995"/>
      <c r="AH21" s="995"/>
      <c r="AI21" s="995"/>
      <c r="AJ21" s="995"/>
      <c r="AK21" s="995"/>
      <c r="AL21" s="995"/>
      <c r="AM21" s="995"/>
    </row>
    <row r="22" spans="1:39">
      <c r="A22" s="1863"/>
      <c r="B22" s="995" t="s">
        <v>1850</v>
      </c>
      <c r="C22" s="1007" t="s">
        <v>29</v>
      </c>
      <c r="D22" s="1903"/>
      <c r="E22" s="999" t="s">
        <v>2244</v>
      </c>
      <c r="F22" s="997" t="s">
        <v>2245</v>
      </c>
      <c r="G22" s="995" t="s">
        <v>2248</v>
      </c>
      <c r="H22" s="1007">
        <v>6000</v>
      </c>
      <c r="I22" s="995" t="s">
        <v>2178</v>
      </c>
      <c r="J22" s="1007" t="s">
        <v>2178</v>
      </c>
      <c r="K22" s="1007" t="s">
        <v>2178</v>
      </c>
      <c r="L22" s="995" t="s">
        <v>35</v>
      </c>
      <c r="M22" s="995" t="s">
        <v>36</v>
      </c>
      <c r="N22" s="992">
        <v>45119</v>
      </c>
      <c r="O22" s="992">
        <v>45132</v>
      </c>
      <c r="P22" s="992">
        <v>45132</v>
      </c>
      <c r="Q22" s="992">
        <f>N22</f>
        <v>45119</v>
      </c>
      <c r="R22" s="1007"/>
      <c r="S22" s="995" t="s">
        <v>1216</v>
      </c>
      <c r="T22" s="1007">
        <v>158.03</v>
      </c>
      <c r="U22" s="1002">
        <v>211.05340916996667</v>
      </c>
      <c r="V22" s="1007">
        <v>12.31</v>
      </c>
      <c r="W22" s="1007">
        <v>0</v>
      </c>
      <c r="X22" s="1007">
        <v>0</v>
      </c>
      <c r="Y22" s="1007">
        <v>0</v>
      </c>
      <c r="Z22" s="1012">
        <f t="shared" si="2"/>
        <v>0.12663204550198001</v>
      </c>
      <c r="AA22" s="1007">
        <v>0.53</v>
      </c>
      <c r="AB22" s="1007">
        <v>0.53</v>
      </c>
      <c r="AC22" s="1007">
        <v>0.52</v>
      </c>
      <c r="AD22" s="1007"/>
      <c r="AE22" s="995" t="s">
        <v>2287</v>
      </c>
      <c r="AF22" s="1007"/>
      <c r="AG22" s="1007"/>
      <c r="AH22" s="1007"/>
      <c r="AI22" s="1007"/>
      <c r="AJ22" s="1007"/>
      <c r="AK22" s="1007"/>
      <c r="AL22" s="1007"/>
      <c r="AM22" s="1007"/>
    </row>
    <row r="23" spans="1:39">
      <c r="A23" s="1861">
        <v>19</v>
      </c>
      <c r="B23" s="995" t="s">
        <v>1850</v>
      </c>
      <c r="C23" s="1007" t="s">
        <v>29</v>
      </c>
      <c r="D23" s="1909" t="s">
        <v>2211</v>
      </c>
      <c r="E23" s="997" t="s">
        <v>2249</v>
      </c>
      <c r="F23" s="997" t="s">
        <v>2253</v>
      </c>
      <c r="G23" s="995" t="s">
        <v>2248</v>
      </c>
      <c r="H23" s="995">
        <v>144029</v>
      </c>
      <c r="I23" s="995" t="s">
        <v>2178</v>
      </c>
      <c r="J23" s="995" t="s">
        <v>2178</v>
      </c>
      <c r="K23" s="995" t="s">
        <v>2178</v>
      </c>
      <c r="L23" s="995" t="s">
        <v>35</v>
      </c>
      <c r="M23" s="995" t="s">
        <v>36</v>
      </c>
      <c r="N23" s="992">
        <v>45119</v>
      </c>
      <c r="O23" s="992">
        <v>45133</v>
      </c>
      <c r="P23" s="992">
        <v>45132</v>
      </c>
      <c r="Q23" s="992">
        <v>45119</v>
      </c>
      <c r="R23" s="995"/>
      <c r="S23" s="995" t="s">
        <v>1216</v>
      </c>
      <c r="T23" s="995">
        <v>155.86000000000001</v>
      </c>
      <c r="U23" s="1023">
        <v>266.16499524168472</v>
      </c>
      <c r="V23" s="995">
        <v>22.31</v>
      </c>
      <c r="W23" s="995">
        <v>299.64</v>
      </c>
      <c r="X23" s="995">
        <v>56</v>
      </c>
      <c r="Y23" s="1012">
        <v>27.524640400000003</v>
      </c>
      <c r="Z23" s="1000">
        <f t="shared" si="2"/>
        <v>3.8335478099664608</v>
      </c>
      <c r="AA23" s="995">
        <v>1.33</v>
      </c>
      <c r="AB23" s="995">
        <v>1.32</v>
      </c>
      <c r="AC23" s="995">
        <v>1.32</v>
      </c>
      <c r="AD23" s="995"/>
      <c r="AE23" s="995" t="s">
        <v>2287</v>
      </c>
      <c r="AF23" s="995"/>
      <c r="AG23" s="995"/>
      <c r="AH23" s="995"/>
      <c r="AI23" s="995"/>
      <c r="AJ23" s="995"/>
      <c r="AK23" s="995"/>
      <c r="AL23" s="995"/>
      <c r="AM23" s="995"/>
    </row>
    <row r="24" spans="1:39">
      <c r="A24" s="1862"/>
      <c r="B24" s="995" t="s">
        <v>1850</v>
      </c>
      <c r="C24" s="1007" t="s">
        <v>29</v>
      </c>
      <c r="D24" s="1908"/>
      <c r="E24" s="997" t="s">
        <v>2250</v>
      </c>
      <c r="F24" s="1009" t="s">
        <v>2253</v>
      </c>
      <c r="G24" s="995" t="s">
        <v>2248</v>
      </c>
      <c r="H24" s="1008">
        <v>50483</v>
      </c>
      <c r="I24" s="995" t="s">
        <v>2178</v>
      </c>
      <c r="J24" s="995" t="s">
        <v>2178</v>
      </c>
      <c r="K24" s="995" t="s">
        <v>2178</v>
      </c>
      <c r="L24" s="995" t="s">
        <v>35</v>
      </c>
      <c r="M24" s="995" t="s">
        <v>36</v>
      </c>
      <c r="N24" s="992">
        <v>45119</v>
      </c>
      <c r="O24" s="992">
        <v>45133</v>
      </c>
      <c r="P24" s="992">
        <v>45132</v>
      </c>
      <c r="Q24" s="992">
        <v>45119</v>
      </c>
      <c r="R24" s="1008"/>
      <c r="S24" s="995" t="s">
        <v>1216</v>
      </c>
      <c r="T24" s="1008">
        <v>155.75</v>
      </c>
      <c r="U24" s="1023">
        <v>266.0383433536129</v>
      </c>
      <c r="V24" s="1008">
        <v>22.31</v>
      </c>
      <c r="W24" s="1008">
        <v>0</v>
      </c>
      <c r="X24" s="1008">
        <v>0</v>
      </c>
      <c r="Y24" s="1008">
        <v>0</v>
      </c>
      <c r="Z24" s="1014">
        <f t="shared" si="2"/>
        <v>1.3430413687520442</v>
      </c>
      <c r="AA24" s="995">
        <v>1.33</v>
      </c>
      <c r="AB24" s="995">
        <v>1.32</v>
      </c>
      <c r="AC24" s="995">
        <v>1.32</v>
      </c>
      <c r="AD24" s="1008"/>
      <c r="AE24" s="995" t="s">
        <v>2287</v>
      </c>
      <c r="AF24" s="1008"/>
      <c r="AG24" s="1008"/>
      <c r="AH24" s="1008"/>
      <c r="AI24" s="1008"/>
      <c r="AJ24" s="1008"/>
      <c r="AK24" s="1008"/>
      <c r="AL24" s="1008"/>
      <c r="AM24" s="1008"/>
    </row>
    <row r="25" spans="1:39">
      <c r="A25" s="1862"/>
      <c r="B25" s="995" t="s">
        <v>1850</v>
      </c>
      <c r="C25" s="1007" t="s">
        <v>29</v>
      </c>
      <c r="D25" s="1908"/>
      <c r="E25" s="997" t="s">
        <v>2251</v>
      </c>
      <c r="F25" s="1009" t="s">
        <v>2253</v>
      </c>
      <c r="G25" s="995" t="s">
        <v>2248</v>
      </c>
      <c r="H25" s="1008">
        <v>4350</v>
      </c>
      <c r="I25" s="995" t="s">
        <v>2178</v>
      </c>
      <c r="J25" s="995" t="s">
        <v>2178</v>
      </c>
      <c r="K25" s="995" t="s">
        <v>2178</v>
      </c>
      <c r="L25" s="995" t="s">
        <v>35</v>
      </c>
      <c r="M25" s="995" t="s">
        <v>36</v>
      </c>
      <c r="N25" s="992">
        <v>45119</v>
      </c>
      <c r="O25" s="992">
        <v>45133</v>
      </c>
      <c r="P25" s="992">
        <v>45132</v>
      </c>
      <c r="Q25" s="992">
        <v>45119</v>
      </c>
      <c r="R25" s="1008"/>
      <c r="S25" s="995" t="s">
        <v>1216</v>
      </c>
      <c r="T25" s="1008">
        <v>170.01</v>
      </c>
      <c r="U25" s="1023">
        <v>280.85096965310868</v>
      </c>
      <c r="V25" s="1008" t="s">
        <v>2254</v>
      </c>
      <c r="W25" s="1008">
        <v>0</v>
      </c>
      <c r="X25" s="1008">
        <v>0</v>
      </c>
      <c r="Y25" s="1008">
        <v>0</v>
      </c>
      <c r="Z25" s="1014">
        <f t="shared" si="2"/>
        <v>0.12217017179910229</v>
      </c>
      <c r="AA25" s="1008">
        <v>1.4</v>
      </c>
      <c r="AB25" s="1008">
        <v>1.4</v>
      </c>
      <c r="AC25" s="1008">
        <v>1.39</v>
      </c>
      <c r="AD25" s="1008"/>
      <c r="AE25" s="995" t="s">
        <v>2287</v>
      </c>
      <c r="AF25" s="1008"/>
      <c r="AG25" s="1008"/>
      <c r="AH25" s="1008"/>
      <c r="AI25" s="1008"/>
      <c r="AJ25" s="1008"/>
      <c r="AK25" s="1008"/>
      <c r="AL25" s="1008"/>
      <c r="AM25" s="1008"/>
    </row>
    <row r="26" spans="1:39">
      <c r="A26" s="1863"/>
      <c r="B26" s="995" t="s">
        <v>1850</v>
      </c>
      <c r="C26" s="1007" t="s">
        <v>29</v>
      </c>
      <c r="D26" s="1903"/>
      <c r="E26" s="1009" t="s">
        <v>2252</v>
      </c>
      <c r="F26" s="1009" t="s">
        <v>2253</v>
      </c>
      <c r="G26" s="995" t="s">
        <v>2248</v>
      </c>
      <c r="H26" s="1008">
        <v>1650</v>
      </c>
      <c r="I26" s="995" t="s">
        <v>2178</v>
      </c>
      <c r="J26" s="995" t="s">
        <v>2178</v>
      </c>
      <c r="K26" s="995" t="s">
        <v>2178</v>
      </c>
      <c r="L26" s="995" t="s">
        <v>35</v>
      </c>
      <c r="M26" s="995" t="s">
        <v>36</v>
      </c>
      <c r="N26" s="992">
        <v>45119</v>
      </c>
      <c r="O26" s="992">
        <v>45133</v>
      </c>
      <c r="P26" s="992">
        <v>45132</v>
      </c>
      <c r="Q26" s="992">
        <v>45119</v>
      </c>
      <c r="R26" s="1008"/>
      <c r="S26" s="995" t="s">
        <v>1216</v>
      </c>
      <c r="T26" s="1008">
        <v>169.89</v>
      </c>
      <c r="U26" s="1023">
        <v>280.72431776503691</v>
      </c>
      <c r="V26" s="1008">
        <v>22.59</v>
      </c>
      <c r="W26" s="1008">
        <v>0</v>
      </c>
      <c r="X26" s="1008">
        <v>0</v>
      </c>
      <c r="Y26" s="1008">
        <v>0</v>
      </c>
      <c r="Z26" s="1014">
        <f t="shared" si="2"/>
        <v>4.6319512431231086E-2</v>
      </c>
      <c r="AA26" s="1008">
        <v>1.4</v>
      </c>
      <c r="AB26" s="1008">
        <v>1.4</v>
      </c>
      <c r="AC26" s="1008">
        <v>1.39</v>
      </c>
      <c r="AD26" s="1008"/>
      <c r="AE26" s="995" t="s">
        <v>2287</v>
      </c>
      <c r="AF26" s="1008"/>
      <c r="AG26" s="1008"/>
      <c r="AH26" s="1008"/>
      <c r="AI26" s="1008"/>
      <c r="AJ26" s="1008"/>
      <c r="AK26" s="1008"/>
      <c r="AL26" s="1008"/>
      <c r="AM26" s="1008"/>
    </row>
    <row r="27" spans="1:39">
      <c r="A27" s="1861">
        <v>20</v>
      </c>
      <c r="B27" s="995" t="s">
        <v>1850</v>
      </c>
      <c r="C27" s="1007" t="s">
        <v>29</v>
      </c>
      <c r="D27" s="1909" t="s">
        <v>2212</v>
      </c>
      <c r="E27" s="997" t="s">
        <v>2246</v>
      </c>
      <c r="F27" s="997" t="s">
        <v>2027</v>
      </c>
      <c r="G27" s="995" t="s">
        <v>2248</v>
      </c>
      <c r="H27" s="995">
        <v>194512</v>
      </c>
      <c r="I27" s="995" t="s">
        <v>2178</v>
      </c>
      <c r="J27" s="995" t="s">
        <v>2178</v>
      </c>
      <c r="K27" s="995" t="s">
        <v>2178</v>
      </c>
      <c r="L27" s="995" t="s">
        <v>35</v>
      </c>
      <c r="M27" s="995" t="s">
        <v>36</v>
      </c>
      <c r="N27" s="992">
        <v>45112</v>
      </c>
      <c r="O27" s="992">
        <v>45128</v>
      </c>
      <c r="P27" s="992">
        <v>45128</v>
      </c>
      <c r="Q27" s="992">
        <v>45112</v>
      </c>
      <c r="R27" s="995"/>
      <c r="S27" s="995" t="s">
        <v>1216</v>
      </c>
      <c r="T27" s="995">
        <v>1111.6199999999999</v>
      </c>
      <c r="U27" s="1002">
        <v>1499.8443114344898</v>
      </c>
      <c r="V27" s="995">
        <v>87.29</v>
      </c>
      <c r="W27" s="995">
        <v>999.2</v>
      </c>
      <c r="X27" s="995">
        <v>211.5</v>
      </c>
      <c r="Y27" s="1014">
        <v>89.018585200000018</v>
      </c>
      <c r="Z27" s="1012">
        <f t="shared" ref="Z27:Z33" si="3">(H27*U27)/10^7</f>
        <v>29.173771670574546</v>
      </c>
      <c r="AA27" s="995">
        <v>3.75</v>
      </c>
      <c r="AB27" s="995">
        <v>3.74</v>
      </c>
      <c r="AC27" s="995">
        <v>3.73</v>
      </c>
      <c r="AD27" s="995"/>
      <c r="AE27" s="995" t="s">
        <v>2287</v>
      </c>
      <c r="AF27" s="995"/>
      <c r="AG27" s="995"/>
      <c r="AH27" s="995"/>
      <c r="AI27" s="995"/>
      <c r="AJ27" s="995"/>
      <c r="AK27" s="995"/>
      <c r="AL27" s="995"/>
      <c r="AM27" s="995"/>
    </row>
    <row r="28" spans="1:39">
      <c r="A28" s="1863"/>
      <c r="B28" s="1001" t="s">
        <v>1850</v>
      </c>
      <c r="C28" s="1007" t="s">
        <v>29</v>
      </c>
      <c r="D28" s="1903"/>
      <c r="E28" s="1016" t="s">
        <v>2247</v>
      </c>
      <c r="F28" s="997" t="s">
        <v>2027</v>
      </c>
      <c r="G28" s="995" t="s">
        <v>2248</v>
      </c>
      <c r="H28" s="1001">
        <v>6000</v>
      </c>
      <c r="I28" s="1001" t="s">
        <v>2178</v>
      </c>
      <c r="J28" s="1001" t="s">
        <v>2178</v>
      </c>
      <c r="K28" s="1001" t="s">
        <v>2178</v>
      </c>
      <c r="L28" s="1001" t="s">
        <v>35</v>
      </c>
      <c r="M28" s="995" t="s">
        <v>36</v>
      </c>
      <c r="N28" s="992">
        <v>45112</v>
      </c>
      <c r="O28" s="992">
        <v>45128</v>
      </c>
      <c r="P28" s="992">
        <v>45128</v>
      </c>
      <c r="Q28" s="992">
        <v>45112</v>
      </c>
      <c r="R28" s="1001"/>
      <c r="S28" s="995" t="s">
        <v>1216</v>
      </c>
      <c r="T28" s="1001">
        <v>1163.69</v>
      </c>
      <c r="U28" s="1002">
        <v>1553.9160546235917</v>
      </c>
      <c r="V28" s="1001">
        <v>88.32</v>
      </c>
      <c r="W28" s="1001">
        <v>0</v>
      </c>
      <c r="X28" s="1001">
        <v>0</v>
      </c>
      <c r="Y28" s="1014">
        <v>0</v>
      </c>
      <c r="Z28" s="1013">
        <f t="shared" si="3"/>
        <v>0.93234963277415506</v>
      </c>
      <c r="AA28" s="995">
        <v>3.88</v>
      </c>
      <c r="AB28" s="1001">
        <v>3.88</v>
      </c>
      <c r="AC28" s="1001">
        <v>3.87</v>
      </c>
      <c r="AD28" s="1001"/>
      <c r="AE28" s="995" t="s">
        <v>2287</v>
      </c>
      <c r="AF28" s="1001"/>
      <c r="AG28" s="1001"/>
      <c r="AH28" s="1001"/>
      <c r="AI28" s="1001"/>
      <c r="AJ28" s="1001"/>
      <c r="AK28" s="1001"/>
      <c r="AL28" s="1001"/>
      <c r="AM28" s="1001"/>
    </row>
    <row r="29" spans="1:39">
      <c r="A29" s="1861">
        <v>21</v>
      </c>
      <c r="B29" s="1001" t="s">
        <v>1850</v>
      </c>
      <c r="C29" s="1007" t="s">
        <v>29</v>
      </c>
      <c r="D29" s="1909" t="s">
        <v>2213</v>
      </c>
      <c r="E29" s="1016" t="s">
        <v>2255</v>
      </c>
      <c r="F29" s="997" t="s">
        <v>310</v>
      </c>
      <c r="G29" s="995" t="s">
        <v>2248</v>
      </c>
      <c r="H29" s="1001">
        <v>107282</v>
      </c>
      <c r="I29" s="1001" t="s">
        <v>2178</v>
      </c>
      <c r="J29" s="1001" t="s">
        <v>2178</v>
      </c>
      <c r="K29" s="1001" t="s">
        <v>2178</v>
      </c>
      <c r="L29" s="1001" t="s">
        <v>35</v>
      </c>
      <c r="M29" s="995" t="s">
        <v>36</v>
      </c>
      <c r="N29" s="992">
        <v>45112</v>
      </c>
      <c r="O29" s="992">
        <v>45133</v>
      </c>
      <c r="P29" s="992">
        <v>45132</v>
      </c>
      <c r="Q29" s="992">
        <v>45112</v>
      </c>
      <c r="R29" s="995"/>
      <c r="S29" s="995" t="s">
        <v>1216</v>
      </c>
      <c r="T29" s="995">
        <v>722.24</v>
      </c>
      <c r="U29" s="1000">
        <v>1165.7480984437232</v>
      </c>
      <c r="V29" s="995">
        <v>93.23</v>
      </c>
      <c r="W29" s="995">
        <v>1027.1600000000001</v>
      </c>
      <c r="X29" s="995">
        <v>211</v>
      </c>
      <c r="Y29" s="995">
        <v>52.2</v>
      </c>
      <c r="Z29" s="1000">
        <f t="shared" si="3"/>
        <v>12.506378749723952</v>
      </c>
      <c r="AA29" s="995">
        <v>5.83</v>
      </c>
      <c r="AB29" s="995">
        <v>5.8</v>
      </c>
      <c r="AC29" s="995">
        <v>5.77</v>
      </c>
      <c r="AD29" s="995"/>
      <c r="AE29" s="995" t="s">
        <v>2287</v>
      </c>
      <c r="AF29" s="995"/>
      <c r="AG29" s="995"/>
      <c r="AH29" s="995"/>
      <c r="AI29" s="995"/>
      <c r="AJ29" s="995"/>
      <c r="AK29" s="995"/>
      <c r="AL29" s="995"/>
      <c r="AM29" s="995"/>
    </row>
    <row r="30" spans="1:39">
      <c r="A30" s="1862"/>
      <c r="B30" s="1001" t="s">
        <v>1850</v>
      </c>
      <c r="C30" s="1007" t="s">
        <v>29</v>
      </c>
      <c r="D30" s="1908"/>
      <c r="E30" s="1016" t="s">
        <v>2256</v>
      </c>
      <c r="F30" s="997" t="s">
        <v>310</v>
      </c>
      <c r="G30" s="995" t="s">
        <v>2248</v>
      </c>
      <c r="H30" s="1001">
        <v>3000</v>
      </c>
      <c r="I30" s="1001" t="s">
        <v>2178</v>
      </c>
      <c r="J30" s="1001" t="s">
        <v>2178</v>
      </c>
      <c r="K30" s="1001" t="s">
        <v>2178</v>
      </c>
      <c r="L30" s="1001" t="s">
        <v>35</v>
      </c>
      <c r="M30" s="995" t="s">
        <v>36</v>
      </c>
      <c r="N30" s="992">
        <v>45112</v>
      </c>
      <c r="O30" s="992">
        <v>45133</v>
      </c>
      <c r="P30" s="992">
        <v>45132</v>
      </c>
      <c r="Q30" s="992">
        <v>45112</v>
      </c>
      <c r="R30" s="1008"/>
      <c r="S30" s="995" t="s">
        <v>1216</v>
      </c>
      <c r="T30" s="1008">
        <v>710.28</v>
      </c>
      <c r="U30" s="1014">
        <v>1217.1174038078154</v>
      </c>
      <c r="V30" s="1008">
        <v>87.76</v>
      </c>
      <c r="W30" s="1008">
        <v>0</v>
      </c>
      <c r="X30" s="1008">
        <v>0</v>
      </c>
      <c r="Y30" s="1008">
        <v>0</v>
      </c>
      <c r="Z30" s="1014">
        <f t="shared" si="3"/>
        <v>0.36513522114234465</v>
      </c>
      <c r="AA30" s="1008">
        <v>5.64</v>
      </c>
      <c r="AB30" s="1008">
        <v>5.61</v>
      </c>
      <c r="AC30" s="1008">
        <v>5.58</v>
      </c>
      <c r="AD30" s="1008"/>
      <c r="AE30" s="995" t="s">
        <v>2287</v>
      </c>
      <c r="AF30" s="1008"/>
      <c r="AG30" s="1008"/>
      <c r="AH30" s="1008"/>
      <c r="AI30" s="1008"/>
      <c r="AJ30" s="1008"/>
      <c r="AK30" s="1008"/>
      <c r="AL30" s="1008"/>
      <c r="AM30" s="1008"/>
    </row>
    <row r="31" spans="1:39">
      <c r="A31" s="1862"/>
      <c r="B31" s="1001" t="s">
        <v>1850</v>
      </c>
      <c r="C31" s="1007" t="s">
        <v>29</v>
      </c>
      <c r="D31" s="1908"/>
      <c r="E31" s="1016" t="s">
        <v>2257</v>
      </c>
      <c r="F31" s="997" t="s">
        <v>310</v>
      </c>
      <c r="G31" s="995" t="s">
        <v>2248</v>
      </c>
      <c r="H31" s="1001">
        <v>87230</v>
      </c>
      <c r="I31" s="1001" t="s">
        <v>2178</v>
      </c>
      <c r="J31" s="1001" t="s">
        <v>2178</v>
      </c>
      <c r="K31" s="1001" t="s">
        <v>2178</v>
      </c>
      <c r="L31" s="1001" t="s">
        <v>35</v>
      </c>
      <c r="M31" s="995" t="s">
        <v>36</v>
      </c>
      <c r="N31" s="992">
        <v>45112</v>
      </c>
      <c r="O31" s="992">
        <v>45133</v>
      </c>
      <c r="P31" s="992">
        <v>45132</v>
      </c>
      <c r="Q31" s="992">
        <v>45112</v>
      </c>
      <c r="R31" s="1008"/>
      <c r="S31" s="995" t="s">
        <v>1216</v>
      </c>
      <c r="T31" s="1008">
        <v>772.37</v>
      </c>
      <c r="U31" s="1014">
        <v>1127.4035193169459</v>
      </c>
      <c r="V31" s="1008">
        <v>94.23</v>
      </c>
      <c r="W31" s="1008">
        <v>0</v>
      </c>
      <c r="X31" s="1008">
        <v>0</v>
      </c>
      <c r="Y31" s="1008">
        <v>0</v>
      </c>
      <c r="Z31" s="1014">
        <f t="shared" si="3"/>
        <v>9.8343408990017185</v>
      </c>
      <c r="AA31" s="1008">
        <v>6.09</v>
      </c>
      <c r="AB31" s="1008">
        <v>6.06</v>
      </c>
      <c r="AC31" s="1008">
        <v>6.02</v>
      </c>
      <c r="AD31" s="1008"/>
      <c r="AE31" s="995" t="s">
        <v>2287</v>
      </c>
      <c r="AF31" s="1008"/>
      <c r="AG31" s="1008"/>
      <c r="AH31" s="1008"/>
      <c r="AI31" s="1008"/>
      <c r="AJ31" s="1008"/>
      <c r="AK31" s="1008"/>
      <c r="AL31" s="1008"/>
      <c r="AM31" s="1008"/>
    </row>
    <row r="32" spans="1:39">
      <c r="A32" s="1863"/>
      <c r="B32" s="1001" t="s">
        <v>1850</v>
      </c>
      <c r="C32" s="1007" t="s">
        <v>29</v>
      </c>
      <c r="D32" s="1903"/>
      <c r="E32" s="1016" t="s">
        <v>2258</v>
      </c>
      <c r="F32" s="997" t="s">
        <v>310</v>
      </c>
      <c r="G32" s="995" t="s">
        <v>2248</v>
      </c>
      <c r="H32" s="1001">
        <v>3000</v>
      </c>
      <c r="I32" s="1001" t="s">
        <v>2178</v>
      </c>
      <c r="J32" s="1001" t="s">
        <v>2178</v>
      </c>
      <c r="K32" s="1001" t="s">
        <v>2178</v>
      </c>
      <c r="L32" s="1001" t="s">
        <v>35</v>
      </c>
      <c r="M32" s="995" t="s">
        <v>36</v>
      </c>
      <c r="N32" s="992">
        <v>45112</v>
      </c>
      <c r="O32" s="992">
        <v>45133</v>
      </c>
      <c r="P32" s="992">
        <v>45132</v>
      </c>
      <c r="Q32" s="992">
        <v>45112</v>
      </c>
      <c r="R32" s="1008"/>
      <c r="S32" s="995" t="s">
        <v>1216</v>
      </c>
      <c r="T32" s="1008">
        <v>781.96</v>
      </c>
      <c r="U32" s="1014">
        <v>1201.5997678917633</v>
      </c>
      <c r="V32" s="1008">
        <v>89.19</v>
      </c>
      <c r="W32" s="1008">
        <v>0</v>
      </c>
      <c r="X32" s="1008">
        <v>0</v>
      </c>
      <c r="Y32" s="1008">
        <v>0</v>
      </c>
      <c r="Z32" s="1014">
        <f t="shared" si="3"/>
        <v>0.36047993036752901</v>
      </c>
      <c r="AA32" s="1008">
        <v>6.01</v>
      </c>
      <c r="AB32" s="1008">
        <v>5.98</v>
      </c>
      <c r="AC32" s="1008">
        <v>5.95</v>
      </c>
      <c r="AD32" s="1008"/>
      <c r="AE32" s="995" t="s">
        <v>2287</v>
      </c>
      <c r="AF32" s="1008"/>
      <c r="AG32" s="1008"/>
      <c r="AH32" s="1008"/>
      <c r="AI32" s="1008"/>
      <c r="AJ32" s="1008"/>
      <c r="AK32" s="1008"/>
      <c r="AL32" s="1008"/>
      <c r="AM32" s="1008"/>
    </row>
    <row r="33" spans="1:39">
      <c r="A33" s="993">
        <v>22</v>
      </c>
      <c r="B33" s="1001" t="s">
        <v>1850</v>
      </c>
      <c r="C33" s="1007" t="s">
        <v>29</v>
      </c>
      <c r="D33" s="994" t="s">
        <v>2214</v>
      </c>
      <c r="E33" s="1016" t="s">
        <v>2259</v>
      </c>
      <c r="F33" s="1016" t="s">
        <v>2260</v>
      </c>
      <c r="G33" s="995" t="s">
        <v>2248</v>
      </c>
      <c r="H33" s="995">
        <v>52133</v>
      </c>
      <c r="I33" s="995" t="s">
        <v>2178</v>
      </c>
      <c r="J33" s="995" t="s">
        <v>2178</v>
      </c>
      <c r="K33" s="995" t="s">
        <v>2178</v>
      </c>
      <c r="L33" s="995" t="s">
        <v>35</v>
      </c>
      <c r="M33" s="995" t="s">
        <v>36</v>
      </c>
      <c r="N33" s="992">
        <v>45112</v>
      </c>
      <c r="O33" s="992">
        <v>45128</v>
      </c>
      <c r="P33" s="992">
        <v>45128</v>
      </c>
      <c r="Q33" s="992">
        <f>N33</f>
        <v>45112</v>
      </c>
      <c r="R33" s="995"/>
      <c r="S33" s="995" t="s">
        <v>1216</v>
      </c>
      <c r="T33" s="995">
        <v>902.5</v>
      </c>
      <c r="U33" s="1014">
        <v>1290.8231162756404</v>
      </c>
      <c r="V33" s="1014">
        <v>85.89</v>
      </c>
      <c r="W33" s="1014">
        <v>729.35</v>
      </c>
      <c r="X33" s="1014">
        <v>172.25</v>
      </c>
      <c r="Y33" s="1014">
        <v>42.023115199999999</v>
      </c>
      <c r="Z33" s="1000">
        <f t="shared" si="3"/>
        <v>6.7294481520797955</v>
      </c>
      <c r="AA33" s="995">
        <v>6.45</v>
      </c>
      <c r="AB33" s="995">
        <v>6.42</v>
      </c>
      <c r="AC33" s="995">
        <v>6.39</v>
      </c>
      <c r="AD33" s="995"/>
      <c r="AE33" s="995" t="s">
        <v>2287</v>
      </c>
      <c r="AF33" s="995"/>
      <c r="AG33" s="995"/>
      <c r="AH33" s="995"/>
      <c r="AI33" s="995"/>
      <c r="AJ33" s="995"/>
      <c r="AK33" s="995"/>
      <c r="AL33" s="995"/>
      <c r="AM33" s="995"/>
    </row>
    <row r="34" spans="1:39" s="1019" customFormat="1">
      <c r="A34" s="1025">
        <v>23</v>
      </c>
      <c r="B34" s="1022"/>
      <c r="C34" s="1022"/>
      <c r="D34" s="1021" t="s">
        <v>2215</v>
      </c>
      <c r="E34" s="1024"/>
      <c r="F34" s="1024"/>
      <c r="G34" s="1022"/>
      <c r="H34" s="1022"/>
      <c r="I34" s="1022"/>
      <c r="J34" s="1022"/>
      <c r="K34" s="1022"/>
      <c r="L34" s="1022"/>
      <c r="M34" s="1022" t="s">
        <v>36</v>
      </c>
      <c r="N34" s="1022"/>
      <c r="O34" s="1022"/>
      <c r="P34" s="1022"/>
      <c r="Q34" s="1022"/>
      <c r="R34" s="1022"/>
      <c r="S34" s="1022"/>
      <c r="T34" s="1022"/>
      <c r="U34" s="1028"/>
      <c r="V34" s="1028"/>
      <c r="W34" s="1028"/>
      <c r="X34" s="1028"/>
      <c r="Y34" s="1028"/>
      <c r="Z34" s="1022"/>
      <c r="AA34" s="1022"/>
      <c r="AB34" s="1022"/>
      <c r="AC34" s="1022"/>
      <c r="AD34" s="1022"/>
      <c r="AE34" s="1022"/>
      <c r="AF34" s="1022"/>
      <c r="AG34" s="1022"/>
      <c r="AH34" s="1022"/>
      <c r="AI34" s="1022"/>
      <c r="AJ34" s="1022"/>
      <c r="AK34" s="1022"/>
      <c r="AL34" s="1022"/>
      <c r="AM34" s="1022"/>
    </row>
    <row r="35" spans="1:39">
      <c r="A35" s="1861">
        <v>24</v>
      </c>
      <c r="B35" s="995" t="s">
        <v>1850</v>
      </c>
      <c r="C35" s="995" t="s">
        <v>29</v>
      </c>
      <c r="D35" s="1910" t="s">
        <v>2216</v>
      </c>
      <c r="E35" s="997" t="s">
        <v>2261</v>
      </c>
      <c r="F35" s="997" t="s">
        <v>2115</v>
      </c>
      <c r="G35" s="995" t="s">
        <v>2248</v>
      </c>
      <c r="H35" s="995">
        <v>135372</v>
      </c>
      <c r="I35" s="995" t="s">
        <v>2178</v>
      </c>
      <c r="J35" s="995" t="s">
        <v>2178</v>
      </c>
      <c r="K35" s="995" t="s">
        <v>2178</v>
      </c>
      <c r="L35" s="995" t="s">
        <v>35</v>
      </c>
      <c r="M35" s="995" t="s">
        <v>36</v>
      </c>
      <c r="N35" s="992">
        <v>45112</v>
      </c>
      <c r="O35" s="992">
        <v>45134</v>
      </c>
      <c r="P35" s="992">
        <v>45134</v>
      </c>
      <c r="Q35" s="992">
        <f>N35</f>
        <v>45112</v>
      </c>
      <c r="R35" s="995"/>
      <c r="S35" s="995" t="s">
        <v>1216</v>
      </c>
      <c r="T35" s="1000">
        <v>504.74303557168002</v>
      </c>
      <c r="U35" s="1000">
        <v>702.53301398317251</v>
      </c>
      <c r="V35" s="1000">
        <v>41.963559680605528</v>
      </c>
      <c r="W35" s="1000">
        <v>323.86537615855502</v>
      </c>
      <c r="X35" s="995">
        <v>234.5</v>
      </c>
      <c r="Y35" s="1000">
        <v>53.005794699999996</v>
      </c>
      <c r="Z35" s="1000">
        <f>(H35*U35)/10^7</f>
        <v>9.5103299168930029</v>
      </c>
      <c r="AA35" s="1000">
        <v>5.2689976048737943</v>
      </c>
      <c r="AB35" s="1000">
        <v>5.2294801228372414</v>
      </c>
      <c r="AC35" s="1000">
        <v>5.1902590219159617</v>
      </c>
      <c r="AD35" s="995"/>
      <c r="AE35" s="995" t="s">
        <v>2287</v>
      </c>
      <c r="AF35" s="995"/>
      <c r="AG35" s="995"/>
      <c r="AH35" s="995"/>
      <c r="AI35" s="995"/>
      <c r="AJ35" s="995"/>
      <c r="AK35" s="995"/>
      <c r="AL35" s="995"/>
      <c r="AM35" s="995"/>
    </row>
    <row r="36" spans="1:39">
      <c r="A36" s="1862"/>
      <c r="B36" s="995" t="s">
        <v>1850</v>
      </c>
      <c r="C36" s="995" t="s">
        <v>29</v>
      </c>
      <c r="D36" s="1908"/>
      <c r="E36" s="1010" t="s">
        <v>2262</v>
      </c>
      <c r="F36" s="1010" t="s">
        <v>2115</v>
      </c>
      <c r="G36" s="995" t="s">
        <v>2248</v>
      </c>
      <c r="H36" s="1015">
        <v>22037</v>
      </c>
      <c r="I36" s="995" t="s">
        <v>2178</v>
      </c>
      <c r="J36" s="995" t="s">
        <v>2178</v>
      </c>
      <c r="K36" s="995" t="s">
        <v>2178</v>
      </c>
      <c r="L36" s="995" t="s">
        <v>35</v>
      </c>
      <c r="M36" s="995" t="s">
        <v>36</v>
      </c>
      <c r="N36" s="992">
        <v>45112</v>
      </c>
      <c r="O36" s="992">
        <v>45134</v>
      </c>
      <c r="P36" s="992">
        <v>45134</v>
      </c>
      <c r="Q36" s="992">
        <f t="shared" ref="Q36:Q52" si="4">N36</f>
        <v>45112</v>
      </c>
      <c r="R36" s="1015"/>
      <c r="S36" s="995" t="s">
        <v>1216</v>
      </c>
      <c r="T36" s="1011">
        <v>509.38873307568002</v>
      </c>
      <c r="U36" s="1011">
        <v>714.49300415017422</v>
      </c>
      <c r="V36" s="1011">
        <v>43.512656995862358</v>
      </c>
      <c r="W36" s="1011">
        <v>8.8276827639000004</v>
      </c>
      <c r="X36" s="1015">
        <v>3</v>
      </c>
      <c r="Y36" s="1015"/>
      <c r="Z36" s="1000">
        <f t="shared" ref="Z36:Z47" si="5">(H36*U36)/10^7</f>
        <v>1.5745282332457389</v>
      </c>
      <c r="AA36" s="1011">
        <v>5.3586975311263059</v>
      </c>
      <c r="AB36" s="1011">
        <v>5.3185072996428584</v>
      </c>
      <c r="AC36" s="1011">
        <v>5.2786184948955368</v>
      </c>
      <c r="AD36" s="1015"/>
      <c r="AE36" s="995" t="s">
        <v>2287</v>
      </c>
      <c r="AF36" s="1015"/>
      <c r="AG36" s="1015"/>
      <c r="AH36" s="1015"/>
      <c r="AI36" s="1015"/>
      <c r="AJ36" s="1015"/>
      <c r="AK36" s="1015"/>
      <c r="AL36" s="1015"/>
      <c r="AM36" s="1015"/>
    </row>
    <row r="37" spans="1:39">
      <c r="A37" s="1862"/>
      <c r="B37" s="995" t="s">
        <v>1850</v>
      </c>
      <c r="C37" s="995" t="s">
        <v>29</v>
      </c>
      <c r="D37" s="1908"/>
      <c r="E37" s="1010" t="s">
        <v>2263</v>
      </c>
      <c r="F37" s="1010" t="s">
        <v>2115</v>
      </c>
      <c r="G37" s="995" t="s">
        <v>2248</v>
      </c>
      <c r="H37" s="1015">
        <v>33021</v>
      </c>
      <c r="I37" s="995" t="s">
        <v>2178</v>
      </c>
      <c r="J37" s="995" t="s">
        <v>2178</v>
      </c>
      <c r="K37" s="995" t="s">
        <v>2178</v>
      </c>
      <c r="L37" s="995" t="s">
        <v>35</v>
      </c>
      <c r="M37" s="995" t="s">
        <v>36</v>
      </c>
      <c r="N37" s="992">
        <v>45112</v>
      </c>
      <c r="O37" s="992">
        <v>45134</v>
      </c>
      <c r="P37" s="992">
        <v>45134</v>
      </c>
      <c r="Q37" s="992">
        <f t="shared" si="4"/>
        <v>45112</v>
      </c>
      <c r="R37" s="1015"/>
      <c r="S37" s="995" t="s">
        <v>1216</v>
      </c>
      <c r="T37" s="1011">
        <v>495.76607615968004</v>
      </c>
      <c r="U37" s="1011">
        <v>682.09086367843952</v>
      </c>
      <c r="V37" s="1011">
        <v>39.526982920717657</v>
      </c>
      <c r="W37" s="1011">
        <v>0</v>
      </c>
      <c r="X37" s="1015">
        <v>0</v>
      </c>
      <c r="Y37" s="1015"/>
      <c r="Z37" s="1000">
        <f t="shared" si="5"/>
        <v>2.2523322409525752</v>
      </c>
      <c r="AA37" s="1011">
        <v>5.1156814775882964</v>
      </c>
      <c r="AB37" s="1011">
        <v>5.0773138665063842</v>
      </c>
      <c r="AC37" s="1011">
        <v>5.0392340125075856</v>
      </c>
      <c r="AD37" s="1015"/>
      <c r="AE37" s="995" t="s">
        <v>2287</v>
      </c>
      <c r="AF37" s="1015"/>
      <c r="AG37" s="1015"/>
      <c r="AH37" s="1015"/>
      <c r="AI37" s="1015"/>
      <c r="AJ37" s="1015"/>
      <c r="AK37" s="1015"/>
      <c r="AL37" s="1015"/>
      <c r="AM37" s="1015"/>
    </row>
    <row r="38" spans="1:39">
      <c r="A38" s="1862"/>
      <c r="B38" s="995" t="s">
        <v>1850</v>
      </c>
      <c r="C38" s="995" t="s">
        <v>29</v>
      </c>
      <c r="D38" s="1908"/>
      <c r="E38" s="1010" t="s">
        <v>2264</v>
      </c>
      <c r="F38" s="1010" t="s">
        <v>2115</v>
      </c>
      <c r="G38" s="995" t="s">
        <v>2248</v>
      </c>
      <c r="H38" s="1015">
        <v>4081</v>
      </c>
      <c r="I38" s="995" t="s">
        <v>2178</v>
      </c>
      <c r="J38" s="995" t="s">
        <v>2178</v>
      </c>
      <c r="K38" s="995" t="s">
        <v>2178</v>
      </c>
      <c r="L38" s="995" t="s">
        <v>35</v>
      </c>
      <c r="M38" s="995" t="s">
        <v>36</v>
      </c>
      <c r="N38" s="992">
        <v>45112</v>
      </c>
      <c r="O38" s="992">
        <v>45134</v>
      </c>
      <c r="P38" s="992">
        <v>45134</v>
      </c>
      <c r="Q38" s="992">
        <f t="shared" si="4"/>
        <v>45112</v>
      </c>
      <c r="R38" s="1015"/>
      <c r="S38" s="995" t="s">
        <v>1216</v>
      </c>
      <c r="T38" s="1011">
        <v>500.41177366368004</v>
      </c>
      <c r="U38" s="1011">
        <v>694.05085384544077</v>
      </c>
      <c r="V38" s="1011">
        <v>41.076080235974487</v>
      </c>
      <c r="W38" s="1011">
        <v>0</v>
      </c>
      <c r="X38" s="1015">
        <v>0</v>
      </c>
      <c r="Y38" s="1015"/>
      <c r="Z38" s="1000">
        <f t="shared" si="5"/>
        <v>0.28324215345432435</v>
      </c>
      <c r="AA38" s="1011">
        <v>5.2053814038408062</v>
      </c>
      <c r="AB38" s="1011">
        <v>5.1663410433120012</v>
      </c>
      <c r="AC38" s="1011">
        <v>5.1275934854871608</v>
      </c>
      <c r="AD38" s="1015"/>
      <c r="AE38" s="995" t="s">
        <v>2287</v>
      </c>
      <c r="AF38" s="1015"/>
      <c r="AG38" s="1015"/>
      <c r="AH38" s="1015"/>
      <c r="AI38" s="1015"/>
      <c r="AJ38" s="1015"/>
      <c r="AK38" s="1015"/>
      <c r="AL38" s="1015"/>
      <c r="AM38" s="1015"/>
    </row>
    <row r="39" spans="1:39">
      <c r="A39" s="1862"/>
      <c r="B39" s="995" t="s">
        <v>1850</v>
      </c>
      <c r="C39" s="995" t="s">
        <v>29</v>
      </c>
      <c r="D39" s="1908"/>
      <c r="E39" s="1010" t="s">
        <v>2265</v>
      </c>
      <c r="F39" s="1010" t="s">
        <v>2115</v>
      </c>
      <c r="G39" s="995" t="s">
        <v>2248</v>
      </c>
      <c r="H39" s="1015">
        <v>3000</v>
      </c>
      <c r="I39" s="995" t="s">
        <v>2178</v>
      </c>
      <c r="J39" s="995" t="s">
        <v>2178</v>
      </c>
      <c r="K39" s="995" t="s">
        <v>2178</v>
      </c>
      <c r="L39" s="995" t="s">
        <v>35</v>
      </c>
      <c r="M39" s="995" t="s">
        <v>36</v>
      </c>
      <c r="N39" s="992">
        <v>45112</v>
      </c>
      <c r="O39" s="992">
        <v>45134</v>
      </c>
      <c r="P39" s="992">
        <v>45134</v>
      </c>
      <c r="Q39" s="992">
        <f t="shared" si="4"/>
        <v>45112</v>
      </c>
      <c r="R39" s="1015"/>
      <c r="S39" s="995" t="s">
        <v>1216</v>
      </c>
      <c r="T39" s="1011">
        <v>509.38873307568002</v>
      </c>
      <c r="U39" s="1011">
        <v>714.49300415017422</v>
      </c>
      <c r="V39" s="1011">
        <v>43.512656995862358</v>
      </c>
      <c r="W39" s="1011">
        <v>0</v>
      </c>
      <c r="X39" s="1015">
        <v>0</v>
      </c>
      <c r="Y39" s="1015"/>
      <c r="Z39" s="1000">
        <f t="shared" si="5"/>
        <v>0.21434790124505226</v>
      </c>
      <c r="AA39" s="1011">
        <v>5.3586975311263059</v>
      </c>
      <c r="AB39" s="1011">
        <v>5.3185072996428584</v>
      </c>
      <c r="AC39" s="1011">
        <v>5.2786184948955368</v>
      </c>
      <c r="AD39" s="1015"/>
      <c r="AE39" s="995" t="s">
        <v>2287</v>
      </c>
      <c r="AF39" s="1015"/>
      <c r="AG39" s="1015"/>
      <c r="AH39" s="1015"/>
      <c r="AI39" s="1015"/>
      <c r="AJ39" s="1015"/>
      <c r="AK39" s="1015"/>
      <c r="AL39" s="1015"/>
      <c r="AM39" s="1015"/>
    </row>
    <row r="40" spans="1:39">
      <c r="A40" s="1862"/>
      <c r="B40" s="995" t="s">
        <v>1850</v>
      </c>
      <c r="C40" s="995" t="s">
        <v>29</v>
      </c>
      <c r="D40" s="1908"/>
      <c r="E40" s="1010" t="s">
        <v>2266</v>
      </c>
      <c r="F40" s="1010" t="s">
        <v>2115</v>
      </c>
      <c r="G40" s="995" t="s">
        <v>2248</v>
      </c>
      <c r="H40" s="1015">
        <v>3000</v>
      </c>
      <c r="I40" s="995" t="s">
        <v>2178</v>
      </c>
      <c r="J40" s="995" t="s">
        <v>2178</v>
      </c>
      <c r="K40" s="995" t="s">
        <v>2178</v>
      </c>
      <c r="L40" s="995" t="s">
        <v>35</v>
      </c>
      <c r="M40" s="995" t="s">
        <v>36</v>
      </c>
      <c r="N40" s="992">
        <v>45112</v>
      </c>
      <c r="O40" s="992">
        <v>45134</v>
      </c>
      <c r="P40" s="992">
        <v>45134</v>
      </c>
      <c r="Q40" s="992">
        <f t="shared" si="4"/>
        <v>45112</v>
      </c>
      <c r="R40" s="1015"/>
      <c r="S40" s="995" t="s">
        <v>1216</v>
      </c>
      <c r="T40" s="1011">
        <v>544.91269189968</v>
      </c>
      <c r="U40" s="1011">
        <v>740.16930421970073</v>
      </c>
      <c r="V40" s="1011">
        <v>41.96609860069448</v>
      </c>
      <c r="W40" s="1011">
        <v>0</v>
      </c>
      <c r="X40" s="1015">
        <v>0</v>
      </c>
      <c r="Y40" s="1015"/>
      <c r="Z40" s="1000">
        <f t="shared" si="5"/>
        <v>0.22205079126591021</v>
      </c>
      <c r="AA40" s="1011">
        <v>5.551269781647755</v>
      </c>
      <c r="AB40" s="1011">
        <v>5.5096352582853969</v>
      </c>
      <c r="AC40" s="1011">
        <v>5.4683129938482571</v>
      </c>
      <c r="AD40" s="1015"/>
      <c r="AE40" s="995" t="s">
        <v>2287</v>
      </c>
      <c r="AF40" s="1015"/>
      <c r="AG40" s="1015"/>
      <c r="AH40" s="1015"/>
      <c r="AI40" s="1015"/>
      <c r="AJ40" s="1015"/>
      <c r="AK40" s="1015"/>
      <c r="AL40" s="1015"/>
      <c r="AM40" s="1015"/>
    </row>
    <row r="41" spans="1:39">
      <c r="A41" s="1862"/>
      <c r="B41" s="995" t="s">
        <v>1850</v>
      </c>
      <c r="C41" s="995" t="s">
        <v>29</v>
      </c>
      <c r="D41" s="1908"/>
      <c r="E41" s="1010" t="s">
        <v>2267</v>
      </c>
      <c r="F41" s="1010" t="s">
        <v>2117</v>
      </c>
      <c r="G41" s="995" t="s">
        <v>2248</v>
      </c>
      <c r="H41" s="1015">
        <v>107282</v>
      </c>
      <c r="I41" s="995" t="s">
        <v>2178</v>
      </c>
      <c r="J41" s="995" t="s">
        <v>2178</v>
      </c>
      <c r="K41" s="995" t="s">
        <v>2178</v>
      </c>
      <c r="L41" s="995" t="s">
        <v>35</v>
      </c>
      <c r="M41" s="995" t="s">
        <v>36</v>
      </c>
      <c r="N41" s="992">
        <v>45112</v>
      </c>
      <c r="O41" s="992">
        <v>45134</v>
      </c>
      <c r="P41" s="992">
        <v>45134</v>
      </c>
      <c r="Q41" s="992">
        <f t="shared" si="4"/>
        <v>45112</v>
      </c>
      <c r="R41" s="1015"/>
      <c r="S41" s="995" t="s">
        <v>1216</v>
      </c>
      <c r="T41" s="1011">
        <v>513.58954295000001</v>
      </c>
      <c r="U41" s="1011">
        <v>704.2583666819628</v>
      </c>
      <c r="V41" s="1011">
        <v>40.539977304289302</v>
      </c>
      <c r="W41" s="1011">
        <v>300.57704431177496</v>
      </c>
      <c r="X41" s="1015">
        <v>17.5</v>
      </c>
      <c r="Y41" s="1015"/>
      <c r="Z41" s="1000">
        <f t="shared" si="5"/>
        <v>7.5554246094374333</v>
      </c>
      <c r="AA41" s="1011">
        <v>5.2819377501147207</v>
      </c>
      <c r="AB41" s="1011">
        <v>5.2423232169888605</v>
      </c>
      <c r="AC41" s="1011">
        <v>5.2030057928614442</v>
      </c>
      <c r="AD41" s="1015"/>
      <c r="AE41" s="995" t="s">
        <v>2287</v>
      </c>
      <c r="AF41" s="1015"/>
      <c r="AG41" s="1015"/>
      <c r="AH41" s="1015"/>
      <c r="AI41" s="1015"/>
      <c r="AJ41" s="1015"/>
      <c r="AK41" s="1015"/>
      <c r="AL41" s="1015"/>
      <c r="AM41" s="1015"/>
    </row>
    <row r="42" spans="1:39">
      <c r="A42" s="1862"/>
      <c r="B42" s="995" t="s">
        <v>1850</v>
      </c>
      <c r="C42" s="995" t="s">
        <v>29</v>
      </c>
      <c r="D42" s="1908"/>
      <c r="E42" s="1010" t="s">
        <v>2268</v>
      </c>
      <c r="F42" s="1010" t="s">
        <v>2117</v>
      </c>
      <c r="G42" s="995" t="s">
        <v>2248</v>
      </c>
      <c r="H42" s="1015">
        <v>50128</v>
      </c>
      <c r="I42" s="995" t="s">
        <v>2178</v>
      </c>
      <c r="J42" s="995" t="s">
        <v>2178</v>
      </c>
      <c r="K42" s="995" t="s">
        <v>2178</v>
      </c>
      <c r="L42" s="995" t="s">
        <v>35</v>
      </c>
      <c r="M42" s="995" t="s">
        <v>36</v>
      </c>
      <c r="N42" s="992">
        <v>45112</v>
      </c>
      <c r="O42" s="992">
        <v>45134</v>
      </c>
      <c r="P42" s="992">
        <v>45134</v>
      </c>
      <c r="Q42" s="992">
        <f t="shared" si="4"/>
        <v>45112</v>
      </c>
      <c r="R42" s="1015"/>
      <c r="S42" s="995" t="s">
        <v>1216</v>
      </c>
      <c r="T42" s="1011">
        <v>558.66099167048003</v>
      </c>
      <c r="U42" s="1011">
        <v>763.13095935802107</v>
      </c>
      <c r="V42" s="1011">
        <v>43.804089643875741</v>
      </c>
      <c r="W42" s="1011">
        <v>23.182105947</v>
      </c>
      <c r="X42" s="1015">
        <v>5.75</v>
      </c>
      <c r="Y42" s="1015"/>
      <c r="Z42" s="1000">
        <f t="shared" si="5"/>
        <v>3.8254228730698885</v>
      </c>
      <c r="AA42" s="1011">
        <v>5.7234821951851576</v>
      </c>
      <c r="AB42" s="1011">
        <v>5.6805560787212688</v>
      </c>
      <c r="AC42" s="1011">
        <v>5.6379519081308596</v>
      </c>
      <c r="AD42" s="1015"/>
      <c r="AE42" s="995" t="s">
        <v>2287</v>
      </c>
      <c r="AF42" s="1015"/>
      <c r="AG42" s="1015"/>
      <c r="AH42" s="1015"/>
      <c r="AI42" s="1015"/>
      <c r="AJ42" s="1015"/>
      <c r="AK42" s="1015"/>
      <c r="AL42" s="1015"/>
      <c r="AM42" s="1015"/>
    </row>
    <row r="43" spans="1:39">
      <c r="A43" s="1862"/>
      <c r="B43" s="995" t="s">
        <v>1850</v>
      </c>
      <c r="C43" s="995" t="s">
        <v>29</v>
      </c>
      <c r="D43" s="1908"/>
      <c r="E43" s="1010" t="s">
        <v>2269</v>
      </c>
      <c r="F43" s="1010" t="s">
        <v>2117</v>
      </c>
      <c r="G43" s="995" t="s">
        <v>2248</v>
      </c>
      <c r="H43" s="1015">
        <v>37102</v>
      </c>
      <c r="I43" s="995" t="s">
        <v>2178</v>
      </c>
      <c r="J43" s="995" t="s">
        <v>2178</v>
      </c>
      <c r="K43" s="995" t="s">
        <v>2178</v>
      </c>
      <c r="L43" s="995" t="s">
        <v>35</v>
      </c>
      <c r="M43" s="995" t="s">
        <v>36</v>
      </c>
      <c r="N43" s="992">
        <v>45112</v>
      </c>
      <c r="O43" s="992">
        <v>45134</v>
      </c>
      <c r="P43" s="992">
        <v>45134</v>
      </c>
      <c r="Q43" s="992">
        <f t="shared" si="4"/>
        <v>45112</v>
      </c>
      <c r="R43" s="1015"/>
      <c r="S43" s="995" t="s">
        <v>1216</v>
      </c>
      <c r="T43" s="1011">
        <v>539.69149250648002</v>
      </c>
      <c r="U43" s="1011">
        <v>727.38458715960655</v>
      </c>
      <c r="V43" s="1011">
        <v>40.183978723771034</v>
      </c>
      <c r="W43" s="1011">
        <v>0</v>
      </c>
      <c r="X43" s="1015">
        <v>0</v>
      </c>
      <c r="Y43" s="1015"/>
      <c r="Z43" s="1000">
        <f t="shared" si="5"/>
        <v>2.6987422952795721</v>
      </c>
      <c r="AA43" s="1011">
        <v>5.4553844036970478</v>
      </c>
      <c r="AB43" s="1011">
        <v>5.41446902066932</v>
      </c>
      <c r="AC43" s="1011">
        <v>5.3738605030143001</v>
      </c>
      <c r="AD43" s="1015"/>
      <c r="AE43" s="995" t="s">
        <v>2287</v>
      </c>
      <c r="AF43" s="1015"/>
      <c r="AG43" s="1015"/>
      <c r="AH43" s="1015"/>
      <c r="AI43" s="1015"/>
      <c r="AJ43" s="1015"/>
      <c r="AK43" s="1015"/>
      <c r="AL43" s="1015"/>
      <c r="AM43" s="1015"/>
    </row>
    <row r="44" spans="1:39">
      <c r="A44" s="1862"/>
      <c r="B44" s="995" t="s">
        <v>1850</v>
      </c>
      <c r="C44" s="995" t="s">
        <v>29</v>
      </c>
      <c r="D44" s="1908"/>
      <c r="E44" s="1010" t="s">
        <v>2270</v>
      </c>
      <c r="F44" s="1010" t="s">
        <v>2117</v>
      </c>
      <c r="G44" s="995" t="s">
        <v>2248</v>
      </c>
      <c r="H44" s="1015">
        <v>3000</v>
      </c>
      <c r="I44" s="995" t="s">
        <v>2178</v>
      </c>
      <c r="J44" s="995" t="s">
        <v>2178</v>
      </c>
      <c r="K44" s="995" t="s">
        <v>2178</v>
      </c>
      <c r="L44" s="995" t="s">
        <v>35</v>
      </c>
      <c r="M44" s="995" t="s">
        <v>36</v>
      </c>
      <c r="N44" s="992">
        <v>45112</v>
      </c>
      <c r="O44" s="992">
        <v>45134</v>
      </c>
      <c r="P44" s="992">
        <v>45134</v>
      </c>
      <c r="Q44" s="992">
        <f t="shared" si="4"/>
        <v>45112</v>
      </c>
      <c r="R44" s="1015"/>
      <c r="S44" s="995" t="s">
        <v>1216</v>
      </c>
      <c r="T44" s="1011">
        <v>596.21941569848002</v>
      </c>
      <c r="U44" s="1011">
        <v>797.11598497663965</v>
      </c>
      <c r="V44" s="1011">
        <v>43.571574759258908</v>
      </c>
      <c r="W44" s="1011">
        <v>0</v>
      </c>
      <c r="X44" s="1015">
        <v>0</v>
      </c>
      <c r="Y44" s="1015"/>
      <c r="Z44" s="1000">
        <f t="shared" si="5"/>
        <v>0.23913479549299191</v>
      </c>
      <c r="AA44" s="1011">
        <v>5.9783698873247975</v>
      </c>
      <c r="AB44" s="1011">
        <v>5.9335321131698615</v>
      </c>
      <c r="AC44" s="1011">
        <v>5.8890306223210871</v>
      </c>
      <c r="AD44" s="1015"/>
      <c r="AE44" s="995" t="s">
        <v>2287</v>
      </c>
      <c r="AF44" s="1015"/>
      <c r="AG44" s="1015"/>
      <c r="AH44" s="1015"/>
      <c r="AI44" s="1015"/>
      <c r="AJ44" s="1015"/>
      <c r="AK44" s="1015"/>
      <c r="AL44" s="1015"/>
      <c r="AM44" s="1015"/>
    </row>
    <row r="45" spans="1:39">
      <c r="A45" s="1863"/>
      <c r="B45" s="995" t="s">
        <v>1850</v>
      </c>
      <c r="C45" s="995" t="s">
        <v>29</v>
      </c>
      <c r="D45" s="1908"/>
      <c r="E45" s="1010" t="s">
        <v>2271</v>
      </c>
      <c r="F45" s="1010" t="s">
        <v>2117</v>
      </c>
      <c r="G45" s="995" t="s">
        <v>2248</v>
      </c>
      <c r="H45" s="1015">
        <v>3000</v>
      </c>
      <c r="I45" s="995" t="s">
        <v>2178</v>
      </c>
      <c r="J45" s="995" t="s">
        <v>2178</v>
      </c>
      <c r="K45" s="995" t="s">
        <v>2178</v>
      </c>
      <c r="L45" s="995" t="s">
        <v>35</v>
      </c>
      <c r="M45" s="995" t="s">
        <v>36</v>
      </c>
      <c r="N45" s="992">
        <v>45112</v>
      </c>
      <c r="O45" s="992">
        <v>45134</v>
      </c>
      <c r="P45" s="992">
        <v>45134</v>
      </c>
      <c r="Q45" s="992">
        <f t="shared" si="4"/>
        <v>45112</v>
      </c>
      <c r="R45" s="1015"/>
      <c r="S45" s="995" t="s">
        <v>1216</v>
      </c>
      <c r="T45" s="1011">
        <v>587.24245628647998</v>
      </c>
      <c r="U45" s="1011">
        <v>774.15748166009746</v>
      </c>
      <c r="V45" s="1011">
        <v>41.134997999371031</v>
      </c>
      <c r="W45" s="1011">
        <v>0</v>
      </c>
      <c r="X45" s="1015">
        <v>0</v>
      </c>
      <c r="Y45" s="1015"/>
      <c r="Z45" s="1000">
        <f t="shared" si="5"/>
        <v>0.23224724449802925</v>
      </c>
      <c r="AA45" s="1011">
        <v>5.8250537600392978</v>
      </c>
      <c r="AB45" s="1011">
        <v>5.7813658568390034</v>
      </c>
      <c r="AC45" s="1011">
        <v>5.7380056129127111</v>
      </c>
      <c r="AD45" s="1015"/>
      <c r="AE45" s="995" t="s">
        <v>2287</v>
      </c>
      <c r="AF45" s="1015"/>
      <c r="AG45" s="1015"/>
      <c r="AH45" s="1015"/>
      <c r="AI45" s="1015"/>
      <c r="AJ45" s="1015"/>
      <c r="AK45" s="1015"/>
      <c r="AL45" s="1015"/>
      <c r="AM45" s="1015"/>
    </row>
    <row r="46" spans="1:39">
      <c r="A46" s="993">
        <v>25</v>
      </c>
      <c r="B46" s="995" t="s">
        <v>1850</v>
      </c>
      <c r="C46" s="995" t="s">
        <v>29</v>
      </c>
      <c r="D46" s="994" t="s">
        <v>2217</v>
      </c>
      <c r="E46" s="1010" t="s">
        <v>2272</v>
      </c>
      <c r="F46" s="1010" t="s">
        <v>2273</v>
      </c>
      <c r="G46" s="1015" t="s">
        <v>2248</v>
      </c>
      <c r="H46" s="1015">
        <v>200512</v>
      </c>
      <c r="I46" s="995" t="s">
        <v>2178</v>
      </c>
      <c r="J46" s="995" t="s">
        <v>2178</v>
      </c>
      <c r="K46" s="995" t="s">
        <v>2178</v>
      </c>
      <c r="L46" s="995" t="s">
        <v>35</v>
      </c>
      <c r="M46" s="995" t="s">
        <v>36</v>
      </c>
      <c r="N46" s="992">
        <v>45112</v>
      </c>
      <c r="O46" s="992">
        <v>45134</v>
      </c>
      <c r="P46" s="992">
        <v>45121</v>
      </c>
      <c r="Q46" s="992">
        <f t="shared" si="4"/>
        <v>45112</v>
      </c>
      <c r="R46" s="995"/>
      <c r="S46" s="995" t="s">
        <v>1216</v>
      </c>
      <c r="T46" s="1011">
        <v>107.45746438747202</v>
      </c>
      <c r="U46" s="1011">
        <v>166.90502761745455</v>
      </c>
      <c r="V46" s="1011">
        <v>12.442082897707946</v>
      </c>
      <c r="W46" s="1011">
        <v>164.854925928</v>
      </c>
      <c r="X46" s="1011">
        <v>15</v>
      </c>
      <c r="Y46" s="1011">
        <v>12.164361599999998</v>
      </c>
      <c r="Z46" s="1000">
        <f t="shared" si="5"/>
        <v>3.3466460897631047</v>
      </c>
      <c r="AA46" s="1011">
        <v>0.41726256904363651</v>
      </c>
      <c r="AB46" s="1011">
        <v>0.41621941262102746</v>
      </c>
      <c r="AC46" s="1011">
        <v>0.41517886408947491</v>
      </c>
      <c r="AD46" s="995"/>
      <c r="AE46" s="995" t="s">
        <v>2287</v>
      </c>
      <c r="AF46" s="995"/>
      <c r="AG46" s="995"/>
      <c r="AH46" s="995"/>
      <c r="AI46" s="995"/>
      <c r="AJ46" s="995"/>
      <c r="AK46" s="995"/>
      <c r="AL46" s="995"/>
      <c r="AM46" s="995"/>
    </row>
    <row r="47" spans="1:39">
      <c r="A47" s="1861">
        <v>26</v>
      </c>
      <c r="B47" s="995" t="s">
        <v>1850</v>
      </c>
      <c r="C47" s="995" t="s">
        <v>29</v>
      </c>
      <c r="D47" s="1907" t="s">
        <v>2218</v>
      </c>
      <c r="E47" s="1010" t="s">
        <v>2274</v>
      </c>
      <c r="F47" s="1010" t="s">
        <v>2275</v>
      </c>
      <c r="G47" s="1015" t="s">
        <v>2248</v>
      </c>
      <c r="H47" s="1015">
        <v>194512</v>
      </c>
      <c r="I47" s="995" t="s">
        <v>2178</v>
      </c>
      <c r="J47" s="995" t="s">
        <v>2178</v>
      </c>
      <c r="K47" s="995" t="s">
        <v>2178</v>
      </c>
      <c r="L47" s="995" t="s">
        <v>35</v>
      </c>
      <c r="M47" s="995" t="s">
        <v>36</v>
      </c>
      <c r="N47" s="992">
        <v>45112</v>
      </c>
      <c r="O47" s="992">
        <v>45134</v>
      </c>
      <c r="P47" s="992">
        <v>45132</v>
      </c>
      <c r="Q47" s="992">
        <f t="shared" si="4"/>
        <v>45112</v>
      </c>
      <c r="R47" s="995"/>
      <c r="S47" s="995" t="s">
        <v>1216</v>
      </c>
      <c r="T47" s="1011">
        <v>2123.2759145537302</v>
      </c>
      <c r="U47" s="1011">
        <v>2965.7192143421125</v>
      </c>
      <c r="V47" s="1011">
        <v>180.7119943617069</v>
      </c>
      <c r="W47" s="1011">
        <v>1834.3801688231244</v>
      </c>
      <c r="X47" s="1011">
        <v>986.13</v>
      </c>
      <c r="Y47" s="1011">
        <v>203.056210075</v>
      </c>
      <c r="Z47" s="1000">
        <f t="shared" si="5"/>
        <v>57.686797582011295</v>
      </c>
      <c r="AA47" s="1011">
        <v>14.82859607171056</v>
      </c>
      <c r="AB47" s="1011">
        <v>14.754453091352007</v>
      </c>
      <c r="AC47" s="1011">
        <v>14.680680825895248</v>
      </c>
      <c r="AD47" s="995"/>
      <c r="AE47" s="995" t="s">
        <v>2287</v>
      </c>
      <c r="AF47" s="995"/>
      <c r="AG47" s="995"/>
      <c r="AH47" s="995"/>
      <c r="AI47" s="995"/>
      <c r="AJ47" s="995"/>
      <c r="AK47" s="995"/>
      <c r="AL47" s="995"/>
      <c r="AM47" s="995"/>
    </row>
    <row r="48" spans="1:39">
      <c r="A48" s="1862"/>
      <c r="B48" s="995" t="s">
        <v>1850</v>
      </c>
      <c r="C48" s="995" t="s">
        <v>29</v>
      </c>
      <c r="D48" s="1908"/>
      <c r="E48" s="1010" t="s">
        <v>2276</v>
      </c>
      <c r="F48" s="1010" t="s">
        <v>2275</v>
      </c>
      <c r="G48" s="1015" t="s">
        <v>2248</v>
      </c>
      <c r="H48" s="1015">
        <v>6000</v>
      </c>
      <c r="I48" s="995" t="s">
        <v>2178</v>
      </c>
      <c r="J48" s="995" t="s">
        <v>2178</v>
      </c>
      <c r="K48" s="995" t="s">
        <v>2178</v>
      </c>
      <c r="L48" s="995" t="s">
        <v>35</v>
      </c>
      <c r="M48" s="995" t="s">
        <v>36</v>
      </c>
      <c r="N48" s="992">
        <v>45112</v>
      </c>
      <c r="O48" s="992">
        <v>45134</v>
      </c>
      <c r="P48" s="992">
        <v>45132</v>
      </c>
      <c r="Q48" s="992">
        <f t="shared" si="4"/>
        <v>45112</v>
      </c>
      <c r="R48" s="995"/>
      <c r="S48" s="995" t="s">
        <v>1216</v>
      </c>
      <c r="T48" s="1011">
        <v>2194.1450240239174</v>
      </c>
      <c r="U48" s="1011">
        <v>3039.154182643756</v>
      </c>
      <c r="V48" s="1011">
        <v>182.12937655111065</v>
      </c>
      <c r="W48" s="1011"/>
      <c r="X48" s="1011"/>
      <c r="Y48" s="1011"/>
      <c r="Z48" s="1000"/>
      <c r="AA48" s="1011">
        <v>15.19577091321878</v>
      </c>
      <c r="AB48" s="1011">
        <v>15.119792058652687</v>
      </c>
      <c r="AC48" s="1011">
        <v>15.044193098359422</v>
      </c>
      <c r="AD48" s="995"/>
      <c r="AE48" s="995" t="s">
        <v>2287</v>
      </c>
      <c r="AF48" s="995"/>
      <c r="AG48" s="995"/>
      <c r="AH48" s="995"/>
      <c r="AI48" s="995"/>
      <c r="AJ48" s="995"/>
      <c r="AK48" s="995"/>
      <c r="AL48" s="995"/>
      <c r="AM48" s="995"/>
    </row>
    <row r="49" spans="1:40">
      <c r="A49" s="1862"/>
      <c r="B49" s="995" t="s">
        <v>1850</v>
      </c>
      <c r="C49" s="995" t="s">
        <v>29</v>
      </c>
      <c r="D49" s="1908"/>
      <c r="E49" s="1010" t="s">
        <v>2277</v>
      </c>
      <c r="F49" s="1010" t="s">
        <v>2278</v>
      </c>
      <c r="G49" s="1015" t="s">
        <v>2248</v>
      </c>
      <c r="H49" s="1015">
        <v>157410</v>
      </c>
      <c r="I49" s="995" t="s">
        <v>2178</v>
      </c>
      <c r="J49" s="995" t="s">
        <v>2178</v>
      </c>
      <c r="K49" s="995" t="s">
        <v>2178</v>
      </c>
      <c r="L49" s="995" t="s">
        <v>35</v>
      </c>
      <c r="M49" s="995" t="s">
        <v>36</v>
      </c>
      <c r="N49" s="992">
        <v>45112</v>
      </c>
      <c r="O49" s="992">
        <v>45134</v>
      </c>
      <c r="P49" s="992">
        <v>45132</v>
      </c>
      <c r="Q49" s="992">
        <f t="shared" si="4"/>
        <v>45112</v>
      </c>
      <c r="R49" s="995"/>
      <c r="S49" s="995" t="s">
        <v>1216</v>
      </c>
      <c r="T49" s="1011">
        <v>2055.0489765620814</v>
      </c>
      <c r="U49" s="1011">
        <v>2916.3014037099397</v>
      </c>
      <c r="V49" s="1011">
        <v>183.421461799067</v>
      </c>
      <c r="W49" s="1011">
        <v>1507.5911718540742</v>
      </c>
      <c r="X49" s="1011">
        <v>101.63</v>
      </c>
      <c r="Y49" s="1011"/>
      <c r="Z49" s="1000"/>
      <c r="AA49" s="1011">
        <v>14.644007018549697</v>
      </c>
      <c r="AB49" s="1011">
        <v>14.57078698345695</v>
      </c>
      <c r="AC49" s="1011">
        <v>14.497933048539664</v>
      </c>
      <c r="AD49" s="995"/>
      <c r="AE49" s="995" t="s">
        <v>2287</v>
      </c>
      <c r="AF49" s="995"/>
      <c r="AG49" s="995"/>
      <c r="AH49" s="995"/>
      <c r="AI49" s="995"/>
      <c r="AJ49" s="995"/>
      <c r="AK49" s="995"/>
      <c r="AL49" s="995"/>
      <c r="AM49" s="995"/>
    </row>
    <row r="50" spans="1:40">
      <c r="A50" s="1862"/>
      <c r="B50" s="995" t="s">
        <v>1850</v>
      </c>
      <c r="C50" s="995" t="s">
        <v>29</v>
      </c>
      <c r="D50" s="1908"/>
      <c r="E50" s="1010" t="s">
        <v>2279</v>
      </c>
      <c r="F50" s="1010" t="s">
        <v>2278</v>
      </c>
      <c r="G50" s="1015" t="s">
        <v>2248</v>
      </c>
      <c r="H50" s="1015">
        <v>3000</v>
      </c>
      <c r="I50" s="995" t="s">
        <v>2178</v>
      </c>
      <c r="J50" s="995" t="s">
        <v>2178</v>
      </c>
      <c r="K50" s="995" t="s">
        <v>2178</v>
      </c>
      <c r="L50" s="995" t="s">
        <v>35</v>
      </c>
      <c r="M50" s="995" t="s">
        <v>36</v>
      </c>
      <c r="N50" s="992">
        <v>45112</v>
      </c>
      <c r="O50" s="992">
        <v>45134</v>
      </c>
      <c r="P50" s="992">
        <v>45132</v>
      </c>
      <c r="Q50" s="992">
        <f t="shared" si="4"/>
        <v>45112</v>
      </c>
      <c r="R50" s="995"/>
      <c r="S50" s="995" t="s">
        <v>1216</v>
      </c>
      <c r="T50" s="1011">
        <v>2124.723714264157</v>
      </c>
      <c r="U50" s="1011">
        <v>2988.5119572315875</v>
      </c>
      <c r="V50" s="1011">
        <v>184.81495655310852</v>
      </c>
      <c r="W50" s="1011"/>
      <c r="X50" s="1011"/>
      <c r="Y50" s="1011"/>
      <c r="Z50" s="1000"/>
      <c r="AA50" s="1011">
        <v>14.94255978615794</v>
      </c>
      <c r="AB50" s="1011">
        <v>14.867846987227152</v>
      </c>
      <c r="AC50" s="1011">
        <v>14.793507752291017</v>
      </c>
      <c r="AD50" s="995"/>
      <c r="AE50" s="995" t="s">
        <v>2287</v>
      </c>
      <c r="AF50" s="995"/>
      <c r="AG50" s="995"/>
      <c r="AH50" s="995"/>
      <c r="AI50" s="995"/>
      <c r="AJ50" s="995"/>
      <c r="AK50" s="995"/>
      <c r="AL50" s="995"/>
      <c r="AM50" s="995"/>
    </row>
    <row r="51" spans="1:40" ht="15" customHeight="1">
      <c r="A51" s="1862"/>
      <c r="B51" s="1029" t="s">
        <v>1850</v>
      </c>
      <c r="C51" s="1029" t="s">
        <v>29</v>
      </c>
      <c r="D51" s="1908"/>
      <c r="E51" s="1030" t="s">
        <v>2280</v>
      </c>
      <c r="F51" s="1030" t="s">
        <v>2278</v>
      </c>
      <c r="G51" s="1029" t="s">
        <v>2248</v>
      </c>
      <c r="H51" s="1029">
        <v>37102</v>
      </c>
      <c r="I51" s="1029" t="s">
        <v>2178</v>
      </c>
      <c r="J51" s="1029" t="s">
        <v>2178</v>
      </c>
      <c r="K51" s="1029" t="s">
        <v>2178</v>
      </c>
      <c r="L51" s="1029" t="s">
        <v>35</v>
      </c>
      <c r="M51" s="1029" t="s">
        <v>36</v>
      </c>
      <c r="N51" s="1031">
        <v>45112</v>
      </c>
      <c r="O51" s="1031">
        <v>45134</v>
      </c>
      <c r="P51" s="1031">
        <v>45132</v>
      </c>
      <c r="Q51" s="1031">
        <f t="shared" si="4"/>
        <v>45112</v>
      </c>
      <c r="R51" s="1029"/>
      <c r="S51" s="1029" t="s">
        <v>1216</v>
      </c>
      <c r="T51" s="1032">
        <v>1994.3485022265618</v>
      </c>
      <c r="U51" s="1032">
        <v>2818.3979572366561</v>
      </c>
      <c r="V51" s="1032">
        <v>175.23893475364281</v>
      </c>
      <c r="W51" s="1032"/>
      <c r="X51" s="1032"/>
      <c r="Y51" s="1032"/>
      <c r="Z51" s="1032"/>
      <c r="AA51" s="1032">
        <v>14.09198978618328</v>
      </c>
      <c r="AB51" s="1032">
        <v>14.021529837252364</v>
      </c>
      <c r="AC51" s="1032">
        <v>13.951422188066104</v>
      </c>
      <c r="AD51" s="1029"/>
      <c r="AE51" s="1029" t="s">
        <v>2287</v>
      </c>
      <c r="AF51" s="1029"/>
      <c r="AG51" s="1029"/>
      <c r="AH51" s="1029"/>
      <c r="AI51" s="1029"/>
      <c r="AJ51" s="1029"/>
      <c r="AK51" s="1029"/>
      <c r="AL51" s="1029"/>
      <c r="AM51" s="1029"/>
    </row>
    <row r="52" spans="1:40" s="1017" customFormat="1" ht="16.5" thickBot="1">
      <c r="A52" s="1862"/>
      <c r="B52" s="1089" t="s">
        <v>1850</v>
      </c>
      <c r="C52" s="1089" t="s">
        <v>29</v>
      </c>
      <c r="D52" s="1908"/>
      <c r="E52" s="1090" t="s">
        <v>2281</v>
      </c>
      <c r="F52" s="1090" t="s">
        <v>2278</v>
      </c>
      <c r="G52" s="1089" t="s">
        <v>2248</v>
      </c>
      <c r="H52" s="1089">
        <v>3000</v>
      </c>
      <c r="I52" s="1089" t="s">
        <v>2178</v>
      </c>
      <c r="J52" s="1089" t="s">
        <v>2178</v>
      </c>
      <c r="K52" s="1089" t="s">
        <v>2178</v>
      </c>
      <c r="L52" s="1089" t="s">
        <v>35</v>
      </c>
      <c r="M52" s="1089" t="s">
        <v>36</v>
      </c>
      <c r="N52" s="1091">
        <v>45112</v>
      </c>
      <c r="O52" s="1091">
        <v>45134</v>
      </c>
      <c r="P52" s="1091">
        <v>45132</v>
      </c>
      <c r="Q52" s="1091">
        <f t="shared" si="4"/>
        <v>45112</v>
      </c>
      <c r="R52" s="1089"/>
      <c r="S52" s="1089" t="s">
        <v>1216</v>
      </c>
      <c r="T52" s="1092">
        <v>2056.0021354924606</v>
      </c>
      <c r="U52" s="1092">
        <v>2882.2983676668614</v>
      </c>
      <c r="V52" s="1092">
        <v>176.4720074189608</v>
      </c>
      <c r="W52" s="1092"/>
      <c r="X52" s="1092"/>
      <c r="Y52" s="1092"/>
      <c r="Z52" s="1092"/>
      <c r="AA52" s="1092">
        <v>14.41149183833431</v>
      </c>
      <c r="AB52" s="1092">
        <v>14.339434379142638</v>
      </c>
      <c r="AC52" s="1092">
        <v>14.267737207246924</v>
      </c>
      <c r="AD52" s="1089"/>
      <c r="AE52" s="1089" t="s">
        <v>2287</v>
      </c>
      <c r="AF52" s="1089"/>
      <c r="AG52" s="1089"/>
      <c r="AH52" s="1089"/>
      <c r="AI52" s="1089"/>
      <c r="AJ52" s="1089"/>
      <c r="AK52" s="1089"/>
      <c r="AL52" s="1089"/>
      <c r="AM52" s="1089"/>
    </row>
    <row r="53" spans="1:40" s="1017" customFormat="1">
      <c r="A53" s="1885">
        <v>27</v>
      </c>
      <c r="B53" s="1882" t="s">
        <v>1850</v>
      </c>
      <c r="C53" s="1882" t="s">
        <v>29</v>
      </c>
      <c r="D53" s="1888" t="s">
        <v>2288</v>
      </c>
      <c r="E53" s="938" t="s">
        <v>2171</v>
      </c>
      <c r="F53" s="1888" t="s">
        <v>2175</v>
      </c>
      <c r="G53" s="1882" t="s">
        <v>452</v>
      </c>
      <c r="H53" s="937">
        <v>160410</v>
      </c>
      <c r="I53" s="1879" t="s">
        <v>34</v>
      </c>
      <c r="J53" s="1879" t="s">
        <v>34</v>
      </c>
      <c r="K53" s="1879" t="s">
        <v>34</v>
      </c>
      <c r="L53" s="1879" t="s">
        <v>35</v>
      </c>
      <c r="M53" s="1879" t="s">
        <v>36</v>
      </c>
      <c r="N53" s="1896">
        <v>45077</v>
      </c>
      <c r="O53" s="1896">
        <v>45091</v>
      </c>
      <c r="P53" s="1896"/>
      <c r="Q53" s="1896">
        <v>45077</v>
      </c>
      <c r="R53" s="1896">
        <v>45082</v>
      </c>
      <c r="S53" s="1879" t="s">
        <v>1216</v>
      </c>
      <c r="T53" s="1093">
        <v>417.71014971050681</v>
      </c>
      <c r="U53" s="1094">
        <v>552.62782122063652</v>
      </c>
      <c r="V53" s="1093">
        <v>30.685573428933854</v>
      </c>
      <c r="W53" s="1093">
        <v>323.83472287412502</v>
      </c>
      <c r="X53" s="978">
        <v>81.900000000000006</v>
      </c>
      <c r="Y53" s="1093">
        <v>23.278192900000001</v>
      </c>
      <c r="Z53" s="1049">
        <f t="shared" ref="Z53:Z56" si="6">(H53*U53)/10^7</f>
        <v>8.8647028802002303</v>
      </c>
      <c r="AA53" s="1095">
        <v>9.99</v>
      </c>
      <c r="AB53" s="1095">
        <v>9.8000000000000007</v>
      </c>
      <c r="AC53" s="1095">
        <v>7.8</v>
      </c>
      <c r="AD53" s="978" t="s">
        <v>2298</v>
      </c>
      <c r="AE53" s="978" t="s">
        <v>2295</v>
      </c>
      <c r="AF53" s="978">
        <v>525.66554950547857</v>
      </c>
      <c r="AG53" s="978">
        <v>305.02419060970243</v>
      </c>
      <c r="AH53" s="978">
        <v>77.142688681488181</v>
      </c>
      <c r="AI53" s="978">
        <v>21.926036482934418</v>
      </c>
      <c r="AJ53" s="1095">
        <v>9.99</v>
      </c>
      <c r="AK53" s="1095">
        <v>9.8000000000000007</v>
      </c>
      <c r="AL53" s="1095">
        <v>7.8</v>
      </c>
      <c r="AM53" s="1893" t="s">
        <v>2189</v>
      </c>
      <c r="AN53" s="1053"/>
    </row>
    <row r="54" spans="1:40" s="1017" customFormat="1">
      <c r="A54" s="1886"/>
      <c r="B54" s="1883"/>
      <c r="C54" s="1883"/>
      <c r="D54" s="1889"/>
      <c r="E54" s="1064" t="s">
        <v>2172</v>
      </c>
      <c r="F54" s="1889" t="s">
        <v>134</v>
      </c>
      <c r="G54" s="1883"/>
      <c r="H54" s="1063">
        <v>40102</v>
      </c>
      <c r="I54" s="1880"/>
      <c r="J54" s="1880"/>
      <c r="K54" s="1880"/>
      <c r="L54" s="1880"/>
      <c r="M54" s="1880"/>
      <c r="N54" s="1880"/>
      <c r="O54" s="1880"/>
      <c r="P54" s="1880"/>
      <c r="Q54" s="1880"/>
      <c r="R54" s="1880"/>
      <c r="S54" s="1880"/>
      <c r="T54" s="1096">
        <v>446.07165529724563</v>
      </c>
      <c r="U54" s="1097">
        <v>595.02111512743295</v>
      </c>
      <c r="V54" s="1096">
        <v>33.829442053717401</v>
      </c>
      <c r="W54" s="1096">
        <v>12.861910560000002</v>
      </c>
      <c r="X54" s="1096">
        <v>3</v>
      </c>
      <c r="Y54" s="1096">
        <v>0</v>
      </c>
      <c r="Z54" s="1081">
        <f t="shared" si="6"/>
        <v>2.3861536758840316</v>
      </c>
      <c r="AA54" s="1098">
        <v>10.79</v>
      </c>
      <c r="AB54" s="1098">
        <v>10.59</v>
      </c>
      <c r="AC54" s="1098">
        <v>7.65</v>
      </c>
      <c r="AD54" s="1069" t="s">
        <v>2298</v>
      </c>
      <c r="AE54" s="1069" t="s">
        <v>2295</v>
      </c>
      <c r="AF54" s="1069">
        <v>567.93732314206318</v>
      </c>
      <c r="AG54" s="1069">
        <v>12.115912297657006</v>
      </c>
      <c r="AH54" s="1069">
        <v>2.8259982623429947</v>
      </c>
      <c r="AI54" s="1069">
        <v>0</v>
      </c>
      <c r="AJ54" s="1098">
        <v>10.79</v>
      </c>
      <c r="AK54" s="1098">
        <v>10.59</v>
      </c>
      <c r="AL54" s="1098">
        <v>7.65</v>
      </c>
      <c r="AM54" s="1894"/>
      <c r="AN54" s="1053"/>
    </row>
    <row r="55" spans="1:40" s="1017" customFormat="1">
      <c r="A55" s="1886"/>
      <c r="B55" s="1883"/>
      <c r="C55" s="1883"/>
      <c r="D55" s="1889"/>
      <c r="E55" s="1064" t="s">
        <v>2173</v>
      </c>
      <c r="F55" s="1889" t="s">
        <v>131</v>
      </c>
      <c r="G55" s="1883"/>
      <c r="H55" s="1063">
        <v>160410</v>
      </c>
      <c r="I55" s="1880"/>
      <c r="J55" s="1880"/>
      <c r="K55" s="1880"/>
      <c r="L55" s="1880"/>
      <c r="M55" s="1880"/>
      <c r="N55" s="1880"/>
      <c r="O55" s="1880"/>
      <c r="P55" s="1880"/>
      <c r="Q55" s="1880"/>
      <c r="R55" s="1880"/>
      <c r="S55" s="1880"/>
      <c r="T55" s="1096">
        <v>417.70876638928809</v>
      </c>
      <c r="U55" s="1097">
        <v>552.62631924599725</v>
      </c>
      <c r="V55" s="1096">
        <v>30.685545762509484</v>
      </c>
      <c r="W55" s="1096">
        <v>306.00678174412502</v>
      </c>
      <c r="X55" s="1069">
        <v>74.900000000000006</v>
      </c>
      <c r="Y55" s="1096">
        <v>23.278192900000001</v>
      </c>
      <c r="Z55" s="1081">
        <f t="shared" si="6"/>
        <v>8.8646787870250421</v>
      </c>
      <c r="AA55" s="1098">
        <v>9.99</v>
      </c>
      <c r="AB55" s="1098">
        <v>9.8000000000000007</v>
      </c>
      <c r="AC55" s="1098">
        <v>7.8</v>
      </c>
      <c r="AD55" s="1069" t="s">
        <v>2298</v>
      </c>
      <c r="AE55" s="1069" t="s">
        <v>2295</v>
      </c>
      <c r="AF55" s="1069">
        <v>525.6640475308393</v>
      </c>
      <c r="AG55" s="1069">
        <v>288.23017032585471</v>
      </c>
      <c r="AH55" s="1069">
        <v>70.5488931792963</v>
      </c>
      <c r="AI55" s="1069">
        <v>21.925911138974016</v>
      </c>
      <c r="AJ55" s="1098">
        <v>9.99</v>
      </c>
      <c r="AK55" s="1098">
        <v>9.8000000000000007</v>
      </c>
      <c r="AL55" s="1098">
        <v>7.8</v>
      </c>
      <c r="AM55" s="1894"/>
      <c r="AN55" s="1053"/>
    </row>
    <row r="56" spans="1:40" s="1017" customFormat="1" ht="16.5" thickBot="1">
      <c r="A56" s="1887"/>
      <c r="B56" s="1884"/>
      <c r="C56" s="1884"/>
      <c r="D56" s="1890"/>
      <c r="E56" s="1072" t="s">
        <v>2174</v>
      </c>
      <c r="F56" s="1890" t="s">
        <v>131</v>
      </c>
      <c r="G56" s="1884"/>
      <c r="H56" s="1071">
        <v>40102</v>
      </c>
      <c r="I56" s="1881"/>
      <c r="J56" s="1881"/>
      <c r="K56" s="1881"/>
      <c r="L56" s="1881"/>
      <c r="M56" s="1881"/>
      <c r="N56" s="1881"/>
      <c r="O56" s="1881"/>
      <c r="P56" s="1881"/>
      <c r="Q56" s="1881"/>
      <c r="R56" s="1881"/>
      <c r="S56" s="1881"/>
      <c r="T56" s="1099">
        <v>446.0702719760269</v>
      </c>
      <c r="U56" s="1100">
        <v>595.01961315279357</v>
      </c>
      <c r="V56" s="1099">
        <v>33.829414387293035</v>
      </c>
      <c r="W56" s="1099">
        <v>12.861910560000002</v>
      </c>
      <c r="X56" s="1099">
        <v>3</v>
      </c>
      <c r="Y56" s="1099">
        <v>0</v>
      </c>
      <c r="Z56" s="1085">
        <f t="shared" si="6"/>
        <v>2.3861476526653327</v>
      </c>
      <c r="AA56" s="1101">
        <v>10.79</v>
      </c>
      <c r="AB56" s="1101">
        <v>10.59</v>
      </c>
      <c r="AC56" s="1101">
        <v>7.65</v>
      </c>
      <c r="AD56" s="1077" t="s">
        <v>2298</v>
      </c>
      <c r="AE56" s="1077" t="s">
        <v>2295</v>
      </c>
      <c r="AF56" s="1077">
        <v>567.9358211674238</v>
      </c>
      <c r="AG56" s="1077">
        <v>12.115912297657006</v>
      </c>
      <c r="AH56" s="1077">
        <v>2.8259982623429947</v>
      </c>
      <c r="AI56" s="1077">
        <v>0</v>
      </c>
      <c r="AJ56" s="1101">
        <v>10.79</v>
      </c>
      <c r="AK56" s="1101">
        <v>10.59</v>
      </c>
      <c r="AL56" s="1101">
        <v>7.65</v>
      </c>
      <c r="AM56" s="1895"/>
      <c r="AN56" s="1053"/>
    </row>
    <row r="57" spans="1:40" s="1017" customFormat="1" ht="16.5" thickBot="1">
      <c r="A57" s="1054">
        <v>28</v>
      </c>
      <c r="B57" s="1055" t="s">
        <v>1850</v>
      </c>
      <c r="C57" s="1055" t="s">
        <v>29</v>
      </c>
      <c r="D57" s="1056" t="s">
        <v>2290</v>
      </c>
      <c r="E57" s="1057" t="s">
        <v>2179</v>
      </c>
      <c r="F57" s="1056" t="s">
        <v>2177</v>
      </c>
      <c r="G57" s="1055" t="s">
        <v>452</v>
      </c>
      <c r="H57" s="1055">
        <v>50128</v>
      </c>
      <c r="I57" s="1057" t="s">
        <v>34</v>
      </c>
      <c r="J57" s="1057" t="s">
        <v>34</v>
      </c>
      <c r="K57" s="1057" t="s">
        <v>34</v>
      </c>
      <c r="L57" s="1057" t="s">
        <v>35</v>
      </c>
      <c r="M57" s="1057" t="s">
        <v>36</v>
      </c>
      <c r="N57" s="1057"/>
      <c r="O57" s="1057"/>
      <c r="P57" s="1057"/>
      <c r="Q57" s="1057"/>
      <c r="R57" s="1057"/>
      <c r="S57" s="1057" t="s">
        <v>1216</v>
      </c>
      <c r="T57" s="1058">
        <v>273.85410307440009</v>
      </c>
      <c r="U57" s="1058">
        <v>399.61202903805497</v>
      </c>
      <c r="V57" s="1058">
        <v>27.216684565647974</v>
      </c>
      <c r="W57" s="1058">
        <v>154.59131754989997</v>
      </c>
      <c r="X57" s="1058">
        <v>52.15</v>
      </c>
      <c r="Y57" s="1058">
        <v>14.069729200000001</v>
      </c>
      <c r="Z57" s="1059">
        <f t="shared" ref="Z57:Z61" si="7">(H57*U57)/10^7</f>
        <v>2.0031751791619623</v>
      </c>
      <c r="AA57" s="1058">
        <v>1.9980601451902746</v>
      </c>
      <c r="AB57" s="1058">
        <v>1.9880698444643232</v>
      </c>
      <c r="AC57" s="1058">
        <v>1.9781294952420014</v>
      </c>
      <c r="AD57" s="1057" t="s">
        <v>2298</v>
      </c>
      <c r="AE57" s="1058" t="s">
        <v>2295</v>
      </c>
      <c r="AF57" s="1060">
        <v>363.58530607361229</v>
      </c>
      <c r="AG57" s="1058">
        <v>145.61594824587027</v>
      </c>
      <c r="AH57" s="1058">
        <v>49.122239342910937</v>
      </c>
      <c r="AI57" s="1058">
        <v>13.252859161118753</v>
      </c>
      <c r="AJ57" s="742">
        <v>6.91</v>
      </c>
      <c r="AK57" s="742">
        <v>6.78</v>
      </c>
      <c r="AL57" s="742">
        <v>4.9000000000000004</v>
      </c>
      <c r="AM57" s="1061" t="s">
        <v>2189</v>
      </c>
      <c r="AN57" s="1053"/>
    </row>
    <row r="58" spans="1:40" s="1017" customFormat="1" ht="15" customHeight="1">
      <c r="A58" s="1876">
        <v>29</v>
      </c>
      <c r="B58" s="839" t="s">
        <v>1850</v>
      </c>
      <c r="C58" s="1867" t="s">
        <v>29</v>
      </c>
      <c r="D58" s="1870" t="s">
        <v>2289</v>
      </c>
      <c r="E58" s="938" t="s">
        <v>2180</v>
      </c>
      <c r="F58" s="919" t="s">
        <v>2183</v>
      </c>
      <c r="G58" s="1867" t="s">
        <v>452</v>
      </c>
      <c r="H58" s="839">
        <v>37102</v>
      </c>
      <c r="I58" s="1867" t="s">
        <v>2178</v>
      </c>
      <c r="J58" s="1867" t="s">
        <v>34</v>
      </c>
      <c r="K58" s="1867" t="s">
        <v>34</v>
      </c>
      <c r="L58" s="1867" t="s">
        <v>35</v>
      </c>
      <c r="M58" s="1867" t="s">
        <v>36</v>
      </c>
      <c r="N58" s="1867"/>
      <c r="O58" s="1867"/>
      <c r="P58" s="1867"/>
      <c r="Q58" s="1867"/>
      <c r="R58" s="1867"/>
      <c r="S58" s="1867" t="s">
        <v>1216</v>
      </c>
      <c r="T58" s="1049">
        <v>622.68382566181856</v>
      </c>
      <c r="U58" s="1049">
        <v>917.23372960589222</v>
      </c>
      <c r="V58" s="1049">
        <v>62.06467569689994</v>
      </c>
      <c r="W58" s="1049">
        <v>522.38761583373753</v>
      </c>
      <c r="X58" s="1049">
        <v>240.5</v>
      </c>
      <c r="Y58" s="1049">
        <v>52.67137348</v>
      </c>
      <c r="Z58" s="1049">
        <f t="shared" si="7"/>
        <v>3.4031205835837812</v>
      </c>
      <c r="AA58" s="1049">
        <v>6.8792529720441911</v>
      </c>
      <c r="AB58" s="1049">
        <v>6.8276585747538592</v>
      </c>
      <c r="AC58" s="1049">
        <v>6.7764511354432058</v>
      </c>
      <c r="AD58" s="839" t="s">
        <v>2298</v>
      </c>
      <c r="AE58" s="978" t="s">
        <v>2295</v>
      </c>
      <c r="AF58" s="959">
        <v>841.99423970221358</v>
      </c>
      <c r="AG58" s="1049">
        <v>468.0754942390061</v>
      </c>
      <c r="AH58" s="1049">
        <v>218.52272218365832</v>
      </c>
      <c r="AI58" s="1049">
        <v>44.822485297395637</v>
      </c>
      <c r="AJ58" s="839">
        <v>16</v>
      </c>
      <c r="AK58" s="839">
        <v>15.69</v>
      </c>
      <c r="AL58" s="839">
        <v>11.34</v>
      </c>
      <c r="AM58" s="1873" t="s">
        <v>2189</v>
      </c>
      <c r="AN58" s="1053"/>
    </row>
    <row r="59" spans="1:40" s="1017" customFormat="1">
      <c r="A59" s="1877"/>
      <c r="B59" s="1079" t="s">
        <v>1850</v>
      </c>
      <c r="C59" s="1868"/>
      <c r="D59" s="1871"/>
      <c r="E59" s="1064" t="s">
        <v>2181</v>
      </c>
      <c r="F59" s="1080" t="s">
        <v>2183</v>
      </c>
      <c r="G59" s="1868"/>
      <c r="H59" s="1079">
        <v>3000</v>
      </c>
      <c r="I59" s="1868"/>
      <c r="J59" s="1868"/>
      <c r="K59" s="1868"/>
      <c r="L59" s="1868"/>
      <c r="M59" s="1868"/>
      <c r="N59" s="1868"/>
      <c r="O59" s="1868"/>
      <c r="P59" s="1868"/>
      <c r="Q59" s="1868"/>
      <c r="R59" s="1868"/>
      <c r="S59" s="1868"/>
      <c r="T59" s="1081">
        <v>691.21725400201592</v>
      </c>
      <c r="U59" s="1081">
        <v>988.11213677923229</v>
      </c>
      <c r="V59" s="1081">
        <v>63.435344263703882</v>
      </c>
      <c r="W59" s="1081"/>
      <c r="X59" s="1081"/>
      <c r="Y59" s="1081"/>
      <c r="Z59" s="1081">
        <f t="shared" si="7"/>
        <v>0.29643364103376968</v>
      </c>
      <c r="AA59" s="1081">
        <v>7.4108410258442419</v>
      </c>
      <c r="AB59" s="1081">
        <v>7.3552597181504105</v>
      </c>
      <c r="AC59" s="1081">
        <v>7.3000952702642827</v>
      </c>
      <c r="AD59" s="1079" t="s">
        <v>2298</v>
      </c>
      <c r="AE59" s="1069" t="s">
        <v>2295</v>
      </c>
      <c r="AF59" s="1082">
        <v>909.12408148356349</v>
      </c>
      <c r="AG59" s="1081">
        <v>0</v>
      </c>
      <c r="AH59" s="1081"/>
      <c r="AI59" s="1081">
        <v>0</v>
      </c>
      <c r="AJ59" s="1079">
        <v>17.27</v>
      </c>
      <c r="AK59" s="1079">
        <v>16.95</v>
      </c>
      <c r="AL59" s="1079">
        <v>12.25</v>
      </c>
      <c r="AM59" s="1874"/>
      <c r="AN59" s="1053"/>
    </row>
    <row r="60" spans="1:40" s="1017" customFormat="1" ht="16.5" thickBot="1">
      <c r="A60" s="1878"/>
      <c r="B60" s="1083" t="s">
        <v>1850</v>
      </c>
      <c r="C60" s="1869"/>
      <c r="D60" s="1872"/>
      <c r="E60" s="1072" t="s">
        <v>2182</v>
      </c>
      <c r="F60" s="1084" t="s">
        <v>2183</v>
      </c>
      <c r="G60" s="1869"/>
      <c r="H60" s="1083">
        <v>50128</v>
      </c>
      <c r="I60" s="1869"/>
      <c r="J60" s="1869"/>
      <c r="K60" s="1869"/>
      <c r="L60" s="1869"/>
      <c r="M60" s="1869"/>
      <c r="N60" s="1869"/>
      <c r="O60" s="1869"/>
      <c r="P60" s="1869"/>
      <c r="Q60" s="1869"/>
      <c r="R60" s="1869"/>
      <c r="S60" s="1869"/>
      <c r="T60" s="1085">
        <v>633.53013692566265</v>
      </c>
      <c r="U60" s="1085">
        <v>923.41192039689088</v>
      </c>
      <c r="V60" s="1085">
        <v>61.249973785836353</v>
      </c>
      <c r="W60" s="1085">
        <v>243.73982496228751</v>
      </c>
      <c r="X60" s="1085">
        <v>27</v>
      </c>
      <c r="Y60" s="1085"/>
      <c r="Z60" s="1085">
        <f t="shared" si="7"/>
        <v>4.6288792745655343</v>
      </c>
      <c r="AA60" s="1086">
        <v>6.9255894029766809</v>
      </c>
      <c r="AB60" s="1086">
        <v>6.8736474824543556</v>
      </c>
      <c r="AC60" s="1086">
        <v>6.8220951263359479</v>
      </c>
      <c r="AD60" s="1083" t="s">
        <v>2298</v>
      </c>
      <c r="AE60" s="1077" t="s">
        <v>2295</v>
      </c>
      <c r="AF60" s="1087">
        <v>855.94527120014379</v>
      </c>
      <c r="AG60" s="1085">
        <v>218.16587910252707</v>
      </c>
      <c r="AH60" s="1085">
        <v>21.664008521982968</v>
      </c>
      <c r="AI60" s="1085">
        <v>0</v>
      </c>
      <c r="AJ60" s="1083">
        <v>16.260000000000002</v>
      </c>
      <c r="AK60" s="1083">
        <v>15.95</v>
      </c>
      <c r="AL60" s="1083">
        <v>11.53</v>
      </c>
      <c r="AM60" s="1875"/>
      <c r="AN60" s="1053"/>
    </row>
    <row r="61" spans="1:40" s="1017" customFormat="1">
      <c r="A61" s="1876">
        <v>30</v>
      </c>
      <c r="B61" s="839" t="s">
        <v>1850</v>
      </c>
      <c r="C61" s="1867" t="s">
        <v>29</v>
      </c>
      <c r="D61" s="1870" t="s">
        <v>2291</v>
      </c>
      <c r="E61" s="839" t="s">
        <v>2185</v>
      </c>
      <c r="F61" s="919" t="s">
        <v>2184</v>
      </c>
      <c r="G61" s="1867" t="s">
        <v>452</v>
      </c>
      <c r="H61" s="839">
        <v>92000</v>
      </c>
      <c r="I61" s="1867" t="s">
        <v>34</v>
      </c>
      <c r="J61" s="1867" t="s">
        <v>34</v>
      </c>
      <c r="K61" s="1867" t="s">
        <v>34</v>
      </c>
      <c r="L61" s="1867" t="s">
        <v>35</v>
      </c>
      <c r="M61" s="1867" t="s">
        <v>36</v>
      </c>
      <c r="N61" s="1867"/>
      <c r="O61" s="1867"/>
      <c r="P61" s="1867"/>
      <c r="Q61" s="1867"/>
      <c r="R61" s="1867"/>
      <c r="S61" s="1867" t="s">
        <v>1216</v>
      </c>
      <c r="T61" s="959">
        <v>406.24181513397463</v>
      </c>
      <c r="U61" s="1049">
        <v>590.90997186600111</v>
      </c>
      <c r="V61" s="1049">
        <v>40.369990689708253</v>
      </c>
      <c r="W61" s="1049">
        <v>348.9495144828</v>
      </c>
      <c r="X61" s="839">
        <v>144.75</v>
      </c>
      <c r="Y61" s="839">
        <v>52.817</v>
      </c>
      <c r="Z61" s="1049">
        <f t="shared" si="7"/>
        <v>5.4363717411672097</v>
      </c>
      <c r="AA61" s="1049">
        <v>2.954549859330005</v>
      </c>
      <c r="AB61" s="1049">
        <v>2.9397771100333552</v>
      </c>
      <c r="AC61" s="1049">
        <v>2.9250782244831885</v>
      </c>
      <c r="AD61" s="839" t="s">
        <v>2298</v>
      </c>
      <c r="AE61" s="978" t="s">
        <v>2295</v>
      </c>
      <c r="AF61" s="959">
        <v>520.92779925141997</v>
      </c>
      <c r="AG61" s="1062">
        <v>328.6772138455288</v>
      </c>
      <c r="AH61" s="1062">
        <v>136.34071614816747</v>
      </c>
      <c r="AI61" s="1062">
        <v>49.748584489103706</v>
      </c>
      <c r="AJ61" s="839">
        <v>9.9</v>
      </c>
      <c r="AK61" s="839">
        <v>9.7100000000000009</v>
      </c>
      <c r="AL61" s="839">
        <v>7.02</v>
      </c>
      <c r="AM61" s="1864">
        <v>45839</v>
      </c>
      <c r="AN61" s="1053"/>
    </row>
    <row r="62" spans="1:40" s="1017" customFormat="1">
      <c r="A62" s="1877"/>
      <c r="B62" s="1079" t="s">
        <v>1850</v>
      </c>
      <c r="C62" s="1868"/>
      <c r="D62" s="1871"/>
      <c r="E62" s="1079" t="s">
        <v>2186</v>
      </c>
      <c r="F62" s="1080" t="s">
        <v>2184</v>
      </c>
      <c r="G62" s="1868"/>
      <c r="H62" s="1079">
        <v>15282</v>
      </c>
      <c r="I62" s="1868"/>
      <c r="J62" s="1868"/>
      <c r="K62" s="1868"/>
      <c r="L62" s="1868"/>
      <c r="M62" s="1868"/>
      <c r="N62" s="1868"/>
      <c r="O62" s="1868"/>
      <c r="P62" s="1868"/>
      <c r="Q62" s="1868"/>
      <c r="R62" s="1868"/>
      <c r="S62" s="1868"/>
      <c r="T62" s="1082">
        <v>564.36876265825185</v>
      </c>
      <c r="U62" s="1081">
        <v>813.15047280598947</v>
      </c>
      <c r="V62" s="1081">
        <v>55.207437316750884</v>
      </c>
      <c r="W62" s="1081">
        <v>65.592417252862489</v>
      </c>
      <c r="X62" s="1079">
        <v>14</v>
      </c>
      <c r="Y62" s="1079"/>
      <c r="Z62" s="1079"/>
      <c r="AA62" s="1081">
        <v>4.0657523640299473</v>
      </c>
      <c r="AB62" s="1081">
        <v>4.0454236022097971</v>
      </c>
      <c r="AC62" s="1081">
        <v>4.0251964841987489</v>
      </c>
      <c r="AD62" s="1079" t="s">
        <v>2298</v>
      </c>
      <c r="AE62" s="1069" t="s">
        <v>2295</v>
      </c>
      <c r="AF62" s="1082">
        <v>734.00788845324826</v>
      </c>
      <c r="AG62" s="1088">
        <v>61.785057479562909</v>
      </c>
      <c r="AH62" s="1088">
        <v>13.187359773299589</v>
      </c>
      <c r="AI62" s="1088">
        <v>0</v>
      </c>
      <c r="AJ62" s="1079">
        <v>13.95</v>
      </c>
      <c r="AK62" s="1079">
        <v>13.68</v>
      </c>
      <c r="AL62" s="1079">
        <v>9.98</v>
      </c>
      <c r="AM62" s="1865"/>
      <c r="AN62" s="1053"/>
    </row>
    <row r="63" spans="1:40" s="1017" customFormat="1">
      <c r="A63" s="1877"/>
      <c r="B63" s="1079" t="s">
        <v>1850</v>
      </c>
      <c r="C63" s="1868"/>
      <c r="D63" s="1871"/>
      <c r="E63" s="1079" t="s">
        <v>2187</v>
      </c>
      <c r="F63" s="1080" t="s">
        <v>2184</v>
      </c>
      <c r="G63" s="1868"/>
      <c r="H63" s="1079">
        <v>2400</v>
      </c>
      <c r="I63" s="1868"/>
      <c r="J63" s="1868"/>
      <c r="K63" s="1868"/>
      <c r="L63" s="1868"/>
      <c r="M63" s="1868"/>
      <c r="N63" s="1868"/>
      <c r="O63" s="1868"/>
      <c r="P63" s="1868"/>
      <c r="Q63" s="1868"/>
      <c r="R63" s="1868"/>
      <c r="S63" s="1868"/>
      <c r="T63" s="1082">
        <v>439.19831089307456</v>
      </c>
      <c r="U63" s="1081">
        <v>625.08696293641992</v>
      </c>
      <c r="V63" s="1081">
        <v>41.029120604890252</v>
      </c>
      <c r="W63" s="1081"/>
      <c r="X63" s="1079"/>
      <c r="Y63" s="1079"/>
      <c r="Z63" s="1079"/>
      <c r="AA63" s="1081">
        <v>3.1254348146820998</v>
      </c>
      <c r="AB63" s="1081">
        <v>3.1098076406086892</v>
      </c>
      <c r="AC63" s="1081">
        <v>3.0942586024056458</v>
      </c>
      <c r="AD63" s="1079" t="s">
        <v>2298</v>
      </c>
      <c r="AE63" s="1069" t="s">
        <v>2295</v>
      </c>
      <c r="AF63" s="1082">
        <v>554.29916891078301</v>
      </c>
      <c r="AG63" s="1079">
        <v>0</v>
      </c>
      <c r="AH63" s="1079">
        <v>0</v>
      </c>
      <c r="AI63" s="1079">
        <v>0</v>
      </c>
      <c r="AJ63" s="1079">
        <v>10.53</v>
      </c>
      <c r="AK63" s="1079">
        <v>10.33</v>
      </c>
      <c r="AL63" s="1079">
        <v>7.47</v>
      </c>
      <c r="AM63" s="1865"/>
      <c r="AN63" s="1053"/>
    </row>
    <row r="64" spans="1:40" s="1017" customFormat="1" ht="16.5" thickBot="1">
      <c r="A64" s="1878"/>
      <c r="B64" s="1083" t="s">
        <v>1850</v>
      </c>
      <c r="C64" s="1869"/>
      <c r="D64" s="1872"/>
      <c r="E64" s="1083" t="s">
        <v>2188</v>
      </c>
      <c r="F64" s="1084" t="s">
        <v>2184</v>
      </c>
      <c r="G64" s="1869"/>
      <c r="H64" s="1083">
        <v>600</v>
      </c>
      <c r="I64" s="1869"/>
      <c r="J64" s="1869"/>
      <c r="K64" s="1869"/>
      <c r="L64" s="1869"/>
      <c r="M64" s="1869"/>
      <c r="N64" s="1869"/>
      <c r="O64" s="1869"/>
      <c r="P64" s="1869"/>
      <c r="Q64" s="1869"/>
      <c r="R64" s="1869"/>
      <c r="S64" s="1869"/>
      <c r="T64" s="1087">
        <v>598.77773492779988</v>
      </c>
      <c r="U64" s="1085">
        <v>848.83214672760346</v>
      </c>
      <c r="V64" s="1085">
        <v>55.895616762141842</v>
      </c>
      <c r="W64" s="1085"/>
      <c r="X64" s="1083"/>
      <c r="Y64" s="1083"/>
      <c r="Z64" s="1083"/>
      <c r="AA64" s="1085">
        <v>4.2441607336380178</v>
      </c>
      <c r="AB64" s="1085">
        <v>4.2229399299698276</v>
      </c>
      <c r="AC64" s="1085">
        <v>4.2018252303199786</v>
      </c>
      <c r="AD64" s="1083" t="s">
        <v>2298</v>
      </c>
      <c r="AE64" s="1077" t="s">
        <v>2295</v>
      </c>
      <c r="AF64" s="1087">
        <v>768.92327335320658</v>
      </c>
      <c r="AG64" s="1083">
        <v>0</v>
      </c>
      <c r="AH64" s="1083">
        <v>0</v>
      </c>
      <c r="AI64" s="1083">
        <v>0</v>
      </c>
      <c r="AJ64" s="1083">
        <v>14.61</v>
      </c>
      <c r="AK64" s="1083">
        <v>14.33</v>
      </c>
      <c r="AL64" s="1083">
        <v>10.36</v>
      </c>
      <c r="AM64" s="1866"/>
      <c r="AN64" s="1053"/>
    </row>
    <row r="65" spans="1:39" ht="16.5" thickBot="1">
      <c r="A65" s="721">
        <v>31</v>
      </c>
      <c r="B65" s="717" t="s">
        <v>1850</v>
      </c>
      <c r="C65" s="717" t="s">
        <v>29</v>
      </c>
      <c r="D65" s="717"/>
      <c r="E65" s="717" t="s">
        <v>2190</v>
      </c>
      <c r="F65" s="912" t="s">
        <v>2191</v>
      </c>
      <c r="G65" s="717" t="s">
        <v>2296</v>
      </c>
      <c r="H65" s="717">
        <v>200512</v>
      </c>
      <c r="I65" s="717" t="s">
        <v>48</v>
      </c>
      <c r="J65" s="717" t="s">
        <v>48</v>
      </c>
      <c r="K65" s="717" t="s">
        <v>48</v>
      </c>
      <c r="L65" s="717" t="s">
        <v>331</v>
      </c>
      <c r="M65" s="717" t="s">
        <v>36</v>
      </c>
      <c r="N65" s="717" t="s">
        <v>2294</v>
      </c>
      <c r="O65" s="717"/>
      <c r="P65" s="717"/>
      <c r="Q65" s="717"/>
      <c r="R65" s="717"/>
      <c r="S65" s="717" t="s">
        <v>1216</v>
      </c>
      <c r="T65" s="717"/>
      <c r="U65" s="717">
        <v>2404.3000000000002</v>
      </c>
      <c r="V65" s="717">
        <v>160</v>
      </c>
      <c r="W65" s="717">
        <v>1582.27</v>
      </c>
      <c r="X65" s="717">
        <v>358</v>
      </c>
      <c r="Y65" s="717">
        <v>43.56</v>
      </c>
      <c r="Z65" s="706">
        <f t="shared" ref="Z65" si="8">(H65*U65)/10^7</f>
        <v>48.209100160000006</v>
      </c>
      <c r="AA65" s="717"/>
      <c r="AB65" s="717"/>
      <c r="AC65" s="717"/>
      <c r="AD65" s="717"/>
      <c r="AE65" s="1102" t="s">
        <v>2299</v>
      </c>
      <c r="AF65" s="717"/>
      <c r="AG65" s="717"/>
      <c r="AH65" s="717"/>
      <c r="AI65" s="717"/>
      <c r="AJ65" s="717"/>
      <c r="AK65" s="717"/>
      <c r="AL65" s="717"/>
      <c r="AM65" s="723"/>
    </row>
  </sheetData>
  <autoFilter ref="A2:AN2"/>
  <mergeCells count="90">
    <mergeCell ref="D47:D52"/>
    <mergeCell ref="D3:D4"/>
    <mergeCell ref="D27:D28"/>
    <mergeCell ref="D23:D26"/>
    <mergeCell ref="D29:D32"/>
    <mergeCell ref="D35:D45"/>
    <mergeCell ref="F1:F2"/>
    <mergeCell ref="D21:D22"/>
    <mergeCell ref="L1:L2"/>
    <mergeCell ref="A1:A2"/>
    <mergeCell ref="B1:B2"/>
    <mergeCell ref="C1:C2"/>
    <mergeCell ref="D1:D2"/>
    <mergeCell ref="E1:E2"/>
    <mergeCell ref="G1:G2"/>
    <mergeCell ref="H1:H2"/>
    <mergeCell ref="I1:I2"/>
    <mergeCell ref="J1:J2"/>
    <mergeCell ref="K1:K2"/>
    <mergeCell ref="A21:A22"/>
    <mergeCell ref="AF1:AL1"/>
    <mergeCell ref="AM1:AM2"/>
    <mergeCell ref="S1:S2"/>
    <mergeCell ref="T1:Y1"/>
    <mergeCell ref="AA1:AA2"/>
    <mergeCell ref="AB1:AB2"/>
    <mergeCell ref="AC1:AC2"/>
    <mergeCell ref="AD1:AD2"/>
    <mergeCell ref="R1:R2"/>
    <mergeCell ref="AM53:AM56"/>
    <mergeCell ref="L53:L56"/>
    <mergeCell ref="M53:M56"/>
    <mergeCell ref="N53:N56"/>
    <mergeCell ref="O53:O56"/>
    <mergeCell ref="P53:P56"/>
    <mergeCell ref="Q53:Q56"/>
    <mergeCell ref="R53:R56"/>
    <mergeCell ref="S53:S56"/>
    <mergeCell ref="M1:M2"/>
    <mergeCell ref="N1:N2"/>
    <mergeCell ref="O1:O2"/>
    <mergeCell ref="P1:P2"/>
    <mergeCell ref="Q1:Q2"/>
    <mergeCell ref="AE1:AE2"/>
    <mergeCell ref="I53:I56"/>
    <mergeCell ref="J53:J56"/>
    <mergeCell ref="K53:K56"/>
    <mergeCell ref="A61:A64"/>
    <mergeCell ref="G58:G60"/>
    <mergeCell ref="G61:G64"/>
    <mergeCell ref="I61:I64"/>
    <mergeCell ref="J61:J64"/>
    <mergeCell ref="K61:K64"/>
    <mergeCell ref="G53:G56"/>
    <mergeCell ref="A53:A56"/>
    <mergeCell ref="B53:B56"/>
    <mergeCell ref="C53:C56"/>
    <mergeCell ref="D53:D56"/>
    <mergeCell ref="F53:F56"/>
    <mergeCell ref="L61:L64"/>
    <mergeCell ref="M61:M64"/>
    <mergeCell ref="N61:N64"/>
    <mergeCell ref="A58:A60"/>
    <mergeCell ref="I58:I60"/>
    <mergeCell ref="J58:J60"/>
    <mergeCell ref="K58:K60"/>
    <mergeCell ref="L58:L60"/>
    <mergeCell ref="M58:M60"/>
    <mergeCell ref="N58:N60"/>
    <mergeCell ref="AM61:AM64"/>
    <mergeCell ref="C58:C60"/>
    <mergeCell ref="C61:C64"/>
    <mergeCell ref="D58:D60"/>
    <mergeCell ref="D61:D64"/>
    <mergeCell ref="O58:O60"/>
    <mergeCell ref="P58:P60"/>
    <mergeCell ref="R58:R60"/>
    <mergeCell ref="Q58:Q60"/>
    <mergeCell ref="S58:S60"/>
    <mergeCell ref="AM58:AM60"/>
    <mergeCell ref="O61:O64"/>
    <mergeCell ref="P61:P64"/>
    <mergeCell ref="Q61:Q64"/>
    <mergeCell ref="R61:R64"/>
    <mergeCell ref="S61:S64"/>
    <mergeCell ref="A47:A52"/>
    <mergeCell ref="A35:A45"/>
    <mergeCell ref="A29:A32"/>
    <mergeCell ref="A27:A28"/>
    <mergeCell ref="A23:A26"/>
  </mergeCells>
  <phoneticPr fontId="155"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78"/>
  <sheetViews>
    <sheetView showGridLines="0" zoomScale="55" zoomScaleNormal="55" workbookViewId="0">
      <pane xSplit="6" ySplit="2" topLeftCell="P104" activePane="bottomRight" state="frozen"/>
      <selection activeCell="S37" sqref="S37:S43"/>
      <selection pane="topRight" activeCell="S37" sqref="S37:S43"/>
      <selection pane="bottomLeft" activeCell="S37" sqref="S37:S43"/>
      <selection pane="bottomRight" activeCell="B59" sqref="B59:B64"/>
    </sheetView>
  </sheetViews>
  <sheetFormatPr defaultColWidth="9.140625" defaultRowHeight="15.75"/>
  <cols>
    <col min="1" max="1" width="6.42578125" style="729" bestFit="1" customWidth="1"/>
    <col min="2" max="2" width="14.42578125" style="729" customWidth="1"/>
    <col min="3" max="3" width="15.7109375" style="729" customWidth="1"/>
    <col min="4" max="4" width="32.140625" style="729" customWidth="1"/>
    <col min="5" max="5" width="19.28515625" style="729" customWidth="1"/>
    <col min="6" max="6" width="41.140625" style="925" customWidth="1"/>
    <col min="7" max="7" width="19.28515625" style="729" customWidth="1"/>
    <col min="8" max="8" width="17.5703125" style="729" customWidth="1"/>
    <col min="9" max="9" width="8.28515625" style="729" customWidth="1"/>
    <col min="10" max="10" width="7" style="729" customWidth="1"/>
    <col min="11" max="11" width="12.5703125" style="729" customWidth="1"/>
    <col min="12" max="12" width="8" style="729" customWidth="1"/>
    <col min="13" max="13" width="11.140625" style="729" customWidth="1"/>
    <col min="14" max="14" width="14.5703125" style="729" customWidth="1"/>
    <col min="15" max="15" width="23" style="729" customWidth="1"/>
    <col min="16" max="16" width="20.5703125" style="729" customWidth="1"/>
    <col min="17" max="17" width="13.85546875" style="729" customWidth="1"/>
    <col min="18" max="18" width="23.140625" style="729" customWidth="1"/>
    <col min="19" max="19" width="17.140625" style="729" customWidth="1"/>
    <col min="20" max="20" width="11.5703125" style="729" customWidth="1"/>
    <col min="21" max="21" width="17.42578125" style="729" customWidth="1"/>
    <col min="22" max="22" width="11.5703125" style="729" customWidth="1"/>
    <col min="23" max="23" width="13.5703125" style="729" customWidth="1"/>
    <col min="24" max="24" width="18.5703125" style="729" customWidth="1"/>
    <col min="25" max="25" width="11.85546875" style="729" customWidth="1"/>
    <col min="26" max="26" width="14.42578125" style="729" customWidth="1"/>
    <col min="27" max="29" width="15.28515625" style="729" customWidth="1"/>
    <col min="30" max="30" width="49.140625" style="729" customWidth="1"/>
    <col min="31" max="31" width="62.28515625" style="729" bestFit="1" customWidth="1"/>
    <col min="32" max="32" width="13" style="729" customWidth="1"/>
    <col min="33" max="33" width="11.85546875" style="729" customWidth="1"/>
    <col min="34" max="34" width="12.140625" style="729" customWidth="1"/>
    <col min="35" max="37" width="10.42578125" style="729" customWidth="1"/>
    <col min="38" max="38" width="11.140625" style="729" customWidth="1"/>
    <col min="39" max="39" width="14.42578125" style="729" customWidth="1"/>
    <col min="40" max="16384" width="9.140625" style="729"/>
  </cols>
  <sheetData>
    <row r="1" spans="1:39" ht="15.75" customHeight="1" thickBot="1">
      <c r="A1" s="1904" t="s">
        <v>0</v>
      </c>
      <c r="B1" s="1891" t="s">
        <v>1</v>
      </c>
      <c r="C1" s="1891" t="s">
        <v>1665</v>
      </c>
      <c r="D1" s="1891" t="s">
        <v>5</v>
      </c>
      <c r="E1" s="1891" t="s">
        <v>3</v>
      </c>
      <c r="F1" s="1891" t="s">
        <v>4</v>
      </c>
      <c r="G1" s="1891" t="s">
        <v>6</v>
      </c>
      <c r="H1" s="1891" t="s">
        <v>7</v>
      </c>
      <c r="I1" s="1891" t="s">
        <v>8</v>
      </c>
      <c r="J1" s="1891" t="s">
        <v>9</v>
      </c>
      <c r="K1" s="1891" t="s">
        <v>10</v>
      </c>
      <c r="L1" s="1891" t="s">
        <v>11</v>
      </c>
      <c r="M1" s="1891" t="s">
        <v>12</v>
      </c>
      <c r="N1" s="1891" t="s">
        <v>55</v>
      </c>
      <c r="O1" s="1891" t="s">
        <v>116</v>
      </c>
      <c r="P1" s="1891" t="s">
        <v>1239</v>
      </c>
      <c r="Q1" s="1891" t="s">
        <v>15</v>
      </c>
      <c r="R1" s="1891" t="s">
        <v>1884</v>
      </c>
      <c r="S1" s="1891" t="s">
        <v>1215</v>
      </c>
      <c r="T1" s="1901" t="s">
        <v>349</v>
      </c>
      <c r="U1" s="1901"/>
      <c r="V1" s="1901"/>
      <c r="W1" s="1901"/>
      <c r="X1" s="1901"/>
      <c r="Y1" s="1901"/>
      <c r="Z1" s="679"/>
      <c r="AA1" s="1891" t="s">
        <v>24</v>
      </c>
      <c r="AB1" s="1891" t="s">
        <v>25</v>
      </c>
      <c r="AC1" s="1891" t="s">
        <v>26</v>
      </c>
      <c r="AD1" s="1891" t="s">
        <v>1554</v>
      </c>
      <c r="AE1" s="1891" t="s">
        <v>27</v>
      </c>
      <c r="AF1" s="1897" t="s">
        <v>1583</v>
      </c>
      <c r="AG1" s="1898"/>
      <c r="AH1" s="1898"/>
      <c r="AI1" s="1898"/>
      <c r="AJ1" s="1898"/>
      <c r="AK1" s="1898"/>
      <c r="AL1" s="1898"/>
      <c r="AM1" s="1899" t="s">
        <v>23</v>
      </c>
    </row>
    <row r="2" spans="1:39" ht="95.25" thickBot="1">
      <c r="A2" s="1968"/>
      <c r="B2" s="1969"/>
      <c r="C2" s="1969"/>
      <c r="D2" s="1969"/>
      <c r="E2" s="1969"/>
      <c r="F2" s="1969"/>
      <c r="G2" s="1969"/>
      <c r="H2" s="1969"/>
      <c r="I2" s="1969"/>
      <c r="J2" s="1969"/>
      <c r="K2" s="1969"/>
      <c r="L2" s="1969"/>
      <c r="M2" s="1969"/>
      <c r="N2" s="1969"/>
      <c r="O2" s="1969"/>
      <c r="P2" s="1969"/>
      <c r="Q2" s="1969"/>
      <c r="R2" s="1969"/>
      <c r="S2" s="1969"/>
      <c r="T2" s="682" t="s">
        <v>856</v>
      </c>
      <c r="U2" s="682" t="s">
        <v>1240</v>
      </c>
      <c r="V2" s="681" t="s">
        <v>249</v>
      </c>
      <c r="W2" s="682" t="s">
        <v>168</v>
      </c>
      <c r="X2" s="682" t="s">
        <v>1598</v>
      </c>
      <c r="Y2" s="682" t="s">
        <v>350</v>
      </c>
      <c r="Z2" s="681" t="s">
        <v>19</v>
      </c>
      <c r="AA2" s="1969"/>
      <c r="AB2" s="1969"/>
      <c r="AC2" s="1969"/>
      <c r="AD2" s="1969"/>
      <c r="AE2" s="1969"/>
      <c r="AF2" s="681" t="s">
        <v>1582</v>
      </c>
      <c r="AG2" s="682" t="s">
        <v>168</v>
      </c>
      <c r="AH2" s="682" t="s">
        <v>169</v>
      </c>
      <c r="AI2" s="682" t="s">
        <v>350</v>
      </c>
      <c r="AJ2" s="679" t="s">
        <v>24</v>
      </c>
      <c r="AK2" s="679" t="s">
        <v>25</v>
      </c>
      <c r="AL2" s="679" t="s">
        <v>26</v>
      </c>
      <c r="AM2" s="1980"/>
    </row>
    <row r="3" spans="1:39" ht="16.5" thickBot="1">
      <c r="A3" s="685">
        <v>1</v>
      </c>
      <c r="B3" s="686" t="s">
        <v>1550</v>
      </c>
      <c r="C3" s="637" t="s">
        <v>29</v>
      </c>
      <c r="D3" s="637" t="s">
        <v>1714</v>
      </c>
      <c r="E3" s="637" t="s">
        <v>1715</v>
      </c>
      <c r="F3" s="550" t="s">
        <v>1716</v>
      </c>
      <c r="G3" s="637" t="s">
        <v>452</v>
      </c>
      <c r="H3" s="801">
        <v>133760</v>
      </c>
      <c r="I3" s="637" t="s">
        <v>34</v>
      </c>
      <c r="J3" s="637" t="s">
        <v>34</v>
      </c>
      <c r="K3" s="637" t="s">
        <v>34</v>
      </c>
      <c r="L3" s="637" t="s">
        <v>35</v>
      </c>
      <c r="M3" s="637" t="s">
        <v>36</v>
      </c>
      <c r="N3" s="673">
        <v>44677</v>
      </c>
      <c r="O3" s="673">
        <v>44691</v>
      </c>
      <c r="P3" s="673">
        <v>44690</v>
      </c>
      <c r="Q3" s="673">
        <v>44677</v>
      </c>
      <c r="R3" s="673">
        <v>44685</v>
      </c>
      <c r="S3" s="637" t="s">
        <v>1216</v>
      </c>
      <c r="T3" s="640">
        <v>101.50204768675601</v>
      </c>
      <c r="U3" s="640">
        <v>167.38605859725951</v>
      </c>
      <c r="V3" s="640">
        <v>13.243395421820553</v>
      </c>
      <c r="W3" s="640">
        <v>178.71998850956251</v>
      </c>
      <c r="X3" s="640">
        <v>41.75</v>
      </c>
      <c r="Y3" s="640">
        <v>16.87</v>
      </c>
      <c r="Z3" s="640">
        <f t="shared" ref="Z3:Z28" si="0">H3*U3/10^7</f>
        <v>2.2389559197969433</v>
      </c>
      <c r="AA3" s="690">
        <v>2.5000000000000001E-3</v>
      </c>
      <c r="AB3" s="690">
        <v>2.5000000000000001E-3</v>
      </c>
      <c r="AC3" s="690">
        <v>2.5000000000000001E-3</v>
      </c>
      <c r="AD3" s="637" t="s">
        <v>1656</v>
      </c>
      <c r="AE3" s="637" t="s">
        <v>1805</v>
      </c>
      <c r="AF3" s="637"/>
      <c r="AG3" s="637"/>
      <c r="AH3" s="637"/>
      <c r="AI3" s="637"/>
      <c r="AJ3" s="755"/>
      <c r="AK3" s="755"/>
      <c r="AL3" s="755"/>
      <c r="AM3" s="688" t="s">
        <v>1669</v>
      </c>
    </row>
    <row r="4" spans="1:39">
      <c r="A4" s="1972">
        <v>2</v>
      </c>
      <c r="B4" s="1913" t="s">
        <v>1550</v>
      </c>
      <c r="C4" s="1911" t="s">
        <v>29</v>
      </c>
      <c r="D4" s="1911" t="s">
        <v>1717</v>
      </c>
      <c r="E4" s="634" t="s">
        <v>1718</v>
      </c>
      <c r="F4" s="551" t="s">
        <v>134</v>
      </c>
      <c r="G4" s="1990" t="s">
        <v>452</v>
      </c>
      <c r="H4" s="802">
        <v>192140</v>
      </c>
      <c r="I4" s="1911" t="s">
        <v>34</v>
      </c>
      <c r="J4" s="1911" t="s">
        <v>34</v>
      </c>
      <c r="K4" s="1911" t="s">
        <v>34</v>
      </c>
      <c r="L4" s="1911" t="s">
        <v>35</v>
      </c>
      <c r="M4" s="1911" t="s">
        <v>36</v>
      </c>
      <c r="N4" s="1978">
        <v>44677</v>
      </c>
      <c r="O4" s="1978">
        <v>44691</v>
      </c>
      <c r="P4" s="1978">
        <v>44691</v>
      </c>
      <c r="Q4" s="1978">
        <v>44677</v>
      </c>
      <c r="R4" s="1978">
        <v>44685</v>
      </c>
      <c r="S4" s="1911" t="s">
        <v>1216</v>
      </c>
      <c r="T4" s="633">
        <v>303.50853909978872</v>
      </c>
      <c r="U4" s="633">
        <v>444.74659639027931</v>
      </c>
      <c r="V4" s="633">
        <v>30.506620865081864</v>
      </c>
      <c r="W4" s="633">
        <v>321.71730038693437</v>
      </c>
      <c r="X4" s="633">
        <v>73.75</v>
      </c>
      <c r="Y4" s="633">
        <v>19.350000000000001</v>
      </c>
      <c r="Z4" s="633">
        <f t="shared" si="0"/>
        <v>8.5453611030428256</v>
      </c>
      <c r="AA4" s="692">
        <v>5.0000000000000001E-3</v>
      </c>
      <c r="AB4" s="692">
        <v>5.0000000000000001E-3</v>
      </c>
      <c r="AC4" s="692">
        <v>5.0000000000000001E-3</v>
      </c>
      <c r="AD4" s="1911" t="s">
        <v>1656</v>
      </c>
      <c r="AE4" s="1970" t="s">
        <v>1765</v>
      </c>
      <c r="AF4" s="634"/>
      <c r="AG4" s="634"/>
      <c r="AH4" s="634"/>
      <c r="AI4" s="634"/>
      <c r="AJ4" s="756"/>
      <c r="AK4" s="756"/>
      <c r="AL4" s="756"/>
      <c r="AM4" s="1976" t="s">
        <v>1669</v>
      </c>
    </row>
    <row r="5" spans="1:39" ht="16.5" thickBot="1">
      <c r="A5" s="1973"/>
      <c r="B5" s="1862"/>
      <c r="C5" s="1912"/>
      <c r="D5" s="1912"/>
      <c r="E5" s="636" t="s">
        <v>1719</v>
      </c>
      <c r="F5" s="580" t="s">
        <v>131</v>
      </c>
      <c r="G5" s="1991"/>
      <c r="H5" s="803">
        <v>192140</v>
      </c>
      <c r="I5" s="1912"/>
      <c r="J5" s="1912"/>
      <c r="K5" s="1912"/>
      <c r="L5" s="1912"/>
      <c r="M5" s="1912"/>
      <c r="N5" s="1979"/>
      <c r="O5" s="1979"/>
      <c r="P5" s="1912"/>
      <c r="Q5" s="1979"/>
      <c r="R5" s="1979"/>
      <c r="S5" s="1912"/>
      <c r="T5" s="647">
        <v>298.43076815538882</v>
      </c>
      <c r="U5" s="647">
        <v>437.0838517144287</v>
      </c>
      <c r="V5" s="647">
        <v>29.932246905467263</v>
      </c>
      <c r="W5" s="647">
        <v>265.97046641189064</v>
      </c>
      <c r="X5" s="647">
        <v>73.75</v>
      </c>
      <c r="Y5" s="647">
        <v>19.350000000000001</v>
      </c>
      <c r="Z5" s="647">
        <f t="shared" si="0"/>
        <v>8.3981291268410327</v>
      </c>
      <c r="AA5" s="694">
        <v>5.0000000000000001E-3</v>
      </c>
      <c r="AB5" s="694">
        <v>5.0000000000000001E-3</v>
      </c>
      <c r="AC5" s="694">
        <v>5.0000000000000001E-3</v>
      </c>
      <c r="AD5" s="1981"/>
      <c r="AE5" s="1971"/>
      <c r="AF5" s="636"/>
      <c r="AG5" s="636"/>
      <c r="AH5" s="636"/>
      <c r="AI5" s="636"/>
      <c r="AJ5" s="757"/>
      <c r="AK5" s="757"/>
      <c r="AL5" s="757"/>
      <c r="AM5" s="1977"/>
    </row>
    <row r="6" spans="1:39">
      <c r="A6" s="1974">
        <v>3</v>
      </c>
      <c r="B6" s="1985" t="s">
        <v>1550</v>
      </c>
      <c r="C6" s="1965" t="s">
        <v>29</v>
      </c>
      <c r="D6" s="1965" t="s">
        <v>1720</v>
      </c>
      <c r="E6" s="695" t="s">
        <v>1721</v>
      </c>
      <c r="F6" s="903" t="s">
        <v>1723</v>
      </c>
      <c r="G6" s="1965" t="s">
        <v>452</v>
      </c>
      <c r="H6" s="804">
        <v>152000</v>
      </c>
      <c r="I6" s="1965" t="s">
        <v>34</v>
      </c>
      <c r="J6" s="1965" t="s">
        <v>34</v>
      </c>
      <c r="K6" s="1965" t="s">
        <v>34</v>
      </c>
      <c r="L6" s="1965" t="s">
        <v>35</v>
      </c>
      <c r="M6" s="1965" t="s">
        <v>36</v>
      </c>
      <c r="N6" s="1955">
        <v>44677</v>
      </c>
      <c r="O6" s="1955">
        <v>44698</v>
      </c>
      <c r="P6" s="1955">
        <v>44698</v>
      </c>
      <c r="Q6" s="1955">
        <v>44677</v>
      </c>
      <c r="R6" s="1955">
        <v>44685</v>
      </c>
      <c r="S6" s="1965" t="s">
        <v>1216</v>
      </c>
      <c r="T6" s="667">
        <v>653.16145481253977</v>
      </c>
      <c r="U6" s="667">
        <v>920</v>
      </c>
      <c r="V6" s="667">
        <v>73.149235400389315</v>
      </c>
      <c r="W6" s="667">
        <f>343.529876723808-58.79</f>
        <v>284.73987672380798</v>
      </c>
      <c r="X6" s="667">
        <v>125</v>
      </c>
      <c r="Y6" s="667">
        <v>24.202307114999996</v>
      </c>
      <c r="Z6" s="667">
        <f t="shared" si="0"/>
        <v>13.984</v>
      </c>
      <c r="AA6" s="696">
        <v>0.01</v>
      </c>
      <c r="AB6" s="696">
        <v>1.4999999999999999E-2</v>
      </c>
      <c r="AC6" s="696">
        <v>0.02</v>
      </c>
      <c r="AD6" s="1965" t="s">
        <v>342</v>
      </c>
      <c r="AE6" s="1966" t="s">
        <v>1804</v>
      </c>
      <c r="AF6" s="667">
        <f>U6</f>
        <v>920</v>
      </c>
      <c r="AG6" s="667">
        <f t="shared" ref="AG6:AI9" si="1">W6</f>
        <v>284.73987672380798</v>
      </c>
      <c r="AH6" s="667">
        <f t="shared" si="1"/>
        <v>125</v>
      </c>
      <c r="AI6" s="667">
        <f t="shared" si="1"/>
        <v>24.202307114999996</v>
      </c>
      <c r="AJ6" s="758">
        <v>0.01</v>
      </c>
      <c r="AK6" s="758">
        <v>1.4999999999999999E-2</v>
      </c>
      <c r="AL6" s="758">
        <v>0.02</v>
      </c>
      <c r="AM6" s="1982" t="s">
        <v>1669</v>
      </c>
    </row>
    <row r="7" spans="1:39" ht="16.5" thickBot="1">
      <c r="A7" s="1984"/>
      <c r="B7" s="1986"/>
      <c r="C7" s="1987"/>
      <c r="D7" s="1987"/>
      <c r="E7" s="792" t="s">
        <v>1722</v>
      </c>
      <c r="F7" s="904" t="s">
        <v>1723</v>
      </c>
      <c r="G7" s="1987"/>
      <c r="H7" s="805">
        <v>40140</v>
      </c>
      <c r="I7" s="1987"/>
      <c r="J7" s="1987"/>
      <c r="K7" s="1987"/>
      <c r="L7" s="1987"/>
      <c r="M7" s="1987"/>
      <c r="N7" s="1988"/>
      <c r="O7" s="1988"/>
      <c r="P7" s="1987"/>
      <c r="Q7" s="1988"/>
      <c r="R7" s="1988"/>
      <c r="S7" s="1987"/>
      <c r="T7" s="793">
        <v>650.15878236256276</v>
      </c>
      <c r="U7" s="793">
        <v>920</v>
      </c>
      <c r="V7" s="793">
        <v>73.00168195138977</v>
      </c>
      <c r="W7" s="793">
        <f>346.572541787948-45.72</f>
        <v>300.85254178794798</v>
      </c>
      <c r="X7" s="793">
        <v>21</v>
      </c>
      <c r="Y7" s="793">
        <v>24.202307114999996</v>
      </c>
      <c r="Z7" s="793">
        <f t="shared" si="0"/>
        <v>3.6928800000000002</v>
      </c>
      <c r="AA7" s="794">
        <v>0.01</v>
      </c>
      <c r="AB7" s="794">
        <v>1.4999999999999999E-2</v>
      </c>
      <c r="AC7" s="794">
        <v>0.02</v>
      </c>
      <c r="AD7" s="1987"/>
      <c r="AE7" s="1989"/>
      <c r="AF7" s="793">
        <f>U7</f>
        <v>920</v>
      </c>
      <c r="AG7" s="793">
        <f t="shared" si="1"/>
        <v>300.85254178794798</v>
      </c>
      <c r="AH7" s="793">
        <f t="shared" si="1"/>
        <v>21</v>
      </c>
      <c r="AI7" s="793">
        <f t="shared" si="1"/>
        <v>24.202307114999996</v>
      </c>
      <c r="AJ7" s="791">
        <v>0.01</v>
      </c>
      <c r="AK7" s="791">
        <v>1.4999999999999999E-2</v>
      </c>
      <c r="AL7" s="791">
        <v>0.02</v>
      </c>
      <c r="AM7" s="1983"/>
    </row>
    <row r="8" spans="1:39">
      <c r="A8" s="1974">
        <v>4</v>
      </c>
      <c r="B8" s="1985" t="s">
        <v>1550</v>
      </c>
      <c r="C8" s="1965" t="s">
        <v>29</v>
      </c>
      <c r="D8" s="1965" t="s">
        <v>1725</v>
      </c>
      <c r="E8" s="695" t="s">
        <v>1730</v>
      </c>
      <c r="F8" s="903" t="s">
        <v>1732</v>
      </c>
      <c r="G8" s="1965" t="s">
        <v>452</v>
      </c>
      <c r="H8" s="804">
        <v>192140</v>
      </c>
      <c r="I8" s="1965" t="s">
        <v>34</v>
      </c>
      <c r="J8" s="1965" t="s">
        <v>34</v>
      </c>
      <c r="K8" s="1965" t="s">
        <v>34</v>
      </c>
      <c r="L8" s="1965" t="s">
        <v>35</v>
      </c>
      <c r="M8" s="1965" t="s">
        <v>36</v>
      </c>
      <c r="N8" s="1955">
        <v>44700</v>
      </c>
      <c r="O8" s="1955">
        <v>44733</v>
      </c>
      <c r="P8" s="1955">
        <v>44733</v>
      </c>
      <c r="Q8" s="1955">
        <v>44701</v>
      </c>
      <c r="R8" s="1955">
        <v>44708</v>
      </c>
      <c r="S8" s="1965" t="s">
        <v>1216</v>
      </c>
      <c r="T8" s="667">
        <v>188.03342017634</v>
      </c>
      <c r="U8" s="667">
        <v>282.30503477603901</v>
      </c>
      <c r="V8" s="667">
        <v>20.11</v>
      </c>
      <c r="W8" s="667">
        <v>268.25</v>
      </c>
      <c r="X8" s="667">
        <v>32.75</v>
      </c>
      <c r="Y8" s="667">
        <v>15</v>
      </c>
      <c r="Z8" s="667">
        <f t="shared" si="0"/>
        <v>5.4242089381868128</v>
      </c>
      <c r="AA8" s="696">
        <v>0.01</v>
      </c>
      <c r="AB8" s="696">
        <v>0.01</v>
      </c>
      <c r="AC8" s="696">
        <v>0.01</v>
      </c>
      <c r="AD8" s="1965" t="s">
        <v>342</v>
      </c>
      <c r="AE8" s="1966" t="s">
        <v>1804</v>
      </c>
      <c r="AF8" s="667">
        <f>U8</f>
        <v>282.30503477603901</v>
      </c>
      <c r="AG8" s="667">
        <f t="shared" si="1"/>
        <v>268.25</v>
      </c>
      <c r="AH8" s="667">
        <f t="shared" si="1"/>
        <v>32.75</v>
      </c>
      <c r="AI8" s="667">
        <f t="shared" si="1"/>
        <v>15</v>
      </c>
      <c r="AJ8" s="758">
        <v>0.01</v>
      </c>
      <c r="AK8" s="758">
        <v>0.01</v>
      </c>
      <c r="AL8" s="795">
        <v>0.01</v>
      </c>
      <c r="AM8" s="1953" t="s">
        <v>1669</v>
      </c>
    </row>
    <row r="9" spans="1:39" ht="21" customHeight="1" thickBot="1">
      <c r="A9" s="1975"/>
      <c r="B9" s="1993"/>
      <c r="C9" s="1957"/>
      <c r="D9" s="1957"/>
      <c r="E9" s="697" t="s">
        <v>1731</v>
      </c>
      <c r="F9" s="905" t="s">
        <v>1733</v>
      </c>
      <c r="G9" s="1957"/>
      <c r="H9" s="806">
        <v>192140</v>
      </c>
      <c r="I9" s="1957"/>
      <c r="J9" s="1957"/>
      <c r="K9" s="1957"/>
      <c r="L9" s="1957"/>
      <c r="M9" s="1957"/>
      <c r="N9" s="1956"/>
      <c r="O9" s="1956"/>
      <c r="P9" s="1957"/>
      <c r="Q9" s="1956"/>
      <c r="R9" s="1956"/>
      <c r="S9" s="1957"/>
      <c r="T9" s="675">
        <v>188.47</v>
      </c>
      <c r="U9" s="675">
        <v>283.18</v>
      </c>
      <c r="V9" s="675">
        <v>20.21</v>
      </c>
      <c r="W9" s="675">
        <v>268.25</v>
      </c>
      <c r="X9" s="675">
        <v>32.75</v>
      </c>
      <c r="Y9" s="675">
        <v>15</v>
      </c>
      <c r="Z9" s="675">
        <f t="shared" si="0"/>
        <v>5.4410205200000004</v>
      </c>
      <c r="AA9" s="698">
        <v>0.01</v>
      </c>
      <c r="AB9" s="698">
        <v>0.01</v>
      </c>
      <c r="AC9" s="698">
        <v>0.01</v>
      </c>
      <c r="AD9" s="1957"/>
      <c r="AE9" s="1967"/>
      <c r="AF9" s="675">
        <f>U9</f>
        <v>283.18</v>
      </c>
      <c r="AG9" s="675">
        <f t="shared" si="1"/>
        <v>268.25</v>
      </c>
      <c r="AH9" s="675">
        <f t="shared" si="1"/>
        <v>32.75</v>
      </c>
      <c r="AI9" s="675">
        <f t="shared" si="1"/>
        <v>15</v>
      </c>
      <c r="AJ9" s="759">
        <v>0.01</v>
      </c>
      <c r="AK9" s="759">
        <v>0.01</v>
      </c>
      <c r="AL9" s="796">
        <v>0.01</v>
      </c>
      <c r="AM9" s="1954"/>
    </row>
    <row r="10" spans="1:39" ht="16.5" thickBot="1">
      <c r="A10" s="739">
        <v>5</v>
      </c>
      <c r="B10" s="693" t="s">
        <v>1550</v>
      </c>
      <c r="C10" s="693" t="s">
        <v>29</v>
      </c>
      <c r="D10" s="693" t="s">
        <v>1726</v>
      </c>
      <c r="E10" s="693" t="s">
        <v>1727</v>
      </c>
      <c r="F10" s="906" t="s">
        <v>1728</v>
      </c>
      <c r="G10" s="693" t="s">
        <v>452</v>
      </c>
      <c r="H10" s="807">
        <v>384280</v>
      </c>
      <c r="I10" s="693" t="s">
        <v>34</v>
      </c>
      <c r="J10" s="693" t="s">
        <v>34</v>
      </c>
      <c r="K10" s="693" t="s">
        <v>34</v>
      </c>
      <c r="L10" s="693" t="s">
        <v>35</v>
      </c>
      <c r="M10" s="693" t="s">
        <v>36</v>
      </c>
      <c r="N10" s="731">
        <v>44700</v>
      </c>
      <c r="O10" s="731">
        <v>44712</v>
      </c>
      <c r="P10" s="731">
        <v>44709</v>
      </c>
      <c r="Q10" s="731">
        <v>44701</v>
      </c>
      <c r="R10" s="693" t="s">
        <v>1729</v>
      </c>
      <c r="S10" s="693" t="s">
        <v>1216</v>
      </c>
      <c r="T10" s="703">
        <v>35.99</v>
      </c>
      <c r="U10" s="703">
        <v>61.01</v>
      </c>
      <c r="V10" s="703">
        <v>4.8099999999999996</v>
      </c>
      <c r="W10" s="703">
        <v>85.2</v>
      </c>
      <c r="X10" s="703">
        <v>12</v>
      </c>
      <c r="Y10" s="703">
        <v>6.26</v>
      </c>
      <c r="Z10" s="674">
        <f t="shared" si="0"/>
        <v>2.3444922799999999</v>
      </c>
      <c r="AA10" s="754">
        <v>0</v>
      </c>
      <c r="AB10" s="754">
        <v>0</v>
      </c>
      <c r="AC10" s="754">
        <v>0</v>
      </c>
      <c r="AD10" s="693" t="s">
        <v>1656</v>
      </c>
      <c r="AE10" s="732" t="str">
        <f>AE3</f>
        <v xml:space="preserve">Business Lost </v>
      </c>
      <c r="AF10" s="693"/>
      <c r="AG10" s="693"/>
      <c r="AH10" s="693"/>
      <c r="AI10" s="693"/>
      <c r="AJ10" s="760"/>
      <c r="AK10" s="760"/>
      <c r="AL10" s="760"/>
      <c r="AM10" s="733" t="s">
        <v>1669</v>
      </c>
    </row>
    <row r="11" spans="1:39">
      <c r="A11" s="1918">
        <v>6</v>
      </c>
      <c r="B11" s="1921" t="s">
        <v>1550</v>
      </c>
      <c r="C11" s="1921" t="s">
        <v>172</v>
      </c>
      <c r="D11" s="1921" t="s">
        <v>1743</v>
      </c>
      <c r="E11" s="705" t="s">
        <v>1744</v>
      </c>
      <c r="F11" s="907" t="s">
        <v>1750</v>
      </c>
      <c r="G11" s="1913" t="s">
        <v>1760</v>
      </c>
      <c r="H11" s="808">
        <v>43400</v>
      </c>
      <c r="I11" s="1913" t="s">
        <v>34</v>
      </c>
      <c r="J11" s="1913" t="s">
        <v>34</v>
      </c>
      <c r="K11" s="1913" t="s">
        <v>34</v>
      </c>
      <c r="L11" s="1913" t="s">
        <v>1773</v>
      </c>
      <c r="M11" s="1913" t="s">
        <v>36</v>
      </c>
      <c r="N11" s="1960">
        <v>44744</v>
      </c>
      <c r="O11" s="1960">
        <v>44747</v>
      </c>
      <c r="P11" s="1960">
        <v>44778</v>
      </c>
      <c r="Q11" s="1960">
        <v>44744</v>
      </c>
      <c r="R11" s="1913"/>
      <c r="S11" s="1913" t="s">
        <v>1216</v>
      </c>
      <c r="T11" s="706">
        <v>81.8292431112</v>
      </c>
      <c r="U11" s="706">
        <v>127.31922156951553</v>
      </c>
      <c r="V11" s="706">
        <v>10.300584862224001</v>
      </c>
      <c r="W11" s="706"/>
      <c r="X11" s="706"/>
      <c r="Y11" s="706"/>
      <c r="Z11" s="706">
        <f t="shared" si="0"/>
        <v>0.55256542161169742</v>
      </c>
      <c r="AA11" s="707">
        <v>0</v>
      </c>
      <c r="AB11" s="707">
        <v>0</v>
      </c>
      <c r="AC11" s="707">
        <v>0</v>
      </c>
      <c r="AD11" s="1913" t="s">
        <v>1657</v>
      </c>
      <c r="AE11" s="1911" t="s">
        <v>1934</v>
      </c>
      <c r="AF11" s="705"/>
      <c r="AG11" s="705"/>
      <c r="AH11" s="705"/>
      <c r="AI11" s="705"/>
      <c r="AJ11" s="761"/>
      <c r="AK11" s="761"/>
      <c r="AL11" s="761"/>
      <c r="AM11" s="1958" t="s">
        <v>1669</v>
      </c>
    </row>
    <row r="12" spans="1:39">
      <c r="A12" s="1919"/>
      <c r="B12" s="1922"/>
      <c r="C12" s="1922"/>
      <c r="D12" s="1922"/>
      <c r="E12" s="708" t="s">
        <v>1745</v>
      </c>
      <c r="F12" s="908" t="s">
        <v>1751</v>
      </c>
      <c r="G12" s="1862"/>
      <c r="H12" s="809">
        <v>153300</v>
      </c>
      <c r="I12" s="1862"/>
      <c r="J12" s="1862"/>
      <c r="K12" s="1862"/>
      <c r="L12" s="1862"/>
      <c r="M12" s="1862"/>
      <c r="N12" s="1961"/>
      <c r="O12" s="1961"/>
      <c r="P12" s="1961"/>
      <c r="Q12" s="1961"/>
      <c r="R12" s="1862"/>
      <c r="S12" s="1862"/>
      <c r="T12" s="709">
        <v>81.8292431112</v>
      </c>
      <c r="U12" s="709">
        <v>127.31922156951553</v>
      </c>
      <c r="V12" s="709">
        <v>10.300584862224001</v>
      </c>
      <c r="W12" s="709"/>
      <c r="X12" s="709"/>
      <c r="Y12" s="709"/>
      <c r="Z12" s="709">
        <f t="shared" si="0"/>
        <v>1.9518036666606731</v>
      </c>
      <c r="AA12" s="710">
        <v>0</v>
      </c>
      <c r="AB12" s="710">
        <v>0</v>
      </c>
      <c r="AC12" s="710">
        <v>0</v>
      </c>
      <c r="AD12" s="1862"/>
      <c r="AE12" s="1912"/>
      <c r="AF12" s="708"/>
      <c r="AG12" s="708"/>
      <c r="AH12" s="708"/>
      <c r="AI12" s="708"/>
      <c r="AJ12" s="760"/>
      <c r="AK12" s="760"/>
      <c r="AL12" s="760"/>
      <c r="AM12" s="1959"/>
    </row>
    <row r="13" spans="1:39">
      <c r="A13" s="1919"/>
      <c r="B13" s="1922"/>
      <c r="C13" s="1922"/>
      <c r="D13" s="1922"/>
      <c r="E13" s="708" t="s">
        <v>1746</v>
      </c>
      <c r="F13" s="908" t="s">
        <v>1752</v>
      </c>
      <c r="G13" s="1862"/>
      <c r="H13" s="809">
        <v>43400</v>
      </c>
      <c r="I13" s="1862"/>
      <c r="J13" s="1862"/>
      <c r="K13" s="1862"/>
      <c r="L13" s="1862"/>
      <c r="M13" s="1862"/>
      <c r="N13" s="1961"/>
      <c r="O13" s="1961"/>
      <c r="P13" s="1961"/>
      <c r="Q13" s="1961"/>
      <c r="R13" s="1862"/>
      <c r="S13" s="1862"/>
      <c r="T13" s="709">
        <v>82.097833111200003</v>
      </c>
      <c r="U13" s="709">
        <v>127.67764563351551</v>
      </c>
      <c r="V13" s="709">
        <v>10.321956662224002</v>
      </c>
      <c r="W13" s="709"/>
      <c r="X13" s="709"/>
      <c r="Y13" s="709"/>
      <c r="Z13" s="709">
        <f t="shared" si="0"/>
        <v>0.55412098204945737</v>
      </c>
      <c r="AA13" s="710">
        <v>0</v>
      </c>
      <c r="AB13" s="710">
        <v>0</v>
      </c>
      <c r="AC13" s="710">
        <v>0</v>
      </c>
      <c r="AD13" s="1862"/>
      <c r="AE13" s="1912"/>
      <c r="AF13" s="708"/>
      <c r="AG13" s="708"/>
      <c r="AH13" s="708"/>
      <c r="AI13" s="708"/>
      <c r="AJ13" s="760"/>
      <c r="AK13" s="760"/>
      <c r="AL13" s="760"/>
      <c r="AM13" s="1959"/>
    </row>
    <row r="14" spans="1:39">
      <c r="A14" s="1919"/>
      <c r="B14" s="1922"/>
      <c r="C14" s="1922"/>
      <c r="D14" s="1922"/>
      <c r="E14" s="708" t="s">
        <v>1747</v>
      </c>
      <c r="F14" s="908" t="s">
        <v>1753</v>
      </c>
      <c r="G14" s="1862"/>
      <c r="H14" s="809">
        <v>153300</v>
      </c>
      <c r="I14" s="1862"/>
      <c r="J14" s="1862"/>
      <c r="K14" s="1862"/>
      <c r="L14" s="1862"/>
      <c r="M14" s="1862"/>
      <c r="N14" s="1961"/>
      <c r="O14" s="1961"/>
      <c r="P14" s="1961"/>
      <c r="Q14" s="1961"/>
      <c r="R14" s="1862"/>
      <c r="S14" s="1862"/>
      <c r="T14" s="709">
        <v>82.097833111200003</v>
      </c>
      <c r="U14" s="709">
        <v>127.67764563351551</v>
      </c>
      <c r="V14" s="709">
        <v>10.321956662224002</v>
      </c>
      <c r="W14" s="709"/>
      <c r="X14" s="709"/>
      <c r="Y14" s="709"/>
      <c r="Z14" s="709">
        <f t="shared" si="0"/>
        <v>1.9572983075617929</v>
      </c>
      <c r="AA14" s="710">
        <v>0</v>
      </c>
      <c r="AB14" s="710">
        <v>0</v>
      </c>
      <c r="AC14" s="710">
        <v>0</v>
      </c>
      <c r="AD14" s="1862"/>
      <c r="AE14" s="1912"/>
      <c r="AF14" s="708"/>
      <c r="AG14" s="708"/>
      <c r="AH14" s="708"/>
      <c r="AI14" s="708"/>
      <c r="AJ14" s="760"/>
      <c r="AK14" s="760"/>
      <c r="AL14" s="760"/>
      <c r="AM14" s="1959"/>
    </row>
    <row r="15" spans="1:39">
      <c r="A15" s="1919"/>
      <c r="B15" s="1922"/>
      <c r="C15" s="1922"/>
      <c r="D15" s="1922"/>
      <c r="E15" s="708" t="s">
        <v>1748</v>
      </c>
      <c r="F15" s="908" t="s">
        <v>1754</v>
      </c>
      <c r="G15" s="1862"/>
      <c r="H15" s="809">
        <v>148740</v>
      </c>
      <c r="I15" s="1862"/>
      <c r="J15" s="1862"/>
      <c r="K15" s="1862"/>
      <c r="L15" s="1862"/>
      <c r="M15" s="1862"/>
      <c r="N15" s="1961"/>
      <c r="O15" s="1961"/>
      <c r="P15" s="1961"/>
      <c r="Q15" s="1961"/>
      <c r="R15" s="1862"/>
      <c r="S15" s="1862"/>
      <c r="T15" s="709">
        <v>53.195715962639994</v>
      </c>
      <c r="U15" s="709">
        <v>75.727343474386942</v>
      </c>
      <c r="V15" s="709">
        <v>5.2239143192527999</v>
      </c>
      <c r="W15" s="709"/>
      <c r="X15" s="709"/>
      <c r="Y15" s="709"/>
      <c r="Z15" s="709">
        <f t="shared" si="0"/>
        <v>1.1263685068380314</v>
      </c>
      <c r="AA15" s="710">
        <v>0</v>
      </c>
      <c r="AB15" s="710">
        <v>0</v>
      </c>
      <c r="AC15" s="710">
        <v>0</v>
      </c>
      <c r="AD15" s="1862"/>
      <c r="AE15" s="1912"/>
      <c r="AF15" s="708"/>
      <c r="AG15" s="708"/>
      <c r="AH15" s="708"/>
      <c r="AI15" s="708"/>
      <c r="AJ15" s="760"/>
      <c r="AK15" s="760"/>
      <c r="AL15" s="760"/>
      <c r="AM15" s="1959"/>
    </row>
    <row r="16" spans="1:39" ht="16.5" thickBot="1">
      <c r="A16" s="1992"/>
      <c r="B16" s="1962"/>
      <c r="C16" s="1962"/>
      <c r="D16" s="1962"/>
      <c r="E16" s="711" t="s">
        <v>1749</v>
      </c>
      <c r="F16" s="909" t="s">
        <v>1755</v>
      </c>
      <c r="G16" s="1862"/>
      <c r="H16" s="810">
        <v>148740</v>
      </c>
      <c r="I16" s="1862"/>
      <c r="J16" s="1862"/>
      <c r="K16" s="1862"/>
      <c r="L16" s="1862"/>
      <c r="M16" s="1862"/>
      <c r="N16" s="1961"/>
      <c r="O16" s="1961"/>
      <c r="P16" s="1961"/>
      <c r="Q16" s="1961"/>
      <c r="R16" s="1862"/>
      <c r="S16" s="1862"/>
      <c r="T16" s="712">
        <v>53.195715962639994</v>
      </c>
      <c r="U16" s="712">
        <v>77.640143474386946</v>
      </c>
      <c r="V16" s="712">
        <v>5.6239143192528003</v>
      </c>
      <c r="W16" s="712"/>
      <c r="X16" s="712"/>
      <c r="Y16" s="712"/>
      <c r="Z16" s="712">
        <f t="shared" si="0"/>
        <v>1.1548194940380314</v>
      </c>
      <c r="AA16" s="713">
        <v>0</v>
      </c>
      <c r="AB16" s="713">
        <v>0</v>
      </c>
      <c r="AC16" s="713">
        <v>0</v>
      </c>
      <c r="AD16" s="1862"/>
      <c r="AE16" s="1912"/>
      <c r="AF16" s="711"/>
      <c r="AG16" s="711"/>
      <c r="AH16" s="711"/>
      <c r="AI16" s="711"/>
      <c r="AJ16" s="760"/>
      <c r="AK16" s="760"/>
      <c r="AL16" s="760"/>
      <c r="AM16" s="1959"/>
    </row>
    <row r="17" spans="1:44" ht="16.5" thickBot="1">
      <c r="A17" s="701">
        <v>7</v>
      </c>
      <c r="B17" s="691" t="s">
        <v>1695</v>
      </c>
      <c r="C17" s="691" t="s">
        <v>1738</v>
      </c>
      <c r="D17" s="691">
        <v>107752</v>
      </c>
      <c r="E17" s="691" t="s">
        <v>1775</v>
      </c>
      <c r="F17" s="910" t="s">
        <v>1777</v>
      </c>
      <c r="G17" s="691" t="s">
        <v>1742</v>
      </c>
      <c r="H17" s="811">
        <v>700000</v>
      </c>
      <c r="I17" s="691" t="s">
        <v>34</v>
      </c>
      <c r="J17" s="691" t="s">
        <v>34</v>
      </c>
      <c r="K17" s="691" t="s">
        <v>48</v>
      </c>
      <c r="L17" s="691" t="s">
        <v>35</v>
      </c>
      <c r="M17" s="691" t="s">
        <v>36</v>
      </c>
      <c r="N17" s="702">
        <v>44742</v>
      </c>
      <c r="O17" s="702">
        <v>44761</v>
      </c>
      <c r="P17" s="702">
        <v>44790</v>
      </c>
      <c r="Q17" s="702">
        <v>44742</v>
      </c>
      <c r="R17" s="691"/>
      <c r="S17" s="691" t="s">
        <v>1216</v>
      </c>
      <c r="T17" s="691">
        <f>13.36+97.5</f>
        <v>110.86</v>
      </c>
      <c r="U17" s="691">
        <v>266.60000000000002</v>
      </c>
      <c r="V17" s="691">
        <v>28.57</v>
      </c>
      <c r="W17" s="691">
        <v>22.7</v>
      </c>
      <c r="X17" s="691">
        <v>86.5</v>
      </c>
      <c r="Y17" s="691">
        <v>15.92</v>
      </c>
      <c r="Z17" s="628">
        <f t="shared" si="0"/>
        <v>18.662000000000003</v>
      </c>
      <c r="AA17" s="714">
        <v>0.01</v>
      </c>
      <c r="AB17" s="714">
        <v>0.01</v>
      </c>
      <c r="AC17" s="714">
        <v>0.01</v>
      </c>
      <c r="AD17" s="691" t="s">
        <v>1656</v>
      </c>
      <c r="AE17" s="691" t="s">
        <v>1809</v>
      </c>
      <c r="AF17" s="691"/>
      <c r="AG17" s="691"/>
      <c r="AH17" s="691"/>
      <c r="AI17" s="691"/>
      <c r="AJ17" s="761"/>
      <c r="AK17" s="761"/>
      <c r="AL17" s="761"/>
      <c r="AM17" s="704" t="s">
        <v>1669</v>
      </c>
      <c r="AO17" s="797"/>
      <c r="AR17" s="797"/>
    </row>
    <row r="18" spans="1:44" ht="31.5">
      <c r="A18" s="1918">
        <v>8</v>
      </c>
      <c r="B18" s="1921" t="s">
        <v>1695</v>
      </c>
      <c r="C18" s="1921" t="s">
        <v>1738</v>
      </c>
      <c r="D18" s="1921">
        <v>107755</v>
      </c>
      <c r="E18" s="634" t="s">
        <v>1779</v>
      </c>
      <c r="F18" s="907" t="s">
        <v>1782</v>
      </c>
      <c r="G18" s="705" t="s">
        <v>1742</v>
      </c>
      <c r="H18" s="808">
        <v>700000</v>
      </c>
      <c r="I18" s="705" t="s">
        <v>34</v>
      </c>
      <c r="J18" s="705" t="s">
        <v>34</v>
      </c>
      <c r="K18" s="705" t="s">
        <v>48</v>
      </c>
      <c r="L18" s="1913" t="s">
        <v>35</v>
      </c>
      <c r="M18" s="1913">
        <v>3367</v>
      </c>
      <c r="N18" s="1960">
        <v>44743</v>
      </c>
      <c r="O18" s="1960">
        <v>44761</v>
      </c>
      <c r="P18" s="1960">
        <v>44796</v>
      </c>
      <c r="Q18" s="1960">
        <v>44742</v>
      </c>
      <c r="R18" s="705"/>
      <c r="S18" s="1913" t="s">
        <v>1216</v>
      </c>
      <c r="T18" s="706">
        <v>46.515072340436106</v>
      </c>
      <c r="U18" s="706">
        <v>85.105256751159885</v>
      </c>
      <c r="V18" s="706">
        <v>8.6663014468087223</v>
      </c>
      <c r="W18" s="706">
        <v>26.258362826850004</v>
      </c>
      <c r="X18" s="706">
        <v>309.75</v>
      </c>
      <c r="Y18" s="706">
        <v>15.06</v>
      </c>
      <c r="Z18" s="633">
        <f t="shared" si="0"/>
        <v>5.9573679725811921</v>
      </c>
      <c r="AA18" s="715">
        <v>0.01</v>
      </c>
      <c r="AB18" s="715">
        <v>0.01</v>
      </c>
      <c r="AC18" s="715">
        <v>0.01</v>
      </c>
      <c r="AD18" s="1921" t="s">
        <v>1656</v>
      </c>
      <c r="AE18" s="1921" t="s">
        <v>1809</v>
      </c>
      <c r="AF18" s="705"/>
      <c r="AG18" s="705"/>
      <c r="AH18" s="705"/>
      <c r="AI18" s="705"/>
      <c r="AJ18" s="762"/>
      <c r="AK18" s="762"/>
      <c r="AL18" s="762"/>
      <c r="AM18" s="1997" t="s">
        <v>1669</v>
      </c>
      <c r="AO18" s="797"/>
      <c r="AR18" s="797"/>
    </row>
    <row r="19" spans="1:44" ht="16.5" thickBot="1">
      <c r="A19" s="1920"/>
      <c r="B19" s="1923"/>
      <c r="C19" s="1923"/>
      <c r="D19" s="1923"/>
      <c r="E19" s="638" t="s">
        <v>1780</v>
      </c>
      <c r="F19" s="911" t="s">
        <v>1781</v>
      </c>
      <c r="G19" s="716" t="s">
        <v>1742</v>
      </c>
      <c r="H19" s="812">
        <v>700000</v>
      </c>
      <c r="I19" s="716" t="s">
        <v>34</v>
      </c>
      <c r="J19" s="716" t="s">
        <v>34</v>
      </c>
      <c r="K19" s="716" t="s">
        <v>48</v>
      </c>
      <c r="L19" s="1914"/>
      <c r="M19" s="1914"/>
      <c r="N19" s="1995"/>
      <c r="O19" s="1995"/>
      <c r="P19" s="1995"/>
      <c r="Q19" s="1995"/>
      <c r="R19" s="716"/>
      <c r="S19" s="1914"/>
      <c r="T19" s="719">
        <v>46.515072340436106</v>
      </c>
      <c r="U19" s="719">
        <v>85.105256751159885</v>
      </c>
      <c r="V19" s="719">
        <v>8.6663014468087223</v>
      </c>
      <c r="W19" s="719">
        <v>26.258362826850004</v>
      </c>
      <c r="X19" s="719">
        <v>309.75</v>
      </c>
      <c r="Y19" s="719">
        <v>15.06</v>
      </c>
      <c r="Z19" s="649">
        <f t="shared" si="0"/>
        <v>5.9573679725811921</v>
      </c>
      <c r="AA19" s="720">
        <v>0.01</v>
      </c>
      <c r="AB19" s="720">
        <v>0.01</v>
      </c>
      <c r="AC19" s="720">
        <v>0.01</v>
      </c>
      <c r="AD19" s="1923"/>
      <c r="AE19" s="1923"/>
      <c r="AF19" s="716"/>
      <c r="AG19" s="716"/>
      <c r="AH19" s="716"/>
      <c r="AI19" s="716"/>
      <c r="AJ19" s="763"/>
      <c r="AK19" s="763"/>
      <c r="AL19" s="763"/>
      <c r="AM19" s="1941"/>
      <c r="AO19" s="797"/>
    </row>
    <row r="20" spans="1:44" ht="16.5" thickBot="1">
      <c r="A20" s="721">
        <v>9</v>
      </c>
      <c r="B20" s="717" t="s">
        <v>1695</v>
      </c>
      <c r="C20" s="717" t="s">
        <v>1738</v>
      </c>
      <c r="D20" s="717">
        <v>107754</v>
      </c>
      <c r="E20" s="717" t="s">
        <v>1776</v>
      </c>
      <c r="F20" s="912" t="s">
        <v>1778</v>
      </c>
      <c r="G20" s="717" t="s">
        <v>1742</v>
      </c>
      <c r="H20" s="813">
        <v>700000</v>
      </c>
      <c r="I20" s="717" t="s">
        <v>48</v>
      </c>
      <c r="J20" s="717" t="s">
        <v>34</v>
      </c>
      <c r="K20" s="717" t="s">
        <v>48</v>
      </c>
      <c r="L20" s="717" t="s">
        <v>35</v>
      </c>
      <c r="M20" s="717">
        <v>3367</v>
      </c>
      <c r="N20" s="718">
        <v>44744</v>
      </c>
      <c r="O20" s="718">
        <v>44767</v>
      </c>
      <c r="P20" s="717"/>
      <c r="Q20" s="718">
        <v>44790</v>
      </c>
      <c r="R20" s="717"/>
      <c r="S20" s="717" t="s">
        <v>1786</v>
      </c>
      <c r="T20" s="717"/>
      <c r="U20" s="717"/>
      <c r="V20" s="717"/>
      <c r="W20" s="717"/>
      <c r="X20" s="717"/>
      <c r="Y20" s="717"/>
      <c r="Z20" s="671">
        <f t="shared" si="0"/>
        <v>0</v>
      </c>
      <c r="AA20" s="722"/>
      <c r="AB20" s="722"/>
      <c r="AC20" s="722"/>
      <c r="AD20" s="717" t="s">
        <v>1786</v>
      </c>
      <c r="AE20" s="717" t="s">
        <v>1786</v>
      </c>
      <c r="AF20" s="717"/>
      <c r="AG20" s="717"/>
      <c r="AH20" s="717"/>
      <c r="AI20" s="717"/>
      <c r="AJ20" s="764"/>
      <c r="AK20" s="764"/>
      <c r="AL20" s="764"/>
      <c r="AM20" s="723" t="s">
        <v>1669</v>
      </c>
    </row>
    <row r="21" spans="1:44" ht="21.75" customHeight="1" thickBot="1">
      <c r="A21" s="724">
        <v>10</v>
      </c>
      <c r="B21" s="699" t="s">
        <v>1550</v>
      </c>
      <c r="C21" s="699" t="s">
        <v>29</v>
      </c>
      <c r="D21" s="699" t="s">
        <v>1756</v>
      </c>
      <c r="E21" s="699" t="s">
        <v>1757</v>
      </c>
      <c r="F21" s="913" t="s">
        <v>1758</v>
      </c>
      <c r="G21" s="699" t="s">
        <v>1759</v>
      </c>
      <c r="H21" s="814">
        <v>132140</v>
      </c>
      <c r="I21" s="699" t="s">
        <v>34</v>
      </c>
      <c r="J21" s="699" t="s">
        <v>34</v>
      </c>
      <c r="K21" s="699" t="s">
        <v>48</v>
      </c>
      <c r="L21" s="699" t="s">
        <v>35</v>
      </c>
      <c r="M21" s="699" t="s">
        <v>36</v>
      </c>
      <c r="N21" s="725">
        <v>44747</v>
      </c>
      <c r="O21" s="725">
        <v>44772</v>
      </c>
      <c r="P21" s="725">
        <v>44772</v>
      </c>
      <c r="Q21" s="725">
        <v>44747</v>
      </c>
      <c r="R21" s="725">
        <v>44751</v>
      </c>
      <c r="S21" s="699" t="s">
        <v>1216</v>
      </c>
      <c r="T21" s="699">
        <v>201.24</v>
      </c>
      <c r="U21" s="730">
        <v>273.3701986259519</v>
      </c>
      <c r="V21" s="730">
        <v>16.491490201687565</v>
      </c>
      <c r="W21" s="699">
        <v>165.1</v>
      </c>
      <c r="X21" s="699">
        <v>27.5</v>
      </c>
      <c r="Y21" s="699">
        <v>17.89</v>
      </c>
      <c r="Z21" s="676">
        <f t="shared" si="0"/>
        <v>3.6123138046433283</v>
      </c>
      <c r="AA21" s="726">
        <v>0.01</v>
      </c>
      <c r="AB21" s="726">
        <v>0.01</v>
      </c>
      <c r="AC21" s="726">
        <v>0.01</v>
      </c>
      <c r="AD21" s="699" t="s">
        <v>1567</v>
      </c>
      <c r="AE21" s="700" t="s">
        <v>1804</v>
      </c>
      <c r="AF21" s="667">
        <f>U21-10</f>
        <v>263.3701986259519</v>
      </c>
      <c r="AG21" s="667">
        <f>W21</f>
        <v>165.1</v>
      </c>
      <c r="AH21" s="667">
        <f>X21</f>
        <v>27.5</v>
      </c>
      <c r="AI21" s="667">
        <f>Y21</f>
        <v>17.89</v>
      </c>
      <c r="AJ21" s="765">
        <v>0.01</v>
      </c>
      <c r="AK21" s="765">
        <v>0.01</v>
      </c>
      <c r="AL21" s="765">
        <v>0.01</v>
      </c>
      <c r="AM21" s="727" t="s">
        <v>1669</v>
      </c>
    </row>
    <row r="22" spans="1:44">
      <c r="A22" s="1933">
        <v>11</v>
      </c>
      <c r="B22" s="1913" t="s">
        <v>1550</v>
      </c>
      <c r="C22" s="1913" t="s">
        <v>29</v>
      </c>
      <c r="D22" s="1913" t="s">
        <v>1767</v>
      </c>
      <c r="E22" s="705" t="s">
        <v>1768</v>
      </c>
      <c r="F22" s="907" t="s">
        <v>1770</v>
      </c>
      <c r="G22" s="1913" t="s">
        <v>452</v>
      </c>
      <c r="H22" s="808">
        <v>192140</v>
      </c>
      <c r="I22" s="1913" t="s">
        <v>34</v>
      </c>
      <c r="J22" s="1913" t="s">
        <v>34</v>
      </c>
      <c r="K22" s="1913" t="s">
        <v>48</v>
      </c>
      <c r="L22" s="1913" t="s">
        <v>35</v>
      </c>
      <c r="M22" s="1913" t="s">
        <v>36</v>
      </c>
      <c r="N22" s="1960">
        <v>44755</v>
      </c>
      <c r="O22" s="1960">
        <v>44765</v>
      </c>
      <c r="P22" s="1960">
        <v>44765</v>
      </c>
      <c r="Q22" s="1960">
        <v>44755</v>
      </c>
      <c r="R22" s="1960">
        <v>44760</v>
      </c>
      <c r="S22" s="1913" t="s">
        <v>1216</v>
      </c>
      <c r="T22" s="705">
        <v>71.95</v>
      </c>
      <c r="U22" s="705">
        <v>120.81</v>
      </c>
      <c r="V22" s="705">
        <v>10.52</v>
      </c>
      <c r="W22" s="705">
        <v>135.76219955471251</v>
      </c>
      <c r="X22" s="705">
        <v>4</v>
      </c>
      <c r="Y22" s="705">
        <v>4.4400000000000004</v>
      </c>
      <c r="Z22" s="670">
        <f t="shared" si="0"/>
        <v>2.3212433400000001</v>
      </c>
      <c r="AA22" s="707">
        <v>0</v>
      </c>
      <c r="AB22" s="707">
        <v>0</v>
      </c>
      <c r="AC22" s="707">
        <v>0</v>
      </c>
      <c r="AD22" s="1913" t="s">
        <v>1656</v>
      </c>
      <c r="AE22" s="1913" t="str">
        <f>AE10</f>
        <v xml:space="preserve">Business Lost </v>
      </c>
      <c r="AF22" s="705"/>
      <c r="AG22" s="705"/>
      <c r="AH22" s="705"/>
      <c r="AI22" s="705"/>
      <c r="AJ22" s="761"/>
      <c r="AK22" s="761"/>
      <c r="AL22" s="761"/>
      <c r="AM22" s="1958" t="s">
        <v>1669</v>
      </c>
    </row>
    <row r="23" spans="1:44" ht="16.5" thickBot="1">
      <c r="A23" s="1994"/>
      <c r="B23" s="1914"/>
      <c r="C23" s="1914"/>
      <c r="D23" s="1914"/>
      <c r="E23" s="716" t="s">
        <v>1769</v>
      </c>
      <c r="F23" s="911" t="s">
        <v>1771</v>
      </c>
      <c r="G23" s="1914"/>
      <c r="H23" s="812">
        <v>192140</v>
      </c>
      <c r="I23" s="1914"/>
      <c r="J23" s="1914"/>
      <c r="K23" s="1914"/>
      <c r="L23" s="1914"/>
      <c r="M23" s="1914"/>
      <c r="N23" s="1995"/>
      <c r="O23" s="1995"/>
      <c r="P23" s="1914"/>
      <c r="Q23" s="1995"/>
      <c r="R23" s="1995"/>
      <c r="S23" s="1914"/>
      <c r="T23" s="716">
        <v>71.95</v>
      </c>
      <c r="U23" s="716">
        <v>120.81</v>
      </c>
      <c r="V23" s="716">
        <v>10.52</v>
      </c>
      <c r="W23" s="716">
        <v>135.76219955471251</v>
      </c>
      <c r="X23" s="716">
        <v>4</v>
      </c>
      <c r="Y23" s="716">
        <v>4.4400000000000004</v>
      </c>
      <c r="Z23" s="649">
        <f t="shared" si="0"/>
        <v>2.3212433400000001</v>
      </c>
      <c r="AA23" s="728">
        <v>0</v>
      </c>
      <c r="AB23" s="728">
        <v>0</v>
      </c>
      <c r="AC23" s="728">
        <v>0</v>
      </c>
      <c r="AD23" s="1914"/>
      <c r="AE23" s="1914"/>
      <c r="AF23" s="716"/>
      <c r="AG23" s="716"/>
      <c r="AH23" s="716"/>
      <c r="AI23" s="716"/>
      <c r="AJ23" s="764"/>
      <c r="AK23" s="764"/>
      <c r="AL23" s="764"/>
      <c r="AM23" s="1996"/>
    </row>
    <row r="24" spans="1:44" s="684" customFormat="1" ht="16.5" thickBot="1">
      <c r="A24" s="734">
        <v>12</v>
      </c>
      <c r="B24" s="735" t="s">
        <v>1550</v>
      </c>
      <c r="C24" s="735" t="s">
        <v>29</v>
      </c>
      <c r="D24" s="735" t="s">
        <v>1661</v>
      </c>
      <c r="E24" s="735" t="s">
        <v>1662</v>
      </c>
      <c r="F24" s="914" t="s">
        <v>1663</v>
      </c>
      <c r="G24" s="735" t="s">
        <v>452</v>
      </c>
      <c r="H24" s="815">
        <v>22800</v>
      </c>
      <c r="I24" s="735" t="s">
        <v>34</v>
      </c>
      <c r="J24" s="735" t="s">
        <v>34</v>
      </c>
      <c r="K24" s="735" t="s">
        <v>48</v>
      </c>
      <c r="L24" s="735" t="s">
        <v>35</v>
      </c>
      <c r="M24" s="735" t="s">
        <v>36</v>
      </c>
      <c r="N24" s="736">
        <v>44789</v>
      </c>
      <c r="O24" s="736">
        <v>44811</v>
      </c>
      <c r="P24" s="736">
        <v>44811</v>
      </c>
      <c r="Q24" s="736">
        <v>44789</v>
      </c>
      <c r="R24" s="736">
        <v>44794</v>
      </c>
      <c r="S24" s="735" t="s">
        <v>1216</v>
      </c>
      <c r="T24" s="735">
        <v>378.66822979383994</v>
      </c>
      <c r="U24" s="735">
        <v>583</v>
      </c>
      <c r="V24" s="735">
        <v>41.385484347521185</v>
      </c>
      <c r="W24" s="735">
        <f>287.379742609936-51.69</f>
        <v>235.68974260993599</v>
      </c>
      <c r="X24" s="735">
        <v>86.5</v>
      </c>
      <c r="Y24" s="735">
        <v>34.81</v>
      </c>
      <c r="Z24" s="735">
        <f t="shared" si="0"/>
        <v>1.32924</v>
      </c>
      <c r="AA24" s="737">
        <v>0.01</v>
      </c>
      <c r="AB24" s="737">
        <v>1.2500000000000001E-2</v>
      </c>
      <c r="AC24" s="737">
        <v>0.02</v>
      </c>
      <c r="AD24" s="742" t="s">
        <v>1567</v>
      </c>
      <c r="AE24" s="735" t="s">
        <v>1810</v>
      </c>
      <c r="AF24" s="735">
        <f>U24</f>
        <v>583</v>
      </c>
      <c r="AG24" s="735">
        <f>W24</f>
        <v>235.68974260993599</v>
      </c>
      <c r="AH24" s="735">
        <f>X24</f>
        <v>86.5</v>
      </c>
      <c r="AI24" s="735">
        <f>Y24</f>
        <v>34.81</v>
      </c>
      <c r="AJ24" s="766">
        <v>0.01</v>
      </c>
      <c r="AK24" s="766">
        <v>1.2500000000000001E-2</v>
      </c>
      <c r="AL24" s="766">
        <v>0.02</v>
      </c>
      <c r="AM24" s="738" t="s">
        <v>1669</v>
      </c>
    </row>
    <row r="25" spans="1:44" ht="16.5" thickBot="1">
      <c r="A25" s="739">
        <v>13</v>
      </c>
      <c r="B25" s="693" t="s">
        <v>1550</v>
      </c>
      <c r="C25" s="693" t="s">
        <v>29</v>
      </c>
      <c r="D25" s="693" t="s">
        <v>1783</v>
      </c>
      <c r="E25" s="693" t="s">
        <v>1784</v>
      </c>
      <c r="F25" s="906" t="s">
        <v>1785</v>
      </c>
      <c r="G25" s="693" t="s">
        <v>1759</v>
      </c>
      <c r="H25" s="807">
        <v>192140</v>
      </c>
      <c r="I25" s="693" t="s">
        <v>34</v>
      </c>
      <c r="J25" s="693" t="s">
        <v>34</v>
      </c>
      <c r="K25" s="693" t="s">
        <v>48</v>
      </c>
      <c r="L25" s="693" t="s">
        <v>35</v>
      </c>
      <c r="M25" s="693" t="s">
        <v>36</v>
      </c>
      <c r="N25" s="731">
        <v>44798</v>
      </c>
      <c r="O25" s="731">
        <v>44816</v>
      </c>
      <c r="P25" s="731">
        <v>44812</v>
      </c>
      <c r="Q25" s="731">
        <v>44798</v>
      </c>
      <c r="R25" s="731">
        <v>44804</v>
      </c>
      <c r="S25" s="693" t="s">
        <v>1216</v>
      </c>
      <c r="T25" s="703">
        <v>34.4426389176</v>
      </c>
      <c r="U25" s="703">
        <v>54.626284003754634</v>
      </c>
      <c r="V25" s="703">
        <v>4.1958527783520001</v>
      </c>
      <c r="W25" s="703">
        <v>58.223162387637501</v>
      </c>
      <c r="X25" s="703">
        <v>4</v>
      </c>
      <c r="Y25" s="703">
        <v>6.1773800000000012</v>
      </c>
      <c r="Z25" s="674">
        <f t="shared" si="0"/>
        <v>1.0495894208481416</v>
      </c>
      <c r="AA25" s="740">
        <v>2.5000000000000001E-3</v>
      </c>
      <c r="AB25" s="740">
        <v>2.5000000000000001E-3</v>
      </c>
      <c r="AC25" s="740">
        <v>2.5000000000000001E-3</v>
      </c>
      <c r="AD25" s="693" t="s">
        <v>1808</v>
      </c>
      <c r="AE25" s="686" t="s">
        <v>1807</v>
      </c>
      <c r="AF25" s="693"/>
      <c r="AG25" s="693"/>
      <c r="AH25" s="693"/>
      <c r="AI25" s="693"/>
      <c r="AJ25" s="760"/>
      <c r="AK25" s="760"/>
      <c r="AL25" s="760"/>
      <c r="AM25" s="741" t="s">
        <v>1669</v>
      </c>
    </row>
    <row r="26" spans="1:44">
      <c r="A26" s="1918">
        <v>14</v>
      </c>
      <c r="B26" s="1921" t="s">
        <v>1550</v>
      </c>
      <c r="C26" s="1921" t="s">
        <v>29</v>
      </c>
      <c r="D26" s="1921" t="s">
        <v>1787</v>
      </c>
      <c r="E26" s="705" t="s">
        <v>1788</v>
      </c>
      <c r="F26" s="2005" t="s">
        <v>817</v>
      </c>
      <c r="G26" s="1921" t="s">
        <v>452</v>
      </c>
      <c r="H26" s="808">
        <v>141770</v>
      </c>
      <c r="I26" s="1921" t="s">
        <v>34</v>
      </c>
      <c r="J26" s="1921" t="s">
        <v>34</v>
      </c>
      <c r="K26" s="1921" t="s">
        <v>34</v>
      </c>
      <c r="L26" s="1921" t="s">
        <v>35</v>
      </c>
      <c r="M26" s="1921" t="s">
        <v>36</v>
      </c>
      <c r="N26" s="1927">
        <v>44826</v>
      </c>
      <c r="O26" s="1927">
        <v>44845</v>
      </c>
      <c r="P26" s="1927">
        <v>44842</v>
      </c>
      <c r="Q26" s="1927">
        <v>44827</v>
      </c>
      <c r="R26" s="1927">
        <v>44834</v>
      </c>
      <c r="S26" s="1921" t="s">
        <v>1216</v>
      </c>
      <c r="T26" s="706">
        <v>109.89</v>
      </c>
      <c r="U26" s="706">
        <v>204.21</v>
      </c>
      <c r="V26" s="706">
        <v>16.28</v>
      </c>
      <c r="W26" s="706">
        <v>202.72</v>
      </c>
      <c r="X26" s="706">
        <f>16+10+23</f>
        <v>49</v>
      </c>
      <c r="Y26" s="706">
        <v>23.83</v>
      </c>
      <c r="Z26" s="633">
        <f t="shared" si="0"/>
        <v>2.8950851700000002</v>
      </c>
      <c r="AA26" s="743">
        <v>0.01</v>
      </c>
      <c r="AB26" s="743">
        <v>0.01</v>
      </c>
      <c r="AC26" s="743">
        <v>0.01</v>
      </c>
      <c r="AD26" s="1921" t="s">
        <v>1656</v>
      </c>
      <c r="AE26" s="1921" t="str">
        <f>AE22</f>
        <v xml:space="preserve">Business Lost </v>
      </c>
      <c r="AF26" s="705"/>
      <c r="AG26" s="705"/>
      <c r="AH26" s="705"/>
      <c r="AI26" s="705"/>
      <c r="AJ26" s="767"/>
      <c r="AK26" s="767"/>
      <c r="AL26" s="767"/>
      <c r="AM26" s="1940" t="s">
        <v>1669</v>
      </c>
    </row>
    <row r="27" spans="1:44">
      <c r="A27" s="1919"/>
      <c r="B27" s="1922"/>
      <c r="C27" s="1922"/>
      <c r="D27" s="1922"/>
      <c r="E27" s="708" t="s">
        <v>1789</v>
      </c>
      <c r="F27" s="2006"/>
      <c r="G27" s="1922"/>
      <c r="H27" s="809">
        <v>27570</v>
      </c>
      <c r="I27" s="1922"/>
      <c r="J27" s="1922"/>
      <c r="K27" s="1922"/>
      <c r="L27" s="1922"/>
      <c r="M27" s="1922"/>
      <c r="N27" s="2010"/>
      <c r="O27" s="2010"/>
      <c r="P27" s="2010"/>
      <c r="Q27" s="2010"/>
      <c r="R27" s="2010"/>
      <c r="S27" s="1922"/>
      <c r="T27" s="708">
        <v>109.89</v>
      </c>
      <c r="U27" s="708">
        <v>204.21</v>
      </c>
      <c r="V27" s="708">
        <v>16.28</v>
      </c>
      <c r="W27" s="708"/>
      <c r="X27" s="708"/>
      <c r="Y27" s="708"/>
      <c r="Z27" s="643">
        <f t="shared" si="0"/>
        <v>0.56300697</v>
      </c>
      <c r="AA27" s="744">
        <v>0.01</v>
      </c>
      <c r="AB27" s="744">
        <v>0.01</v>
      </c>
      <c r="AC27" s="744">
        <v>0.01</v>
      </c>
      <c r="AD27" s="1922"/>
      <c r="AE27" s="1922"/>
      <c r="AF27" s="708"/>
      <c r="AG27" s="708"/>
      <c r="AH27" s="708"/>
      <c r="AI27" s="708"/>
      <c r="AJ27" s="768"/>
      <c r="AK27" s="768"/>
      <c r="AL27" s="768"/>
      <c r="AM27" s="1963"/>
    </row>
    <row r="28" spans="1:44" ht="16.5" thickBot="1">
      <c r="A28" s="1992"/>
      <c r="B28" s="1962"/>
      <c r="C28" s="1962"/>
      <c r="D28" s="1962"/>
      <c r="E28" s="711" t="s">
        <v>1790</v>
      </c>
      <c r="F28" s="2007"/>
      <c r="G28" s="1962"/>
      <c r="H28" s="810">
        <v>22800</v>
      </c>
      <c r="I28" s="1962"/>
      <c r="J28" s="1962"/>
      <c r="K28" s="1962"/>
      <c r="L28" s="1962"/>
      <c r="M28" s="1962"/>
      <c r="N28" s="2011"/>
      <c r="O28" s="2011"/>
      <c r="P28" s="2011"/>
      <c r="Q28" s="2011"/>
      <c r="R28" s="2011"/>
      <c r="S28" s="1962"/>
      <c r="T28" s="711">
        <v>109.89</v>
      </c>
      <c r="U28" s="711">
        <v>204.21</v>
      </c>
      <c r="V28" s="711">
        <v>16.28</v>
      </c>
      <c r="W28" s="711"/>
      <c r="X28" s="711"/>
      <c r="Y28" s="711"/>
      <c r="Z28" s="647">
        <f t="shared" si="0"/>
        <v>0.46559879999999998</v>
      </c>
      <c r="AA28" s="745">
        <v>0.01</v>
      </c>
      <c r="AB28" s="745">
        <v>0.01</v>
      </c>
      <c r="AC28" s="745">
        <v>0.01</v>
      </c>
      <c r="AD28" s="1962"/>
      <c r="AE28" s="1962"/>
      <c r="AF28" s="711"/>
      <c r="AG28" s="711"/>
      <c r="AH28" s="711"/>
      <c r="AI28" s="711"/>
      <c r="AJ28" s="769"/>
      <c r="AK28" s="769"/>
      <c r="AL28" s="769"/>
      <c r="AM28" s="1964"/>
    </row>
    <row r="29" spans="1:44" ht="16.5" thickBot="1">
      <c r="A29" s="746">
        <v>15</v>
      </c>
      <c r="B29" s="686" t="s">
        <v>1791</v>
      </c>
      <c r="C29" s="686" t="s">
        <v>29</v>
      </c>
      <c r="D29" s="686" t="s">
        <v>1792</v>
      </c>
      <c r="E29" s="686" t="s">
        <v>1797</v>
      </c>
      <c r="F29" s="689" t="s">
        <v>1802</v>
      </c>
      <c r="G29" s="686" t="s">
        <v>1759</v>
      </c>
      <c r="H29" s="1998">
        <v>38166</v>
      </c>
      <c r="I29" s="686" t="s">
        <v>34</v>
      </c>
      <c r="J29" s="686" t="s">
        <v>34</v>
      </c>
      <c r="K29" s="686" t="s">
        <v>48</v>
      </c>
      <c r="L29" s="686" t="s">
        <v>35</v>
      </c>
      <c r="M29" s="686" t="s">
        <v>36</v>
      </c>
      <c r="N29" s="747">
        <v>44855</v>
      </c>
      <c r="O29" s="747">
        <v>44882</v>
      </c>
      <c r="P29" s="747">
        <v>44881</v>
      </c>
      <c r="Q29" s="747">
        <v>44855</v>
      </c>
      <c r="R29" s="747">
        <v>44865</v>
      </c>
      <c r="S29" s="686" t="s">
        <v>1216</v>
      </c>
      <c r="T29" s="686">
        <v>1020.5672401328882</v>
      </c>
      <c r="U29" s="686">
        <v>6614.5547242280736</v>
      </c>
      <c r="V29" s="686">
        <v>433.07273421334838</v>
      </c>
      <c r="W29" s="1913">
        <v>8134</v>
      </c>
      <c r="X29" s="1913">
        <v>256</v>
      </c>
      <c r="Y29" s="1913">
        <v>267.14999999999998</v>
      </c>
      <c r="Z29" s="2001">
        <f>(H29+U30)*U29/10^7</f>
        <v>29.620539234308325</v>
      </c>
      <c r="AA29" s="798">
        <v>0</v>
      </c>
      <c r="AB29" s="798">
        <v>0</v>
      </c>
      <c r="AC29" s="798">
        <v>0</v>
      </c>
      <c r="AD29" s="1913" t="s">
        <v>1657</v>
      </c>
      <c r="AE29" s="1913" t="s">
        <v>1675</v>
      </c>
      <c r="AF29" s="686"/>
      <c r="AG29" s="686"/>
      <c r="AH29" s="686"/>
      <c r="AI29" s="686"/>
      <c r="AJ29" s="770"/>
      <c r="AK29" s="770"/>
      <c r="AL29" s="770"/>
      <c r="AM29" s="748" t="s">
        <v>2052</v>
      </c>
    </row>
    <row r="30" spans="1:44" ht="16.5" thickBot="1">
      <c r="A30" s="746">
        <v>16</v>
      </c>
      <c r="B30" s="686" t="s">
        <v>1791</v>
      </c>
      <c r="C30" s="686" t="s">
        <v>29</v>
      </c>
      <c r="D30" s="686" t="s">
        <v>1793</v>
      </c>
      <c r="E30" s="686" t="s">
        <v>1798</v>
      </c>
      <c r="F30" s="689" t="s">
        <v>1803</v>
      </c>
      <c r="G30" s="686" t="s">
        <v>1759</v>
      </c>
      <c r="H30" s="1999"/>
      <c r="I30" s="686" t="s">
        <v>34</v>
      </c>
      <c r="J30" s="686" t="s">
        <v>34</v>
      </c>
      <c r="K30" s="686" t="s">
        <v>48</v>
      </c>
      <c r="L30" s="686" t="s">
        <v>35</v>
      </c>
      <c r="M30" s="686" t="s">
        <v>36</v>
      </c>
      <c r="N30" s="747">
        <v>44855</v>
      </c>
      <c r="O30" s="747">
        <f t="shared" ref="O30:P32" si="2">O29</f>
        <v>44882</v>
      </c>
      <c r="P30" s="747">
        <f t="shared" si="2"/>
        <v>44881</v>
      </c>
      <c r="Q30" s="747">
        <v>44855</v>
      </c>
      <c r="R30" s="747">
        <v>44865</v>
      </c>
      <c r="S30" s="686" t="str">
        <f>S29</f>
        <v>SUBMITTED</v>
      </c>
      <c r="T30" s="686">
        <v>1020.5672401328882</v>
      </c>
      <c r="U30" s="686">
        <v>6614.8514242280744</v>
      </c>
      <c r="V30" s="686">
        <v>433.07733421334837</v>
      </c>
      <c r="W30" s="1862"/>
      <c r="X30" s="1862"/>
      <c r="Y30" s="1862"/>
      <c r="Z30" s="2002"/>
      <c r="AA30" s="798">
        <v>0</v>
      </c>
      <c r="AB30" s="798">
        <v>0</v>
      </c>
      <c r="AC30" s="798">
        <v>0</v>
      </c>
      <c r="AD30" s="1862"/>
      <c r="AE30" s="1862"/>
      <c r="AF30" s="686"/>
      <c r="AG30" s="686"/>
      <c r="AH30" s="686"/>
      <c r="AI30" s="686"/>
      <c r="AJ30" s="770"/>
      <c r="AK30" s="770"/>
      <c r="AL30" s="770"/>
      <c r="AM30" s="748" t="s">
        <v>2052</v>
      </c>
    </row>
    <row r="31" spans="1:44" ht="16.5" thickBot="1">
      <c r="A31" s="746">
        <v>17</v>
      </c>
      <c r="B31" s="686" t="s">
        <v>1791</v>
      </c>
      <c r="C31" s="686" t="s">
        <v>29</v>
      </c>
      <c r="D31" s="686" t="s">
        <v>1794</v>
      </c>
      <c r="E31" s="686" t="s">
        <v>1799</v>
      </c>
      <c r="F31" s="689" t="s">
        <v>1802</v>
      </c>
      <c r="G31" s="686" t="s">
        <v>1759</v>
      </c>
      <c r="H31" s="1999"/>
      <c r="I31" s="686" t="s">
        <v>34</v>
      </c>
      <c r="J31" s="686" t="s">
        <v>34</v>
      </c>
      <c r="K31" s="686" t="s">
        <v>48</v>
      </c>
      <c r="L31" s="686" t="s">
        <v>35</v>
      </c>
      <c r="M31" s="686" t="s">
        <v>36</v>
      </c>
      <c r="N31" s="747">
        <v>44855</v>
      </c>
      <c r="O31" s="747">
        <f t="shared" si="2"/>
        <v>44882</v>
      </c>
      <c r="P31" s="747">
        <f t="shared" si="2"/>
        <v>44881</v>
      </c>
      <c r="Q31" s="747">
        <v>44855</v>
      </c>
      <c r="R31" s="747">
        <v>44865</v>
      </c>
      <c r="S31" s="686" t="str">
        <f>S30</f>
        <v>SUBMITTED</v>
      </c>
      <c r="T31" s="686">
        <v>1020.5672401328882</v>
      </c>
      <c r="U31" s="686">
        <v>6809.5898242280737</v>
      </c>
      <c r="V31" s="686">
        <v>436.09653421334838</v>
      </c>
      <c r="W31" s="1862"/>
      <c r="X31" s="1862"/>
      <c r="Y31" s="1862"/>
      <c r="Z31" s="2002"/>
      <c r="AA31" s="798">
        <v>0</v>
      </c>
      <c r="AB31" s="798">
        <v>0</v>
      </c>
      <c r="AC31" s="798">
        <v>0</v>
      </c>
      <c r="AD31" s="1862"/>
      <c r="AE31" s="1862"/>
      <c r="AF31" s="686"/>
      <c r="AG31" s="686"/>
      <c r="AH31" s="686"/>
      <c r="AI31" s="686"/>
      <c r="AJ31" s="770"/>
      <c r="AK31" s="770"/>
      <c r="AL31" s="770"/>
      <c r="AM31" s="748" t="s">
        <v>2052</v>
      </c>
    </row>
    <row r="32" spans="1:44" ht="16.5" thickBot="1">
      <c r="A32" s="746">
        <v>18</v>
      </c>
      <c r="B32" s="686" t="s">
        <v>1791</v>
      </c>
      <c r="C32" s="686" t="s">
        <v>29</v>
      </c>
      <c r="D32" s="686" t="s">
        <v>1795</v>
      </c>
      <c r="E32" s="686" t="s">
        <v>1800</v>
      </c>
      <c r="F32" s="689" t="s">
        <v>1803</v>
      </c>
      <c r="G32" s="686" t="s">
        <v>1759</v>
      </c>
      <c r="H32" s="2000"/>
      <c r="I32" s="686" t="s">
        <v>34</v>
      </c>
      <c r="J32" s="686" t="s">
        <v>34</v>
      </c>
      <c r="K32" s="686" t="s">
        <v>48</v>
      </c>
      <c r="L32" s="686" t="s">
        <v>35</v>
      </c>
      <c r="M32" s="686" t="s">
        <v>36</v>
      </c>
      <c r="N32" s="747">
        <v>44855</v>
      </c>
      <c r="O32" s="747">
        <f t="shared" si="2"/>
        <v>44882</v>
      </c>
      <c r="P32" s="747">
        <f t="shared" si="2"/>
        <v>44881</v>
      </c>
      <c r="Q32" s="747">
        <v>44855</v>
      </c>
      <c r="R32" s="747">
        <v>44865</v>
      </c>
      <c r="S32" s="686" t="str">
        <f>S31</f>
        <v>SUBMITTED</v>
      </c>
      <c r="T32" s="686">
        <v>1020.5672401328882</v>
      </c>
      <c r="U32" s="686">
        <v>6809.8865242280735</v>
      </c>
      <c r="V32" s="686">
        <v>436.10113421334836</v>
      </c>
      <c r="W32" s="1914"/>
      <c r="X32" s="1914"/>
      <c r="Y32" s="1914"/>
      <c r="Z32" s="2003"/>
      <c r="AA32" s="798">
        <v>0</v>
      </c>
      <c r="AB32" s="798">
        <v>0</v>
      </c>
      <c r="AC32" s="798">
        <v>0</v>
      </c>
      <c r="AD32" s="1914"/>
      <c r="AE32" s="1914"/>
      <c r="AF32" s="686"/>
      <c r="AG32" s="686"/>
      <c r="AH32" s="686"/>
      <c r="AI32" s="686"/>
      <c r="AJ32" s="770"/>
      <c r="AK32" s="770"/>
      <c r="AL32" s="770"/>
      <c r="AM32" s="748" t="s">
        <v>2052</v>
      </c>
    </row>
    <row r="33" spans="1:39" ht="16.5" thickBot="1">
      <c r="A33" s="746">
        <v>19</v>
      </c>
      <c r="B33" s="686" t="s">
        <v>1550</v>
      </c>
      <c r="C33" s="686" t="s">
        <v>29</v>
      </c>
      <c r="D33" s="686" t="s">
        <v>1796</v>
      </c>
      <c r="E33" s="686" t="s">
        <v>1801</v>
      </c>
      <c r="F33" s="689" t="s">
        <v>1259</v>
      </c>
      <c r="G33" s="686" t="s">
        <v>1759</v>
      </c>
      <c r="H33" s="816">
        <v>40140</v>
      </c>
      <c r="I33" s="686" t="s">
        <v>34</v>
      </c>
      <c r="J33" s="686" t="s">
        <v>34</v>
      </c>
      <c r="K33" s="686" t="s">
        <v>48</v>
      </c>
      <c r="L33" s="686" t="s">
        <v>35</v>
      </c>
      <c r="M33" s="686" t="s">
        <v>36</v>
      </c>
      <c r="N33" s="747">
        <v>44855</v>
      </c>
      <c r="O33" s="747">
        <v>44870</v>
      </c>
      <c r="P33" s="747">
        <v>44870</v>
      </c>
      <c r="Q33" s="747">
        <v>44855</v>
      </c>
      <c r="R33" s="747">
        <v>44865</v>
      </c>
      <c r="S33" s="686" t="s">
        <v>1216</v>
      </c>
      <c r="T33" s="749">
        <v>35.125984961600004</v>
      </c>
      <c r="U33" s="750">
        <v>58.416120817715964</v>
      </c>
      <c r="V33" s="750">
        <v>4.7080208990055645</v>
      </c>
      <c r="W33" s="750">
        <v>49.909292294399989</v>
      </c>
      <c r="X33" s="750">
        <v>20.5</v>
      </c>
      <c r="Y33" s="750">
        <v>7.3215149999999998</v>
      </c>
      <c r="Z33" s="671">
        <f>H33*U33/10^7</f>
        <v>0.23448230896231187</v>
      </c>
      <c r="AA33" s="751">
        <v>2.5000000000000001E-3</v>
      </c>
      <c r="AB33" s="751">
        <v>2.5000000000000001E-3</v>
      </c>
      <c r="AC33" s="751">
        <v>2.5000000000000001E-3</v>
      </c>
      <c r="AD33" s="686" t="s">
        <v>1808</v>
      </c>
      <c r="AE33" s="686" t="s">
        <v>1807</v>
      </c>
      <c r="AF33" s="686"/>
      <c r="AG33" s="686"/>
      <c r="AH33" s="686"/>
      <c r="AI33" s="686"/>
      <c r="AJ33" s="770"/>
      <c r="AK33" s="770"/>
      <c r="AL33" s="770"/>
      <c r="AM33" s="748" t="s">
        <v>1669</v>
      </c>
    </row>
    <row r="34" spans="1:39" ht="16.5" thickBot="1">
      <c r="A34" s="746">
        <f t="shared" ref="A34:A58" si="3">A33+1</f>
        <v>20</v>
      </c>
      <c r="B34" s="686" t="s">
        <v>1887</v>
      </c>
      <c r="C34" s="686" t="s">
        <v>29</v>
      </c>
      <c r="D34" s="686" t="s">
        <v>1811</v>
      </c>
      <c r="E34" s="686" t="s">
        <v>1826</v>
      </c>
      <c r="F34" s="689" t="s">
        <v>1816</v>
      </c>
      <c r="G34" s="686" t="s">
        <v>1815</v>
      </c>
      <c r="H34" s="800">
        <v>800</v>
      </c>
      <c r="I34" s="686" t="s">
        <v>48</v>
      </c>
      <c r="J34" s="686" t="s">
        <v>34</v>
      </c>
      <c r="K34" s="686" t="s">
        <v>34</v>
      </c>
      <c r="L34" s="686" t="s">
        <v>35</v>
      </c>
      <c r="M34" s="686" t="s">
        <v>36</v>
      </c>
      <c r="N34" s="866">
        <v>44966</v>
      </c>
      <c r="O34" s="747">
        <v>45005</v>
      </c>
      <c r="P34" s="747"/>
      <c r="Q34" s="747"/>
      <c r="R34" s="747"/>
      <c r="S34" s="686" t="s">
        <v>2006</v>
      </c>
      <c r="T34" s="749"/>
      <c r="U34" s="750"/>
      <c r="V34" s="750"/>
      <c r="W34" s="750"/>
      <c r="X34" s="750"/>
      <c r="Y34" s="750"/>
      <c r="Z34" s="640"/>
      <c r="AA34" s="751"/>
      <c r="AB34" s="751"/>
      <c r="AC34" s="751"/>
      <c r="AD34" s="834"/>
      <c r="AE34" s="1924" t="s">
        <v>2007</v>
      </c>
      <c r="AF34" s="835"/>
      <c r="AG34" s="686"/>
      <c r="AH34" s="686"/>
      <c r="AI34" s="686"/>
      <c r="AJ34" s="770"/>
      <c r="AK34" s="770"/>
      <c r="AL34" s="770"/>
      <c r="AM34" s="748" t="s">
        <v>2052</v>
      </c>
    </row>
    <row r="35" spans="1:39" ht="16.5" thickBot="1">
      <c r="A35" s="746">
        <f t="shared" si="3"/>
        <v>21</v>
      </c>
      <c r="B35" s="686" t="s">
        <v>1887</v>
      </c>
      <c r="C35" s="686" t="s">
        <v>29</v>
      </c>
      <c r="D35" s="686" t="s">
        <v>1812</v>
      </c>
      <c r="E35" s="686" t="s">
        <v>1827</v>
      </c>
      <c r="F35" s="689" t="s">
        <v>1817</v>
      </c>
      <c r="G35" s="686" t="s">
        <v>1815</v>
      </c>
      <c r="H35" s="800">
        <v>20</v>
      </c>
      <c r="I35" s="686" t="s">
        <v>48</v>
      </c>
      <c r="J35" s="686" t="s">
        <v>34</v>
      </c>
      <c r="K35" s="686" t="s">
        <v>34</v>
      </c>
      <c r="L35" s="686" t="s">
        <v>35</v>
      </c>
      <c r="M35" s="686" t="s">
        <v>36</v>
      </c>
      <c r="N35" s="866">
        <v>44966</v>
      </c>
      <c r="O35" s="747">
        <v>45005</v>
      </c>
      <c r="P35" s="747"/>
      <c r="Q35" s="747"/>
      <c r="R35" s="747"/>
      <c r="S35" s="686" t="s">
        <v>2006</v>
      </c>
      <c r="T35" s="749"/>
      <c r="U35" s="750"/>
      <c r="V35" s="750"/>
      <c r="W35" s="750"/>
      <c r="X35" s="750"/>
      <c r="Y35" s="750"/>
      <c r="Z35" s="640"/>
      <c r="AA35" s="751"/>
      <c r="AB35" s="751"/>
      <c r="AC35" s="751"/>
      <c r="AD35" s="834"/>
      <c r="AE35" s="1925"/>
      <c r="AF35" s="835"/>
      <c r="AG35" s="686"/>
      <c r="AH35" s="686"/>
      <c r="AI35" s="686"/>
      <c r="AJ35" s="770"/>
      <c r="AK35" s="770"/>
      <c r="AL35" s="770"/>
      <c r="AM35" s="748" t="s">
        <v>2052</v>
      </c>
    </row>
    <row r="36" spans="1:39" ht="16.5" thickBot="1">
      <c r="A36" s="746">
        <f t="shared" si="3"/>
        <v>22</v>
      </c>
      <c r="B36" s="686" t="s">
        <v>1887</v>
      </c>
      <c r="C36" s="686" t="s">
        <v>29</v>
      </c>
      <c r="D36" s="686" t="s">
        <v>1813</v>
      </c>
      <c r="E36" s="686" t="s">
        <v>1828</v>
      </c>
      <c r="F36" s="689" t="s">
        <v>1818</v>
      </c>
      <c r="G36" s="686" t="s">
        <v>1815</v>
      </c>
      <c r="H36" s="800">
        <v>700</v>
      </c>
      <c r="I36" s="686" t="s">
        <v>48</v>
      </c>
      <c r="J36" s="686" t="s">
        <v>34</v>
      </c>
      <c r="K36" s="686" t="s">
        <v>34</v>
      </c>
      <c r="L36" s="686" t="s">
        <v>35</v>
      </c>
      <c r="M36" s="686" t="s">
        <v>36</v>
      </c>
      <c r="N36" s="866">
        <v>44966</v>
      </c>
      <c r="O36" s="747">
        <v>45005</v>
      </c>
      <c r="P36" s="747"/>
      <c r="Q36" s="747"/>
      <c r="R36" s="747"/>
      <c r="S36" s="686" t="s">
        <v>2006</v>
      </c>
      <c r="T36" s="749"/>
      <c r="U36" s="750"/>
      <c r="V36" s="750"/>
      <c r="W36" s="750"/>
      <c r="X36" s="750"/>
      <c r="Y36" s="750"/>
      <c r="Z36" s="640"/>
      <c r="AA36" s="751"/>
      <c r="AB36" s="751"/>
      <c r="AC36" s="751"/>
      <c r="AD36" s="834"/>
      <c r="AE36" s="1925"/>
      <c r="AF36" s="835"/>
      <c r="AG36" s="686"/>
      <c r="AH36" s="686"/>
      <c r="AI36" s="686"/>
      <c r="AJ36" s="770"/>
      <c r="AK36" s="770"/>
      <c r="AL36" s="770"/>
      <c r="AM36" s="748" t="s">
        <v>2052</v>
      </c>
    </row>
    <row r="37" spans="1:39" ht="16.5" thickBot="1">
      <c r="A37" s="746">
        <f t="shared" si="3"/>
        <v>23</v>
      </c>
      <c r="B37" s="686" t="s">
        <v>1887</v>
      </c>
      <c r="C37" s="686" t="s">
        <v>29</v>
      </c>
      <c r="D37" s="686" t="s">
        <v>1814</v>
      </c>
      <c r="E37" s="686" t="s">
        <v>1829</v>
      </c>
      <c r="F37" s="689" t="s">
        <v>1819</v>
      </c>
      <c r="G37" s="686" t="s">
        <v>1815</v>
      </c>
      <c r="H37" s="800">
        <v>20</v>
      </c>
      <c r="I37" s="686" t="s">
        <v>48</v>
      </c>
      <c r="J37" s="686" t="s">
        <v>34</v>
      </c>
      <c r="K37" s="686" t="s">
        <v>34</v>
      </c>
      <c r="L37" s="686" t="s">
        <v>35</v>
      </c>
      <c r="M37" s="686" t="s">
        <v>36</v>
      </c>
      <c r="N37" s="866">
        <v>44966</v>
      </c>
      <c r="O37" s="747">
        <v>45005</v>
      </c>
      <c r="P37" s="747"/>
      <c r="Q37" s="747"/>
      <c r="R37" s="747"/>
      <c r="S37" s="1253" t="s">
        <v>2006</v>
      </c>
      <c r="T37" s="749"/>
      <c r="U37" s="750"/>
      <c r="V37" s="750"/>
      <c r="W37" s="750"/>
      <c r="X37" s="750"/>
      <c r="Y37" s="750"/>
      <c r="Z37" s="640"/>
      <c r="AA37" s="751"/>
      <c r="AB37" s="751"/>
      <c r="AC37" s="751"/>
      <c r="AD37" s="834"/>
      <c r="AE37" s="1925"/>
      <c r="AF37" s="835"/>
      <c r="AG37" s="686"/>
      <c r="AH37" s="686"/>
      <c r="AI37" s="686"/>
      <c r="AJ37" s="770"/>
      <c r="AK37" s="770"/>
      <c r="AL37" s="770"/>
      <c r="AM37" s="748" t="s">
        <v>2052</v>
      </c>
    </row>
    <row r="38" spans="1:39" ht="16.5" thickBot="1">
      <c r="A38" s="746">
        <f t="shared" si="3"/>
        <v>24</v>
      </c>
      <c r="B38" s="686" t="s">
        <v>1887</v>
      </c>
      <c r="C38" s="686" t="s">
        <v>29</v>
      </c>
      <c r="D38" s="686" t="s">
        <v>1820</v>
      </c>
      <c r="E38" s="686" t="s">
        <v>1830</v>
      </c>
      <c r="F38" s="689" t="s">
        <v>1831</v>
      </c>
      <c r="G38" s="686" t="s">
        <v>1815</v>
      </c>
      <c r="H38" s="800">
        <v>1300</v>
      </c>
      <c r="I38" s="686" t="s">
        <v>48</v>
      </c>
      <c r="J38" s="686" t="s">
        <v>34</v>
      </c>
      <c r="K38" s="686" t="s">
        <v>34</v>
      </c>
      <c r="L38" s="686" t="s">
        <v>35</v>
      </c>
      <c r="M38" s="686" t="s">
        <v>36</v>
      </c>
      <c r="N38" s="866">
        <v>44973</v>
      </c>
      <c r="O38" s="747">
        <v>45005</v>
      </c>
      <c r="P38" s="747"/>
      <c r="Q38" s="747"/>
      <c r="R38" s="747"/>
      <c r="S38" s="1253" t="s">
        <v>2006</v>
      </c>
      <c r="T38" s="749"/>
      <c r="U38" s="750"/>
      <c r="V38" s="750"/>
      <c r="W38" s="750"/>
      <c r="X38" s="750"/>
      <c r="Y38" s="750"/>
      <c r="Z38" s="640"/>
      <c r="AA38" s="751"/>
      <c r="AB38" s="751"/>
      <c r="AC38" s="751"/>
      <c r="AD38" s="834"/>
      <c r="AE38" s="1925"/>
      <c r="AF38" s="835"/>
      <c r="AG38" s="686"/>
      <c r="AH38" s="686"/>
      <c r="AI38" s="686"/>
      <c r="AJ38" s="770"/>
      <c r="AK38" s="770"/>
      <c r="AL38" s="770"/>
      <c r="AM38" s="748" t="s">
        <v>2052</v>
      </c>
    </row>
    <row r="39" spans="1:39" ht="16.5" thickBot="1">
      <c r="A39" s="746">
        <f t="shared" si="3"/>
        <v>25</v>
      </c>
      <c r="B39" s="686" t="s">
        <v>1887</v>
      </c>
      <c r="C39" s="686" t="s">
        <v>29</v>
      </c>
      <c r="D39" s="686" t="s">
        <v>1821</v>
      </c>
      <c r="E39" s="686" t="s">
        <v>1832</v>
      </c>
      <c r="F39" s="689" t="s">
        <v>1833</v>
      </c>
      <c r="G39" s="686" t="s">
        <v>1815</v>
      </c>
      <c r="H39" s="800">
        <v>1900</v>
      </c>
      <c r="I39" s="686" t="s">
        <v>48</v>
      </c>
      <c r="J39" s="686" t="s">
        <v>34</v>
      </c>
      <c r="K39" s="686" t="s">
        <v>34</v>
      </c>
      <c r="L39" s="686" t="s">
        <v>35</v>
      </c>
      <c r="M39" s="686" t="s">
        <v>36</v>
      </c>
      <c r="N39" s="866">
        <v>44973</v>
      </c>
      <c r="O39" s="747">
        <v>45005</v>
      </c>
      <c r="P39" s="747"/>
      <c r="Q39" s="747"/>
      <c r="R39" s="747"/>
      <c r="S39" s="1253" t="s">
        <v>2006</v>
      </c>
      <c r="T39" s="749"/>
      <c r="U39" s="750"/>
      <c r="V39" s="750"/>
      <c r="W39" s="750"/>
      <c r="X39" s="750"/>
      <c r="Y39" s="750"/>
      <c r="Z39" s="640"/>
      <c r="AA39" s="751"/>
      <c r="AB39" s="751"/>
      <c r="AC39" s="751"/>
      <c r="AD39" s="834"/>
      <c r="AE39" s="1925"/>
      <c r="AF39" s="835"/>
      <c r="AG39" s="686"/>
      <c r="AH39" s="686"/>
      <c r="AI39" s="686"/>
      <c r="AJ39" s="770"/>
      <c r="AK39" s="770"/>
      <c r="AL39" s="770"/>
      <c r="AM39" s="748" t="s">
        <v>2052</v>
      </c>
    </row>
    <row r="40" spans="1:39" ht="16.5" thickBot="1">
      <c r="A40" s="746">
        <f t="shared" si="3"/>
        <v>26</v>
      </c>
      <c r="B40" s="686" t="s">
        <v>1887</v>
      </c>
      <c r="C40" s="686" t="s">
        <v>29</v>
      </c>
      <c r="D40" s="686" t="s">
        <v>1822</v>
      </c>
      <c r="E40" s="742" t="s">
        <v>1834</v>
      </c>
      <c r="F40" s="689" t="s">
        <v>1835</v>
      </c>
      <c r="G40" s="686" t="s">
        <v>1815</v>
      </c>
      <c r="H40" s="800">
        <v>2400</v>
      </c>
      <c r="I40" s="686" t="s">
        <v>48</v>
      </c>
      <c r="J40" s="686" t="s">
        <v>34</v>
      </c>
      <c r="K40" s="686" t="s">
        <v>34</v>
      </c>
      <c r="L40" s="686" t="s">
        <v>35</v>
      </c>
      <c r="M40" s="686" t="s">
        <v>36</v>
      </c>
      <c r="N40" s="866">
        <v>44973</v>
      </c>
      <c r="O40" s="747">
        <v>45005</v>
      </c>
      <c r="P40" s="747"/>
      <c r="Q40" s="747"/>
      <c r="R40" s="747"/>
      <c r="S40" s="1253" t="s">
        <v>2006</v>
      </c>
      <c r="T40" s="1251">
        <v>404.02</v>
      </c>
      <c r="U40" s="1251"/>
      <c r="V40" s="750"/>
      <c r="W40" s="750"/>
      <c r="X40" s="750"/>
      <c r="Y40" s="750"/>
      <c r="Z40" s="640"/>
      <c r="AA40" s="751"/>
      <c r="AB40" s="751"/>
      <c r="AC40" s="751"/>
      <c r="AD40" s="834"/>
      <c r="AE40" s="1925"/>
      <c r="AF40" s="835"/>
      <c r="AG40" s="686"/>
      <c r="AH40" s="686"/>
      <c r="AI40" s="686"/>
      <c r="AJ40" s="770"/>
      <c r="AK40" s="770"/>
      <c r="AL40" s="770"/>
      <c r="AM40" s="748" t="s">
        <v>2052</v>
      </c>
    </row>
    <row r="41" spans="1:39" ht="16.5" thickBot="1">
      <c r="A41" s="746">
        <f t="shared" si="3"/>
        <v>27</v>
      </c>
      <c r="B41" s="686" t="s">
        <v>1887</v>
      </c>
      <c r="C41" s="686" t="s">
        <v>29</v>
      </c>
      <c r="D41" s="686" t="s">
        <v>1823</v>
      </c>
      <c r="E41" s="742" t="s">
        <v>1836</v>
      </c>
      <c r="F41" s="689" t="s">
        <v>1837</v>
      </c>
      <c r="G41" s="686" t="s">
        <v>1815</v>
      </c>
      <c r="H41" s="800">
        <v>162</v>
      </c>
      <c r="I41" s="686" t="s">
        <v>48</v>
      </c>
      <c r="J41" s="686" t="s">
        <v>34</v>
      </c>
      <c r="K41" s="686" t="s">
        <v>34</v>
      </c>
      <c r="L41" s="686" t="s">
        <v>35</v>
      </c>
      <c r="M41" s="686" t="s">
        <v>36</v>
      </c>
      <c r="N41" s="866">
        <v>44981</v>
      </c>
      <c r="O41" s="747">
        <v>45005</v>
      </c>
      <c r="P41" s="747"/>
      <c r="Q41" s="747"/>
      <c r="R41" s="747"/>
      <c r="S41" s="1253" t="s">
        <v>2006</v>
      </c>
      <c r="T41" s="1251">
        <v>397.42</v>
      </c>
      <c r="U41" s="1251"/>
      <c r="V41" s="750"/>
      <c r="W41" s="750"/>
      <c r="X41" s="750"/>
      <c r="Y41" s="750"/>
      <c r="Z41" s="640"/>
      <c r="AA41" s="751"/>
      <c r="AB41" s="751"/>
      <c r="AC41" s="751"/>
      <c r="AD41" s="834"/>
      <c r="AE41" s="1925"/>
      <c r="AF41" s="835"/>
      <c r="AG41" s="686"/>
      <c r="AH41" s="686"/>
      <c r="AI41" s="686"/>
      <c r="AJ41" s="770"/>
      <c r="AK41" s="770"/>
      <c r="AL41" s="770"/>
      <c r="AM41" s="748" t="s">
        <v>2052</v>
      </c>
    </row>
    <row r="42" spans="1:39" ht="16.5" thickBot="1">
      <c r="A42" s="746">
        <f t="shared" si="3"/>
        <v>28</v>
      </c>
      <c r="B42" s="686" t="s">
        <v>1887</v>
      </c>
      <c r="C42" s="686" t="s">
        <v>29</v>
      </c>
      <c r="D42" s="686" t="s">
        <v>1824</v>
      </c>
      <c r="E42" s="742" t="s">
        <v>1838</v>
      </c>
      <c r="F42" s="689" t="s">
        <v>1839</v>
      </c>
      <c r="G42" s="686" t="s">
        <v>1815</v>
      </c>
      <c r="H42" s="800">
        <v>1115</v>
      </c>
      <c r="I42" s="686" t="s">
        <v>48</v>
      </c>
      <c r="J42" s="686" t="s">
        <v>34</v>
      </c>
      <c r="K42" s="686" t="s">
        <v>34</v>
      </c>
      <c r="L42" s="686" t="s">
        <v>35</v>
      </c>
      <c r="M42" s="686" t="s">
        <v>36</v>
      </c>
      <c r="N42" s="866">
        <v>44981</v>
      </c>
      <c r="O42" s="747">
        <v>45005</v>
      </c>
      <c r="P42" s="747"/>
      <c r="Q42" s="747"/>
      <c r="R42" s="747"/>
      <c r="S42" s="1253" t="s">
        <v>2006</v>
      </c>
      <c r="T42" s="749"/>
      <c r="U42" s="750"/>
      <c r="V42" s="750"/>
      <c r="W42" s="750"/>
      <c r="X42" s="750"/>
      <c r="Y42" s="750"/>
      <c r="Z42" s="640"/>
      <c r="AA42" s="751"/>
      <c r="AB42" s="751"/>
      <c r="AC42" s="751"/>
      <c r="AD42" s="834"/>
      <c r="AE42" s="1925"/>
      <c r="AF42" s="835"/>
      <c r="AG42" s="686"/>
      <c r="AH42" s="686"/>
      <c r="AI42" s="686"/>
      <c r="AJ42" s="770"/>
      <c r="AK42" s="770"/>
      <c r="AL42" s="770"/>
      <c r="AM42" s="748" t="s">
        <v>2052</v>
      </c>
    </row>
    <row r="43" spans="1:39" ht="16.5" thickBot="1">
      <c r="A43" s="746">
        <f t="shared" si="3"/>
        <v>29</v>
      </c>
      <c r="B43" s="686" t="s">
        <v>1887</v>
      </c>
      <c r="C43" s="686" t="s">
        <v>29</v>
      </c>
      <c r="D43" s="686" t="s">
        <v>1825</v>
      </c>
      <c r="E43" s="742" t="s">
        <v>1840</v>
      </c>
      <c r="F43" s="689" t="s">
        <v>1841</v>
      </c>
      <c r="G43" s="686" t="s">
        <v>1815</v>
      </c>
      <c r="H43" s="800">
        <v>1021</v>
      </c>
      <c r="I43" s="686" t="s">
        <v>48</v>
      </c>
      <c r="J43" s="686" t="s">
        <v>34</v>
      </c>
      <c r="K43" s="686" t="s">
        <v>34</v>
      </c>
      <c r="L43" s="686" t="s">
        <v>35</v>
      </c>
      <c r="M43" s="686" t="s">
        <v>36</v>
      </c>
      <c r="N43" s="866">
        <v>44982</v>
      </c>
      <c r="O43" s="747">
        <v>45005</v>
      </c>
      <c r="P43" s="747"/>
      <c r="Q43" s="747"/>
      <c r="R43" s="747"/>
      <c r="S43" s="1253" t="s">
        <v>2006</v>
      </c>
      <c r="T43" s="749"/>
      <c r="U43" s="750"/>
      <c r="V43" s="750"/>
      <c r="W43" s="750"/>
      <c r="X43" s="750"/>
      <c r="Y43" s="750"/>
      <c r="Z43" s="640"/>
      <c r="AA43" s="751"/>
      <c r="AB43" s="751"/>
      <c r="AC43" s="751"/>
      <c r="AD43" s="834"/>
      <c r="AE43" s="1925"/>
      <c r="AF43" s="835"/>
      <c r="AG43" s="686"/>
      <c r="AH43" s="686"/>
      <c r="AI43" s="686"/>
      <c r="AJ43" s="770"/>
      <c r="AK43" s="770"/>
      <c r="AL43" s="770"/>
      <c r="AM43" s="748" t="s">
        <v>2052</v>
      </c>
    </row>
    <row r="44" spans="1:39" ht="16.5" thickBot="1">
      <c r="A44" s="746">
        <f t="shared" si="3"/>
        <v>30</v>
      </c>
      <c r="B44" s="686" t="s">
        <v>44</v>
      </c>
      <c r="C44" s="686" t="s">
        <v>29</v>
      </c>
      <c r="D44" s="686" t="s">
        <v>1889</v>
      </c>
      <c r="E44" s="686" t="s">
        <v>1904</v>
      </c>
      <c r="F44" s="689" t="s">
        <v>1905</v>
      </c>
      <c r="G44" s="686" t="s">
        <v>1815</v>
      </c>
      <c r="H44" s="800">
        <v>221</v>
      </c>
      <c r="I44" s="686" t="s">
        <v>48</v>
      </c>
      <c r="J44" s="686" t="s">
        <v>34</v>
      </c>
      <c r="K44" s="686" t="s">
        <v>34</v>
      </c>
      <c r="L44" s="686" t="s">
        <v>35</v>
      </c>
      <c r="M44" s="686" t="s">
        <v>36</v>
      </c>
      <c r="N44" s="866">
        <v>44991</v>
      </c>
      <c r="O44" s="747">
        <v>45005</v>
      </c>
      <c r="P44" s="747"/>
      <c r="Q44" s="747"/>
      <c r="R44" s="747"/>
      <c r="S44" s="686" t="s">
        <v>2006</v>
      </c>
      <c r="T44" s="749"/>
      <c r="U44" s="750"/>
      <c r="V44" s="750"/>
      <c r="W44" s="750"/>
      <c r="X44" s="750"/>
      <c r="Y44" s="750"/>
      <c r="Z44" s="640"/>
      <c r="AA44" s="751"/>
      <c r="AB44" s="751"/>
      <c r="AC44" s="751"/>
      <c r="AD44" s="834"/>
      <c r="AE44" s="1925"/>
      <c r="AF44" s="835"/>
      <c r="AG44" s="686"/>
      <c r="AH44" s="686"/>
      <c r="AI44" s="686"/>
      <c r="AJ44" s="770"/>
      <c r="AK44" s="770"/>
      <c r="AL44" s="770"/>
      <c r="AM44" s="748" t="s">
        <v>2052</v>
      </c>
    </row>
    <row r="45" spans="1:39" ht="16.5" thickBot="1">
      <c r="A45" s="746">
        <f t="shared" si="3"/>
        <v>31</v>
      </c>
      <c r="B45" s="686" t="s">
        <v>44</v>
      </c>
      <c r="C45" s="686" t="s">
        <v>29</v>
      </c>
      <c r="D45" s="686" t="s">
        <v>1890</v>
      </c>
      <c r="E45" s="686" t="s">
        <v>1906</v>
      </c>
      <c r="F45" s="689" t="s">
        <v>1907</v>
      </c>
      <c r="G45" s="686" t="s">
        <v>1815</v>
      </c>
      <c r="H45" s="800">
        <v>180</v>
      </c>
      <c r="I45" s="686" t="s">
        <v>48</v>
      </c>
      <c r="J45" s="686" t="s">
        <v>34</v>
      </c>
      <c r="K45" s="686" t="s">
        <v>34</v>
      </c>
      <c r="L45" s="686" t="s">
        <v>35</v>
      </c>
      <c r="M45" s="686" t="s">
        <v>36</v>
      </c>
      <c r="N45" s="866">
        <v>44991</v>
      </c>
      <c r="O45" s="747">
        <v>45005</v>
      </c>
      <c r="P45" s="747"/>
      <c r="Q45" s="747"/>
      <c r="R45" s="747"/>
      <c r="S45" s="686" t="s">
        <v>2006</v>
      </c>
      <c r="T45" s="749"/>
      <c r="U45" s="750"/>
      <c r="V45" s="750"/>
      <c r="W45" s="750"/>
      <c r="X45" s="750"/>
      <c r="Y45" s="750"/>
      <c r="Z45" s="640"/>
      <c r="AA45" s="751"/>
      <c r="AB45" s="751"/>
      <c r="AC45" s="751"/>
      <c r="AD45" s="834"/>
      <c r="AE45" s="1925"/>
      <c r="AF45" s="835"/>
      <c r="AG45" s="686"/>
      <c r="AH45" s="686"/>
      <c r="AI45" s="686"/>
      <c r="AJ45" s="770"/>
      <c r="AK45" s="770"/>
      <c r="AL45" s="770"/>
      <c r="AM45" s="748" t="s">
        <v>2052</v>
      </c>
    </row>
    <row r="46" spans="1:39" ht="16.5" thickBot="1">
      <c r="A46" s="746">
        <f t="shared" si="3"/>
        <v>32</v>
      </c>
      <c r="B46" s="686" t="s">
        <v>44</v>
      </c>
      <c r="C46" s="686" t="s">
        <v>29</v>
      </c>
      <c r="D46" s="686" t="s">
        <v>1891</v>
      </c>
      <c r="E46" s="686" t="s">
        <v>1908</v>
      </c>
      <c r="F46" s="689" t="s">
        <v>1909</v>
      </c>
      <c r="G46" s="686" t="s">
        <v>1815</v>
      </c>
      <c r="H46" s="800">
        <v>256</v>
      </c>
      <c r="I46" s="686" t="s">
        <v>48</v>
      </c>
      <c r="J46" s="686" t="s">
        <v>34</v>
      </c>
      <c r="K46" s="686" t="s">
        <v>34</v>
      </c>
      <c r="L46" s="686" t="s">
        <v>35</v>
      </c>
      <c r="M46" s="686" t="s">
        <v>36</v>
      </c>
      <c r="N46" s="866">
        <v>44991</v>
      </c>
      <c r="O46" s="747">
        <v>45005</v>
      </c>
      <c r="P46" s="747"/>
      <c r="Q46" s="747"/>
      <c r="R46" s="747"/>
      <c r="S46" s="686" t="s">
        <v>2006</v>
      </c>
      <c r="T46" s="749"/>
      <c r="U46" s="750"/>
      <c r="V46" s="750"/>
      <c r="W46" s="750"/>
      <c r="X46" s="750"/>
      <c r="Y46" s="750"/>
      <c r="Z46" s="640"/>
      <c r="AA46" s="751"/>
      <c r="AB46" s="751"/>
      <c r="AC46" s="751"/>
      <c r="AD46" s="834"/>
      <c r="AE46" s="1925"/>
      <c r="AF46" s="835"/>
      <c r="AG46" s="686"/>
      <c r="AH46" s="686"/>
      <c r="AI46" s="686"/>
      <c r="AJ46" s="770"/>
      <c r="AK46" s="770"/>
      <c r="AL46" s="770"/>
      <c r="AM46" s="748" t="s">
        <v>2052</v>
      </c>
    </row>
    <row r="47" spans="1:39" ht="16.5" thickBot="1">
      <c r="A47" s="746">
        <f t="shared" si="3"/>
        <v>33</v>
      </c>
      <c r="B47" s="686" t="s">
        <v>44</v>
      </c>
      <c r="C47" s="686" t="s">
        <v>29</v>
      </c>
      <c r="D47" s="686" t="s">
        <v>1892</v>
      </c>
      <c r="E47" s="686" t="s">
        <v>1910</v>
      </c>
      <c r="F47" s="689" t="s">
        <v>1911</v>
      </c>
      <c r="G47" s="686" t="s">
        <v>1815</v>
      </c>
      <c r="H47" s="800">
        <v>738</v>
      </c>
      <c r="I47" s="686" t="s">
        <v>48</v>
      </c>
      <c r="J47" s="686" t="s">
        <v>34</v>
      </c>
      <c r="K47" s="686" t="s">
        <v>34</v>
      </c>
      <c r="L47" s="686" t="s">
        <v>35</v>
      </c>
      <c r="M47" s="686" t="s">
        <v>36</v>
      </c>
      <c r="N47" s="866">
        <v>44991</v>
      </c>
      <c r="O47" s="747">
        <v>45005</v>
      </c>
      <c r="P47" s="747"/>
      <c r="Q47" s="747"/>
      <c r="R47" s="747"/>
      <c r="S47" s="686" t="s">
        <v>2006</v>
      </c>
      <c r="T47" s="749"/>
      <c r="U47" s="750"/>
      <c r="V47" s="750"/>
      <c r="W47" s="750"/>
      <c r="X47" s="750"/>
      <c r="Y47" s="750"/>
      <c r="Z47" s="640"/>
      <c r="AA47" s="751"/>
      <c r="AB47" s="751"/>
      <c r="AC47" s="751"/>
      <c r="AD47" s="834"/>
      <c r="AE47" s="1925"/>
      <c r="AF47" s="835"/>
      <c r="AG47" s="686"/>
      <c r="AH47" s="686"/>
      <c r="AI47" s="686"/>
      <c r="AJ47" s="770"/>
      <c r="AK47" s="770"/>
      <c r="AL47" s="770"/>
      <c r="AM47" s="748" t="s">
        <v>2052</v>
      </c>
    </row>
    <row r="48" spans="1:39" ht="16.5" thickBot="1">
      <c r="A48" s="746">
        <f t="shared" si="3"/>
        <v>34</v>
      </c>
      <c r="B48" s="686" t="s">
        <v>44</v>
      </c>
      <c r="C48" s="686" t="s">
        <v>29</v>
      </c>
      <c r="D48" s="686" t="s">
        <v>1893</v>
      </c>
      <c r="E48" s="686" t="s">
        <v>1912</v>
      </c>
      <c r="F48" s="689" t="s">
        <v>1913</v>
      </c>
      <c r="G48" s="686" t="s">
        <v>1815</v>
      </c>
      <c r="H48" s="800">
        <v>970</v>
      </c>
      <c r="I48" s="686" t="s">
        <v>48</v>
      </c>
      <c r="J48" s="686" t="s">
        <v>34</v>
      </c>
      <c r="K48" s="686" t="s">
        <v>34</v>
      </c>
      <c r="L48" s="686" t="s">
        <v>35</v>
      </c>
      <c r="M48" s="686" t="s">
        <v>36</v>
      </c>
      <c r="N48" s="866">
        <v>44991</v>
      </c>
      <c r="O48" s="747">
        <v>45005</v>
      </c>
      <c r="P48" s="747"/>
      <c r="Q48" s="747"/>
      <c r="R48" s="747"/>
      <c r="S48" s="686" t="s">
        <v>2006</v>
      </c>
      <c r="T48" s="749"/>
      <c r="U48" s="750"/>
      <c r="V48" s="750"/>
      <c r="W48" s="750"/>
      <c r="X48" s="750"/>
      <c r="Y48" s="750"/>
      <c r="Z48" s="640"/>
      <c r="AA48" s="751"/>
      <c r="AB48" s="751"/>
      <c r="AC48" s="751"/>
      <c r="AD48" s="834"/>
      <c r="AE48" s="1925"/>
      <c r="AF48" s="835"/>
      <c r="AG48" s="686"/>
      <c r="AH48" s="686"/>
      <c r="AI48" s="686"/>
      <c r="AJ48" s="770"/>
      <c r="AK48" s="770"/>
      <c r="AL48" s="770"/>
      <c r="AM48" s="748" t="s">
        <v>2052</v>
      </c>
    </row>
    <row r="49" spans="1:39" ht="16.5" thickBot="1">
      <c r="A49" s="746">
        <f t="shared" si="3"/>
        <v>35</v>
      </c>
      <c r="B49" s="686" t="s">
        <v>44</v>
      </c>
      <c r="C49" s="686" t="s">
        <v>29</v>
      </c>
      <c r="D49" s="686" t="s">
        <v>1894</v>
      </c>
      <c r="E49" s="686" t="s">
        <v>1914</v>
      </c>
      <c r="F49" s="689" t="s">
        <v>1915</v>
      </c>
      <c r="G49" s="686" t="s">
        <v>1815</v>
      </c>
      <c r="H49" s="800">
        <v>611</v>
      </c>
      <c r="I49" s="686" t="s">
        <v>48</v>
      </c>
      <c r="J49" s="686" t="s">
        <v>34</v>
      </c>
      <c r="K49" s="686" t="s">
        <v>34</v>
      </c>
      <c r="L49" s="686" t="s">
        <v>35</v>
      </c>
      <c r="M49" s="686" t="s">
        <v>36</v>
      </c>
      <c r="N49" s="866">
        <v>44991</v>
      </c>
      <c r="O49" s="747">
        <v>45005</v>
      </c>
      <c r="P49" s="747"/>
      <c r="Q49" s="747"/>
      <c r="R49" s="747"/>
      <c r="S49" s="686" t="s">
        <v>2006</v>
      </c>
      <c r="T49" s="749"/>
      <c r="U49" s="750"/>
      <c r="V49" s="750"/>
      <c r="W49" s="750"/>
      <c r="X49" s="750"/>
      <c r="Y49" s="750"/>
      <c r="Z49" s="640"/>
      <c r="AA49" s="751"/>
      <c r="AB49" s="751"/>
      <c r="AC49" s="751"/>
      <c r="AD49" s="834"/>
      <c r="AE49" s="1925"/>
      <c r="AF49" s="835"/>
      <c r="AG49" s="686"/>
      <c r="AH49" s="686"/>
      <c r="AI49" s="686"/>
      <c r="AJ49" s="770"/>
      <c r="AK49" s="770"/>
      <c r="AL49" s="770"/>
      <c r="AM49" s="748" t="s">
        <v>2052</v>
      </c>
    </row>
    <row r="50" spans="1:39" ht="16.5" thickBot="1">
      <c r="A50" s="746">
        <f t="shared" si="3"/>
        <v>36</v>
      </c>
      <c r="B50" s="686" t="s">
        <v>44</v>
      </c>
      <c r="C50" s="686" t="s">
        <v>29</v>
      </c>
      <c r="D50" s="686" t="s">
        <v>1895</v>
      </c>
      <c r="E50" s="686" t="s">
        <v>1916</v>
      </c>
      <c r="F50" s="689" t="s">
        <v>1917</v>
      </c>
      <c r="G50" s="686" t="s">
        <v>1815</v>
      </c>
      <c r="H50" s="800">
        <v>4732</v>
      </c>
      <c r="I50" s="686" t="s">
        <v>48</v>
      </c>
      <c r="J50" s="686" t="s">
        <v>34</v>
      </c>
      <c r="K50" s="686" t="s">
        <v>34</v>
      </c>
      <c r="L50" s="686" t="s">
        <v>35</v>
      </c>
      <c r="M50" s="686" t="s">
        <v>36</v>
      </c>
      <c r="N50" s="866">
        <v>44991</v>
      </c>
      <c r="O50" s="747">
        <v>45005</v>
      </c>
      <c r="P50" s="747"/>
      <c r="Q50" s="747"/>
      <c r="R50" s="747"/>
      <c r="S50" s="1253" t="s">
        <v>2006</v>
      </c>
      <c r="T50" s="749"/>
      <c r="U50" s="750"/>
      <c r="V50" s="750"/>
      <c r="W50" s="750"/>
      <c r="X50" s="750"/>
      <c r="Y50" s="750"/>
      <c r="Z50" s="640"/>
      <c r="AA50" s="751"/>
      <c r="AB50" s="751"/>
      <c r="AC50" s="751"/>
      <c r="AD50" s="834"/>
      <c r="AE50" s="1925"/>
      <c r="AF50" s="835"/>
      <c r="AG50" s="686"/>
      <c r="AH50" s="686"/>
      <c r="AI50" s="686"/>
      <c r="AJ50" s="770"/>
      <c r="AK50" s="770"/>
      <c r="AL50" s="770"/>
      <c r="AM50" s="748" t="s">
        <v>2052</v>
      </c>
    </row>
    <row r="51" spans="1:39" ht="16.5" thickBot="1">
      <c r="A51" s="746">
        <f t="shared" si="3"/>
        <v>37</v>
      </c>
      <c r="B51" s="686" t="s">
        <v>44</v>
      </c>
      <c r="C51" s="686" t="s">
        <v>29</v>
      </c>
      <c r="D51" s="686" t="s">
        <v>1896</v>
      </c>
      <c r="E51" s="686" t="s">
        <v>1918</v>
      </c>
      <c r="F51" s="689" t="s">
        <v>1919</v>
      </c>
      <c r="G51" s="686" t="s">
        <v>1815</v>
      </c>
      <c r="H51" s="800">
        <v>617</v>
      </c>
      <c r="I51" s="686" t="s">
        <v>48</v>
      </c>
      <c r="J51" s="686" t="s">
        <v>34</v>
      </c>
      <c r="K51" s="686" t="s">
        <v>34</v>
      </c>
      <c r="L51" s="686" t="s">
        <v>35</v>
      </c>
      <c r="M51" s="686" t="s">
        <v>36</v>
      </c>
      <c r="N51" s="866">
        <v>44991</v>
      </c>
      <c r="O51" s="747">
        <v>45005</v>
      </c>
      <c r="P51" s="747"/>
      <c r="Q51" s="747"/>
      <c r="R51" s="747"/>
      <c r="S51" s="1253" t="s">
        <v>2006</v>
      </c>
      <c r="T51" s="749"/>
      <c r="U51" s="750"/>
      <c r="V51" s="750"/>
      <c r="W51" s="750"/>
      <c r="X51" s="750"/>
      <c r="Y51" s="750"/>
      <c r="Z51" s="640"/>
      <c r="AA51" s="751"/>
      <c r="AB51" s="751"/>
      <c r="AC51" s="751"/>
      <c r="AD51" s="834"/>
      <c r="AE51" s="1925"/>
      <c r="AF51" s="835"/>
      <c r="AG51" s="686"/>
      <c r="AH51" s="686"/>
      <c r="AI51" s="686"/>
      <c r="AJ51" s="770"/>
      <c r="AK51" s="770"/>
      <c r="AL51" s="770"/>
      <c r="AM51" s="748" t="s">
        <v>2052</v>
      </c>
    </row>
    <row r="52" spans="1:39" ht="16.5" thickBot="1">
      <c r="A52" s="746">
        <f t="shared" si="3"/>
        <v>38</v>
      </c>
      <c r="B52" s="686" t="s">
        <v>1888</v>
      </c>
      <c r="C52" s="686" t="s">
        <v>29</v>
      </c>
      <c r="D52" s="686" t="s">
        <v>1897</v>
      </c>
      <c r="E52" s="686" t="s">
        <v>1920</v>
      </c>
      <c r="F52" s="689" t="s">
        <v>1921</v>
      </c>
      <c r="G52" s="686" t="s">
        <v>1815</v>
      </c>
      <c r="H52" s="800">
        <v>27573</v>
      </c>
      <c r="I52" s="686" t="s">
        <v>48</v>
      </c>
      <c r="J52" s="686" t="s">
        <v>34</v>
      </c>
      <c r="K52" s="686" t="s">
        <v>34</v>
      </c>
      <c r="L52" s="686" t="s">
        <v>35</v>
      </c>
      <c r="M52" s="686" t="s">
        <v>36</v>
      </c>
      <c r="N52" s="866">
        <v>44991</v>
      </c>
      <c r="O52" s="747">
        <v>45028</v>
      </c>
      <c r="P52" s="747"/>
      <c r="Q52" s="747"/>
      <c r="R52" s="747"/>
      <c r="S52" s="1253" t="s">
        <v>2006</v>
      </c>
      <c r="T52" s="749"/>
      <c r="U52" s="750"/>
      <c r="V52" s="750"/>
      <c r="W52" s="750"/>
      <c r="X52" s="750"/>
      <c r="Y52" s="750"/>
      <c r="Z52" s="640"/>
      <c r="AA52" s="751"/>
      <c r="AB52" s="751"/>
      <c r="AC52" s="751"/>
      <c r="AD52" s="834"/>
      <c r="AE52" s="1925"/>
      <c r="AF52" s="835"/>
      <c r="AG52" s="686"/>
      <c r="AH52" s="686"/>
      <c r="AI52" s="686"/>
      <c r="AJ52" s="770"/>
      <c r="AK52" s="770"/>
      <c r="AL52" s="770"/>
      <c r="AM52" s="748" t="s">
        <v>2052</v>
      </c>
    </row>
    <row r="53" spans="1:39" ht="16.5" thickBot="1">
      <c r="A53" s="746">
        <f t="shared" si="3"/>
        <v>39</v>
      </c>
      <c r="B53" s="686" t="s">
        <v>1888</v>
      </c>
      <c r="C53" s="686" t="s">
        <v>29</v>
      </c>
      <c r="D53" s="686" t="s">
        <v>1898</v>
      </c>
      <c r="E53" s="686" t="s">
        <v>1922</v>
      </c>
      <c r="F53" s="689" t="s">
        <v>1923</v>
      </c>
      <c r="G53" s="686" t="s">
        <v>1815</v>
      </c>
      <c r="H53" s="800">
        <v>63387</v>
      </c>
      <c r="I53" s="686" t="s">
        <v>48</v>
      </c>
      <c r="J53" s="686" t="s">
        <v>34</v>
      </c>
      <c r="K53" s="686" t="s">
        <v>34</v>
      </c>
      <c r="L53" s="686" t="s">
        <v>35</v>
      </c>
      <c r="M53" s="686" t="s">
        <v>36</v>
      </c>
      <c r="N53" s="866">
        <v>44991</v>
      </c>
      <c r="O53" s="747">
        <v>45028</v>
      </c>
      <c r="P53" s="747"/>
      <c r="Q53" s="747"/>
      <c r="R53" s="747"/>
      <c r="S53" s="1253" t="s">
        <v>2006</v>
      </c>
      <c r="T53" s="749"/>
      <c r="U53" s="750"/>
      <c r="V53" s="750"/>
      <c r="W53" s="750"/>
      <c r="X53" s="750"/>
      <c r="Y53" s="750"/>
      <c r="Z53" s="640"/>
      <c r="AA53" s="751"/>
      <c r="AB53" s="751"/>
      <c r="AC53" s="751"/>
      <c r="AD53" s="834"/>
      <c r="AE53" s="1925"/>
      <c r="AF53" s="835"/>
      <c r="AG53" s="686"/>
      <c r="AH53" s="686"/>
      <c r="AI53" s="686"/>
      <c r="AJ53" s="770"/>
      <c r="AK53" s="770"/>
      <c r="AL53" s="770"/>
      <c r="AM53" s="748" t="s">
        <v>2052</v>
      </c>
    </row>
    <row r="54" spans="1:39" ht="16.5" thickBot="1">
      <c r="A54" s="746">
        <f t="shared" si="3"/>
        <v>40</v>
      </c>
      <c r="B54" s="686" t="s">
        <v>1888</v>
      </c>
      <c r="C54" s="686" t="s">
        <v>29</v>
      </c>
      <c r="D54" s="686" t="s">
        <v>1899</v>
      </c>
      <c r="E54" s="686" t="s">
        <v>1924</v>
      </c>
      <c r="F54" s="689" t="s">
        <v>1925</v>
      </c>
      <c r="G54" s="686" t="s">
        <v>1815</v>
      </c>
      <c r="H54" s="800">
        <v>31693</v>
      </c>
      <c r="I54" s="686" t="s">
        <v>48</v>
      </c>
      <c r="J54" s="686" t="s">
        <v>34</v>
      </c>
      <c r="K54" s="686" t="s">
        <v>34</v>
      </c>
      <c r="L54" s="686" t="s">
        <v>35</v>
      </c>
      <c r="M54" s="686" t="s">
        <v>36</v>
      </c>
      <c r="N54" s="866">
        <v>44991</v>
      </c>
      <c r="O54" s="747">
        <v>45028</v>
      </c>
      <c r="P54" s="747"/>
      <c r="Q54" s="747"/>
      <c r="R54" s="747"/>
      <c r="S54" s="686" t="s">
        <v>2006</v>
      </c>
      <c r="T54" s="749"/>
      <c r="U54" s="750"/>
      <c r="V54" s="750"/>
      <c r="W54" s="750"/>
      <c r="X54" s="750"/>
      <c r="Y54" s="750"/>
      <c r="Z54" s="640"/>
      <c r="AA54" s="751"/>
      <c r="AB54" s="751"/>
      <c r="AC54" s="751"/>
      <c r="AD54" s="834"/>
      <c r="AE54" s="1925"/>
      <c r="AF54" s="835"/>
      <c r="AG54" s="686"/>
      <c r="AH54" s="686"/>
      <c r="AI54" s="686"/>
      <c r="AJ54" s="770"/>
      <c r="AK54" s="770"/>
      <c r="AL54" s="770"/>
      <c r="AM54" s="748" t="s">
        <v>2052</v>
      </c>
    </row>
    <row r="55" spans="1:39" ht="16.5" thickBot="1">
      <c r="A55" s="746">
        <f t="shared" si="3"/>
        <v>41</v>
      </c>
      <c r="B55" s="686" t="s">
        <v>1888</v>
      </c>
      <c r="C55" s="686" t="s">
        <v>29</v>
      </c>
      <c r="D55" s="686" t="s">
        <v>1900</v>
      </c>
      <c r="E55" s="686" t="s">
        <v>1926</v>
      </c>
      <c r="F55" s="689" t="s">
        <v>1925</v>
      </c>
      <c r="G55" s="686" t="s">
        <v>1815</v>
      </c>
      <c r="H55" s="800">
        <v>31693</v>
      </c>
      <c r="I55" s="686" t="s">
        <v>48</v>
      </c>
      <c r="J55" s="686" t="s">
        <v>34</v>
      </c>
      <c r="K55" s="686" t="s">
        <v>34</v>
      </c>
      <c r="L55" s="686" t="s">
        <v>35</v>
      </c>
      <c r="M55" s="686" t="s">
        <v>36</v>
      </c>
      <c r="N55" s="866">
        <v>44991</v>
      </c>
      <c r="O55" s="747">
        <v>45028</v>
      </c>
      <c r="P55" s="747"/>
      <c r="Q55" s="747"/>
      <c r="R55" s="747"/>
      <c r="S55" s="686" t="s">
        <v>2006</v>
      </c>
      <c r="T55" s="749"/>
      <c r="U55" s="750"/>
      <c r="V55" s="750"/>
      <c r="W55" s="750"/>
      <c r="X55" s="750"/>
      <c r="Y55" s="750"/>
      <c r="Z55" s="640"/>
      <c r="AA55" s="751"/>
      <c r="AB55" s="751"/>
      <c r="AC55" s="751"/>
      <c r="AD55" s="834"/>
      <c r="AE55" s="1925"/>
      <c r="AF55" s="835"/>
      <c r="AG55" s="686"/>
      <c r="AH55" s="686"/>
      <c r="AI55" s="686"/>
      <c r="AJ55" s="770"/>
      <c r="AK55" s="770"/>
      <c r="AL55" s="770"/>
      <c r="AM55" s="748" t="s">
        <v>2052</v>
      </c>
    </row>
    <row r="56" spans="1:39" ht="16.5" thickBot="1">
      <c r="A56" s="746">
        <f t="shared" si="3"/>
        <v>42</v>
      </c>
      <c r="B56" s="686" t="s">
        <v>1888</v>
      </c>
      <c r="C56" s="686" t="s">
        <v>29</v>
      </c>
      <c r="D56" s="686" t="s">
        <v>1901</v>
      </c>
      <c r="E56" s="686" t="s">
        <v>1927</v>
      </c>
      <c r="F56" s="689" t="s">
        <v>1928</v>
      </c>
      <c r="G56" s="686" t="s">
        <v>1815</v>
      </c>
      <c r="H56" s="800">
        <v>60557</v>
      </c>
      <c r="I56" s="686" t="s">
        <v>48</v>
      </c>
      <c r="J56" s="686" t="s">
        <v>34</v>
      </c>
      <c r="K56" s="686" t="s">
        <v>34</v>
      </c>
      <c r="L56" s="686" t="s">
        <v>35</v>
      </c>
      <c r="M56" s="686" t="s">
        <v>36</v>
      </c>
      <c r="N56" s="866">
        <v>44991</v>
      </c>
      <c r="O56" s="747">
        <v>45028</v>
      </c>
      <c r="P56" s="747"/>
      <c r="Q56" s="747"/>
      <c r="R56" s="747"/>
      <c r="S56" s="686" t="s">
        <v>2006</v>
      </c>
      <c r="T56" s="749"/>
      <c r="U56" s="750"/>
      <c r="V56" s="750"/>
      <c r="W56" s="750"/>
      <c r="X56" s="750"/>
      <c r="Y56" s="750"/>
      <c r="Z56" s="640"/>
      <c r="AA56" s="751"/>
      <c r="AB56" s="751"/>
      <c r="AC56" s="751"/>
      <c r="AD56" s="834"/>
      <c r="AE56" s="1925"/>
      <c r="AF56" s="835"/>
      <c r="AG56" s="686"/>
      <c r="AH56" s="686"/>
      <c r="AI56" s="686"/>
      <c r="AJ56" s="770"/>
      <c r="AK56" s="770"/>
      <c r="AL56" s="770"/>
      <c r="AM56" s="748" t="s">
        <v>2052</v>
      </c>
    </row>
    <row r="57" spans="1:39" ht="16.5" thickBot="1">
      <c r="A57" s="746">
        <f t="shared" si="3"/>
        <v>43</v>
      </c>
      <c r="B57" s="686" t="s">
        <v>1888</v>
      </c>
      <c r="C57" s="686" t="s">
        <v>29</v>
      </c>
      <c r="D57" s="686" t="s">
        <v>1902</v>
      </c>
      <c r="E57" s="686" t="s">
        <v>1929</v>
      </c>
      <c r="F57" s="689" t="s">
        <v>1928</v>
      </c>
      <c r="G57" s="686" t="s">
        <v>1815</v>
      </c>
      <c r="H57" s="800">
        <v>28050</v>
      </c>
      <c r="I57" s="686" t="s">
        <v>48</v>
      </c>
      <c r="J57" s="686" t="s">
        <v>34</v>
      </c>
      <c r="K57" s="686" t="s">
        <v>34</v>
      </c>
      <c r="L57" s="686" t="s">
        <v>35</v>
      </c>
      <c r="M57" s="686" t="s">
        <v>36</v>
      </c>
      <c r="N57" s="866">
        <v>44991</v>
      </c>
      <c r="O57" s="747">
        <v>45028</v>
      </c>
      <c r="P57" s="747"/>
      <c r="Q57" s="747"/>
      <c r="R57" s="747"/>
      <c r="S57" s="686" t="s">
        <v>2006</v>
      </c>
      <c r="T57" s="749"/>
      <c r="U57" s="750"/>
      <c r="V57" s="750"/>
      <c r="W57" s="750"/>
      <c r="X57" s="750"/>
      <c r="Y57" s="750"/>
      <c r="Z57" s="640"/>
      <c r="AA57" s="751"/>
      <c r="AB57" s="751"/>
      <c r="AC57" s="751"/>
      <c r="AD57" s="834"/>
      <c r="AE57" s="1925"/>
      <c r="AF57" s="835"/>
      <c r="AG57" s="686"/>
      <c r="AH57" s="686"/>
      <c r="AI57" s="686"/>
      <c r="AJ57" s="770"/>
      <c r="AK57" s="770"/>
      <c r="AL57" s="770"/>
      <c r="AM57" s="748" t="s">
        <v>2052</v>
      </c>
    </row>
    <row r="58" spans="1:39" ht="16.5" thickBot="1">
      <c r="A58" s="746">
        <f t="shared" si="3"/>
        <v>44</v>
      </c>
      <c r="B58" s="686" t="s">
        <v>1888</v>
      </c>
      <c r="C58" s="686" t="s">
        <v>29</v>
      </c>
      <c r="D58" s="686" t="s">
        <v>1903</v>
      </c>
      <c r="E58" s="686" t="s">
        <v>1930</v>
      </c>
      <c r="F58" s="689" t="s">
        <v>1921</v>
      </c>
      <c r="G58" s="686" t="s">
        <v>1815</v>
      </c>
      <c r="H58" s="800">
        <v>57220</v>
      </c>
      <c r="I58" s="686" t="s">
        <v>48</v>
      </c>
      <c r="J58" s="686" t="s">
        <v>34</v>
      </c>
      <c r="K58" s="686" t="s">
        <v>34</v>
      </c>
      <c r="L58" s="686" t="s">
        <v>35</v>
      </c>
      <c r="M58" s="686" t="s">
        <v>36</v>
      </c>
      <c r="N58" s="866">
        <v>44991</v>
      </c>
      <c r="O58" s="747">
        <v>45028</v>
      </c>
      <c r="P58" s="747"/>
      <c r="Q58" s="747"/>
      <c r="R58" s="747"/>
      <c r="S58" s="686" t="s">
        <v>2006</v>
      </c>
      <c r="T58" s="749"/>
      <c r="U58" s="750"/>
      <c r="V58" s="750"/>
      <c r="W58" s="750"/>
      <c r="X58" s="750"/>
      <c r="Y58" s="750"/>
      <c r="Z58" s="640"/>
      <c r="AA58" s="751"/>
      <c r="AB58" s="751"/>
      <c r="AC58" s="751"/>
      <c r="AD58" s="834"/>
      <c r="AE58" s="1926"/>
      <c r="AF58" s="835"/>
      <c r="AG58" s="686"/>
      <c r="AH58" s="686"/>
      <c r="AI58" s="686"/>
      <c r="AJ58" s="770"/>
      <c r="AK58" s="770"/>
      <c r="AL58" s="770"/>
      <c r="AM58" s="748" t="s">
        <v>2052</v>
      </c>
    </row>
    <row r="59" spans="1:39">
      <c r="A59" s="2019">
        <v>45</v>
      </c>
      <c r="B59" s="1985" t="s">
        <v>1850</v>
      </c>
      <c r="C59" s="1985" t="s">
        <v>29</v>
      </c>
      <c r="D59" s="1985" t="s">
        <v>2297</v>
      </c>
      <c r="E59" s="839" t="s">
        <v>1842</v>
      </c>
      <c r="F59" s="919" t="s">
        <v>1843</v>
      </c>
      <c r="G59" s="1985" t="s">
        <v>452</v>
      </c>
      <c r="H59" s="962">
        <v>110282</v>
      </c>
      <c r="I59" s="839" t="s">
        <v>34</v>
      </c>
      <c r="J59" s="839" t="s">
        <v>34</v>
      </c>
      <c r="K59" s="839" t="s">
        <v>34</v>
      </c>
      <c r="L59" s="839" t="s">
        <v>35</v>
      </c>
      <c r="M59" s="1985" t="s">
        <v>36</v>
      </c>
      <c r="N59" s="1943">
        <v>44971</v>
      </c>
      <c r="O59" s="1943">
        <v>45020</v>
      </c>
      <c r="P59" s="2009">
        <v>45019</v>
      </c>
      <c r="Q59" s="2009">
        <v>44972</v>
      </c>
      <c r="R59" s="1943">
        <v>44980</v>
      </c>
      <c r="S59" s="1867" t="s">
        <v>1216</v>
      </c>
      <c r="T59" s="840">
        <v>1293.3779254855579</v>
      </c>
      <c r="U59" s="840">
        <v>1728.6860100123561</v>
      </c>
      <c r="V59" s="840">
        <v>97.00132453519889</v>
      </c>
      <c r="W59" s="840">
        <v>1080.4205791287563</v>
      </c>
      <c r="X59" s="840">
        <v>240.5</v>
      </c>
      <c r="Y59" s="840">
        <v>65.413469980000002</v>
      </c>
      <c r="Z59" s="840">
        <f t="shared" ref="Z59:Z90" si="4">H59*U59/10^7</f>
        <v>19.064295055618267</v>
      </c>
      <c r="AA59" s="963">
        <v>0.01</v>
      </c>
      <c r="AB59" s="963">
        <v>0.01</v>
      </c>
      <c r="AC59" s="963">
        <v>0.01</v>
      </c>
      <c r="AD59" s="839" t="s">
        <v>2176</v>
      </c>
      <c r="AE59" s="839" t="s">
        <v>2298</v>
      </c>
      <c r="AF59" s="959">
        <v>1668.5</v>
      </c>
      <c r="AG59" s="1049">
        <v>968.96301312961498</v>
      </c>
      <c r="AH59" s="1049">
        <v>222.0509353187872</v>
      </c>
      <c r="AI59" s="1049">
        <v>54.501294157565525</v>
      </c>
      <c r="AJ59" s="938">
        <v>-31.7</v>
      </c>
      <c r="AK59" s="938">
        <v>-31.1</v>
      </c>
      <c r="AL59" s="938">
        <v>-22.48</v>
      </c>
      <c r="AM59" s="1935">
        <v>45809</v>
      </c>
    </row>
    <row r="60" spans="1:39">
      <c r="A60" s="2020"/>
      <c r="B60" s="1986"/>
      <c r="C60" s="1986"/>
      <c r="D60" s="1986"/>
      <c r="E60" s="837" t="s">
        <v>1844</v>
      </c>
      <c r="F60" s="920" t="s">
        <v>1843</v>
      </c>
      <c r="G60" s="1986"/>
      <c r="H60" s="964">
        <v>40102</v>
      </c>
      <c r="I60" s="837" t="s">
        <v>34</v>
      </c>
      <c r="J60" s="837" t="s">
        <v>34</v>
      </c>
      <c r="K60" s="837" t="s">
        <v>34</v>
      </c>
      <c r="L60" s="837" t="s">
        <v>35</v>
      </c>
      <c r="M60" s="1986"/>
      <c r="N60" s="1944"/>
      <c r="O60" s="1944"/>
      <c r="P60" s="1986"/>
      <c r="Q60" s="1986"/>
      <c r="R60" s="1944"/>
      <c r="S60" s="1930"/>
      <c r="T60" s="838">
        <v>1428.2252973726963</v>
      </c>
      <c r="U60" s="838">
        <v>1937.297760757594</v>
      </c>
      <c r="V60" s="838">
        <v>113.51611331881399</v>
      </c>
      <c r="W60" s="838">
        <v>136.81074885555</v>
      </c>
      <c r="X60" s="838">
        <v>9</v>
      </c>
      <c r="Y60" s="838">
        <v>0</v>
      </c>
      <c r="Z60" s="838">
        <f t="shared" si="4"/>
        <v>7.7689514801901032</v>
      </c>
      <c r="AA60" s="965">
        <v>0.01</v>
      </c>
      <c r="AB60" s="965">
        <v>0.01</v>
      </c>
      <c r="AC60" s="965">
        <v>0.01</v>
      </c>
      <c r="AD60" s="837" t="s">
        <v>2176</v>
      </c>
      <c r="AE60" s="837" t="s">
        <v>2298</v>
      </c>
      <c r="AF60" s="966">
        <v>1865.9299999999998</v>
      </c>
      <c r="AG60" s="1051">
        <v>122.49920109316433</v>
      </c>
      <c r="AH60" s="1051">
        <v>8.4776581044756689</v>
      </c>
      <c r="AI60" s="1051">
        <v>0</v>
      </c>
      <c r="AJ60" s="976">
        <v>-35.450000000000003</v>
      </c>
      <c r="AK60" s="976">
        <v>-34.78</v>
      </c>
      <c r="AL60" s="976">
        <v>-24.14</v>
      </c>
      <c r="AM60" s="1936"/>
    </row>
    <row r="61" spans="1:39">
      <c r="A61" s="2020"/>
      <c r="B61" s="1986"/>
      <c r="C61" s="1986"/>
      <c r="D61" s="1986"/>
      <c r="E61" s="837" t="s">
        <v>1845</v>
      </c>
      <c r="F61" s="920" t="s">
        <v>1843</v>
      </c>
      <c r="G61" s="1986"/>
      <c r="H61" s="964">
        <v>50128</v>
      </c>
      <c r="I61" s="837" t="s">
        <v>34</v>
      </c>
      <c r="J61" s="837" t="s">
        <v>34</v>
      </c>
      <c r="K61" s="837" t="s">
        <v>34</v>
      </c>
      <c r="L61" s="837" t="s">
        <v>35</v>
      </c>
      <c r="M61" s="1986"/>
      <c r="N61" s="1944"/>
      <c r="O61" s="1944"/>
      <c r="P61" s="1986"/>
      <c r="Q61" s="1986"/>
      <c r="R61" s="1944"/>
      <c r="S61" s="1930"/>
      <c r="T61" s="838">
        <v>1406.6914145815231</v>
      </c>
      <c r="U61" s="838">
        <v>1895.6436062013013</v>
      </c>
      <c r="V61" s="838">
        <v>109.18315379489083</v>
      </c>
      <c r="W61" s="838">
        <v>0</v>
      </c>
      <c r="X61" s="838">
        <v>0</v>
      </c>
      <c r="Y61" s="838">
        <v>0</v>
      </c>
      <c r="Z61" s="838">
        <f t="shared" si="4"/>
        <v>9.502482269165883</v>
      </c>
      <c r="AA61" s="965">
        <v>0.01</v>
      </c>
      <c r="AB61" s="965">
        <v>0.01</v>
      </c>
      <c r="AC61" s="965">
        <v>0.01</v>
      </c>
      <c r="AD61" s="837" t="s">
        <v>2176</v>
      </c>
      <c r="AE61" s="837" t="s">
        <v>2298</v>
      </c>
      <c r="AF61" s="966">
        <v>1834.89</v>
      </c>
      <c r="AG61" s="1051">
        <v>0</v>
      </c>
      <c r="AH61" s="1051">
        <v>0</v>
      </c>
      <c r="AI61" s="1051">
        <v>0</v>
      </c>
      <c r="AJ61" s="976">
        <v>-34.86</v>
      </c>
      <c r="AK61" s="976">
        <v>-34.200000000000003</v>
      </c>
      <c r="AL61" s="976">
        <v>-24.72</v>
      </c>
      <c r="AM61" s="1936"/>
    </row>
    <row r="62" spans="1:39">
      <c r="A62" s="2020"/>
      <c r="B62" s="1986"/>
      <c r="C62" s="1986"/>
      <c r="D62" s="1986"/>
      <c r="E62" s="837" t="s">
        <v>1846</v>
      </c>
      <c r="F62" s="920" t="s">
        <v>1847</v>
      </c>
      <c r="G62" s="1986"/>
      <c r="H62" s="964">
        <v>110282</v>
      </c>
      <c r="I62" s="837" t="s">
        <v>34</v>
      </c>
      <c r="J62" s="837" t="s">
        <v>34</v>
      </c>
      <c r="K62" s="837" t="s">
        <v>34</v>
      </c>
      <c r="L62" s="837" t="s">
        <v>35</v>
      </c>
      <c r="M62" s="1986"/>
      <c r="N62" s="1944"/>
      <c r="O62" s="1944"/>
      <c r="P62" s="1986"/>
      <c r="Q62" s="1986"/>
      <c r="R62" s="1944"/>
      <c r="S62" s="1930"/>
      <c r="T62" s="838">
        <v>1268.2121139792421</v>
      </c>
      <c r="U62" s="838">
        <v>1717.2124323701819</v>
      </c>
      <c r="V62" s="838">
        <v>99.510417645571039</v>
      </c>
      <c r="W62" s="838">
        <v>980.9148083643563</v>
      </c>
      <c r="X62" s="838">
        <v>239.5</v>
      </c>
      <c r="Y62" s="838">
        <v>65.413469980000002</v>
      </c>
      <c r="Z62" s="838">
        <f t="shared" si="4"/>
        <v>18.937762146664841</v>
      </c>
      <c r="AA62" s="965">
        <v>0.01</v>
      </c>
      <c r="AB62" s="965">
        <v>0.01</v>
      </c>
      <c r="AC62" s="965">
        <v>0.01</v>
      </c>
      <c r="AD62" s="837" t="s">
        <v>2176</v>
      </c>
      <c r="AE62" s="837" t="s">
        <v>2298</v>
      </c>
      <c r="AF62" s="966">
        <v>1636.43</v>
      </c>
      <c r="AG62" s="1051">
        <v>879.02330296898617</v>
      </c>
      <c r="AH62" s="1051">
        <v>221.11145999355944</v>
      </c>
      <c r="AI62" s="1051">
        <v>54.501889736702019</v>
      </c>
      <c r="AJ62" s="976">
        <v>-31.09</v>
      </c>
      <c r="AK62" s="976">
        <v>-30.5</v>
      </c>
      <c r="AL62" s="976">
        <v>-22.5</v>
      </c>
      <c r="AM62" s="1936"/>
    </row>
    <row r="63" spans="1:39">
      <c r="A63" s="2020"/>
      <c r="B63" s="1986"/>
      <c r="C63" s="1986"/>
      <c r="D63" s="1986"/>
      <c r="E63" s="837" t="s">
        <v>1848</v>
      </c>
      <c r="F63" s="920" t="s">
        <v>1847</v>
      </c>
      <c r="G63" s="1986"/>
      <c r="H63" s="964">
        <v>40102</v>
      </c>
      <c r="I63" s="837" t="s">
        <v>34</v>
      </c>
      <c r="J63" s="837" t="s">
        <v>34</v>
      </c>
      <c r="K63" s="837" t="s">
        <v>34</v>
      </c>
      <c r="L63" s="837" t="s">
        <v>35</v>
      </c>
      <c r="M63" s="1986"/>
      <c r="N63" s="1944"/>
      <c r="O63" s="1944"/>
      <c r="P63" s="1986"/>
      <c r="Q63" s="1986"/>
      <c r="R63" s="1944"/>
      <c r="S63" s="1930"/>
      <c r="T63" s="838">
        <v>1402.9515796359617</v>
      </c>
      <c r="U63" s="838">
        <v>1900.0536782935508</v>
      </c>
      <c r="V63" s="838">
        <v>110.75696616192975</v>
      </c>
      <c r="W63" s="838">
        <v>131.83097906055002</v>
      </c>
      <c r="X63" s="838">
        <v>8.5</v>
      </c>
      <c r="Y63" s="838">
        <v>0</v>
      </c>
      <c r="Z63" s="838">
        <f t="shared" si="4"/>
        <v>7.6195952606927975</v>
      </c>
      <c r="AA63" s="965">
        <v>0.01</v>
      </c>
      <c r="AB63" s="965">
        <v>0.01</v>
      </c>
      <c r="AC63" s="965">
        <v>0.01</v>
      </c>
      <c r="AD63" s="837" t="s">
        <v>2176</v>
      </c>
      <c r="AE63" s="837" t="s">
        <v>2298</v>
      </c>
      <c r="AF63" s="966">
        <v>1820.8999999999999</v>
      </c>
      <c r="AG63" s="1051">
        <v>117.98064992576448</v>
      </c>
      <c r="AH63" s="1051">
        <v>8.0056302686755227</v>
      </c>
      <c r="AI63" s="1051">
        <v>0</v>
      </c>
      <c r="AJ63" s="976">
        <v>-34.6</v>
      </c>
      <c r="AK63" s="976">
        <v>-33.94</v>
      </c>
      <c r="AL63" s="976">
        <v>-24.53</v>
      </c>
      <c r="AM63" s="1936"/>
    </row>
    <row r="64" spans="1:39" ht="16.5" thickBot="1">
      <c r="A64" s="2020"/>
      <c r="B64" s="1986"/>
      <c r="C64" s="1986"/>
      <c r="D64" s="1986"/>
      <c r="E64" s="967" t="s">
        <v>1849</v>
      </c>
      <c r="F64" s="968" t="s">
        <v>1847</v>
      </c>
      <c r="G64" s="1986"/>
      <c r="H64" s="969">
        <v>50128</v>
      </c>
      <c r="I64" s="967" t="s">
        <v>34</v>
      </c>
      <c r="J64" s="967" t="s">
        <v>34</v>
      </c>
      <c r="K64" s="967" t="s">
        <v>34</v>
      </c>
      <c r="L64" s="967" t="s">
        <v>35</v>
      </c>
      <c r="M64" s="1986"/>
      <c r="N64" s="2004"/>
      <c r="O64" s="2004"/>
      <c r="P64" s="1986"/>
      <c r="Q64" s="1986"/>
      <c r="R64" s="2004"/>
      <c r="S64" s="2008"/>
      <c r="T64" s="838">
        <v>1375.2976917989299</v>
      </c>
      <c r="U64" s="838">
        <v>1864.8528182585942</v>
      </c>
      <c r="V64" s="838">
        <v>108.92660653708941</v>
      </c>
      <c r="W64" s="838">
        <v>0</v>
      </c>
      <c r="X64" s="838">
        <v>0</v>
      </c>
      <c r="Y64" s="838">
        <v>0</v>
      </c>
      <c r="Z64" s="838">
        <f t="shared" si="4"/>
        <v>9.3481342073666802</v>
      </c>
      <c r="AA64" s="970">
        <v>0.01</v>
      </c>
      <c r="AB64" s="970">
        <v>0.01</v>
      </c>
      <c r="AC64" s="970">
        <v>0.01</v>
      </c>
      <c r="AD64" s="967" t="s">
        <v>2176</v>
      </c>
      <c r="AE64" s="967" t="s">
        <v>2298</v>
      </c>
      <c r="AF64" s="971">
        <v>1793.48</v>
      </c>
      <c r="AG64" s="1052">
        <v>0</v>
      </c>
      <c r="AH64" s="1052">
        <v>0</v>
      </c>
      <c r="AI64" s="1052">
        <v>0</v>
      </c>
      <c r="AJ64" s="976">
        <v>-34.08</v>
      </c>
      <c r="AK64" s="977">
        <v>-33.94</v>
      </c>
      <c r="AL64" s="977">
        <v>-24.53</v>
      </c>
      <c r="AM64" s="1936"/>
    </row>
    <row r="65" spans="1:39">
      <c r="A65" s="1876">
        <v>46</v>
      </c>
      <c r="B65" s="1867" t="s">
        <v>1850</v>
      </c>
      <c r="C65" s="1867" t="s">
        <v>29</v>
      </c>
      <c r="D65" s="1867" t="s">
        <v>1851</v>
      </c>
      <c r="E65" s="695" t="s">
        <v>1857</v>
      </c>
      <c r="F65" s="919" t="s">
        <v>1858</v>
      </c>
      <c r="G65" s="1867" t="s">
        <v>452</v>
      </c>
      <c r="H65" s="962">
        <v>160410</v>
      </c>
      <c r="I65" s="839" t="s">
        <v>34</v>
      </c>
      <c r="J65" s="839" t="s">
        <v>34</v>
      </c>
      <c r="K65" s="839" t="s">
        <v>34</v>
      </c>
      <c r="L65" s="839" t="s">
        <v>35</v>
      </c>
      <c r="M65" s="1867" t="s">
        <v>36</v>
      </c>
      <c r="N65" s="1943">
        <v>44971</v>
      </c>
      <c r="O65" s="1943">
        <v>45016</v>
      </c>
      <c r="P65" s="1943">
        <v>45015</v>
      </c>
      <c r="Q65" s="1943">
        <v>44972</v>
      </c>
      <c r="R65" s="1943">
        <v>44980</v>
      </c>
      <c r="S65" s="1867" t="s">
        <v>1216</v>
      </c>
      <c r="T65" s="840">
        <v>463.9796655675039</v>
      </c>
      <c r="U65" s="840">
        <v>626.6389600280263</v>
      </c>
      <c r="V65" s="840">
        <v>34.419482745378303</v>
      </c>
      <c r="W65" s="840">
        <v>436.96106153988751</v>
      </c>
      <c r="X65" s="840">
        <v>51.75</v>
      </c>
      <c r="Y65" s="840">
        <v>34.525047155999992</v>
      </c>
      <c r="Z65" s="840">
        <f t="shared" si="4"/>
        <v>10.05191555780957</v>
      </c>
      <c r="AA65" s="963">
        <v>0.01</v>
      </c>
      <c r="AB65" s="963">
        <v>0.01</v>
      </c>
      <c r="AC65" s="963">
        <v>0.01</v>
      </c>
      <c r="AD65" s="839" t="s">
        <v>2176</v>
      </c>
      <c r="AE65" s="839" t="s">
        <v>2298</v>
      </c>
      <c r="AF65" s="959">
        <v>613.22206229734013</v>
      </c>
      <c r="AG65" s="1049">
        <v>390.9680343768581</v>
      </c>
      <c r="AH65" s="1049">
        <v>48.743721069519161</v>
      </c>
      <c r="AI65" s="1049">
        <v>28.385603387832724</v>
      </c>
      <c r="AJ65" s="978">
        <v>-11.65</v>
      </c>
      <c r="AK65" s="978">
        <v>-11.43</v>
      </c>
      <c r="AL65" s="978">
        <v>-8.26</v>
      </c>
      <c r="AM65" s="1937">
        <v>45809</v>
      </c>
    </row>
    <row r="66" spans="1:39">
      <c r="A66" s="1951"/>
      <c r="B66" s="1930"/>
      <c r="C66" s="1930"/>
      <c r="D66" s="1930"/>
      <c r="E66" s="635" t="s">
        <v>1859</v>
      </c>
      <c r="F66" s="920" t="s">
        <v>1858</v>
      </c>
      <c r="G66" s="1930"/>
      <c r="H66" s="964">
        <v>40102</v>
      </c>
      <c r="I66" s="837" t="s">
        <v>34</v>
      </c>
      <c r="J66" s="837" t="s">
        <v>34</v>
      </c>
      <c r="K66" s="837" t="s">
        <v>34</v>
      </c>
      <c r="L66" s="837" t="s">
        <v>35</v>
      </c>
      <c r="M66" s="1930"/>
      <c r="N66" s="1944"/>
      <c r="O66" s="1944"/>
      <c r="P66" s="1944"/>
      <c r="Q66" s="1944"/>
      <c r="R66" s="1944"/>
      <c r="S66" s="1930"/>
      <c r="T66" s="838">
        <v>540.20086271217883</v>
      </c>
      <c r="U66" s="838">
        <v>743.60478071776163</v>
      </c>
      <c r="V66" s="838">
        <v>43.480944813174339</v>
      </c>
      <c r="W66" s="838">
        <v>73.457984319719998</v>
      </c>
      <c r="X66" s="838">
        <v>6</v>
      </c>
      <c r="Y66" s="838">
        <v>0</v>
      </c>
      <c r="Z66" s="838">
        <f t="shared" si="4"/>
        <v>2.9820038916343679</v>
      </c>
      <c r="AA66" s="965">
        <v>0.01</v>
      </c>
      <c r="AB66" s="965">
        <v>0.01</v>
      </c>
      <c r="AC66" s="965">
        <v>0.01</v>
      </c>
      <c r="AD66" s="837" t="s">
        <v>2176</v>
      </c>
      <c r="AE66" s="837" t="s">
        <v>2298</v>
      </c>
      <c r="AF66" s="966">
        <v>729.76119650946782</v>
      </c>
      <c r="AG66" s="1051">
        <v>65.837001032169255</v>
      </c>
      <c r="AH66" s="1051">
        <v>5.6521240696267405</v>
      </c>
      <c r="AI66" s="1051">
        <v>0</v>
      </c>
      <c r="AJ66" s="979">
        <v>-13.87</v>
      </c>
      <c r="AK66" s="979">
        <v>-13.6</v>
      </c>
      <c r="AL66" s="979">
        <v>-9.83</v>
      </c>
      <c r="AM66" s="1938"/>
    </row>
    <row r="67" spans="1:39" ht="16.5" thickBot="1">
      <c r="A67" s="1878"/>
      <c r="B67" s="1931"/>
      <c r="C67" s="1931"/>
      <c r="D67" s="1931"/>
      <c r="E67" s="697" t="s">
        <v>1860</v>
      </c>
      <c r="F67" s="921" t="s">
        <v>1861</v>
      </c>
      <c r="G67" s="1931"/>
      <c r="H67" s="972">
        <v>179000</v>
      </c>
      <c r="I67" s="841" t="s">
        <v>34</v>
      </c>
      <c r="J67" s="841" t="s">
        <v>34</v>
      </c>
      <c r="K67" s="841" t="s">
        <v>34</v>
      </c>
      <c r="L67" s="841" t="s">
        <v>35</v>
      </c>
      <c r="M67" s="1931"/>
      <c r="N67" s="1945"/>
      <c r="O67" s="1945"/>
      <c r="P67" s="1945"/>
      <c r="Q67" s="1945"/>
      <c r="R67" s="1945"/>
      <c r="S67" s="1931"/>
      <c r="T67" s="842">
        <v>463.97960064490604</v>
      </c>
      <c r="U67" s="842">
        <v>626.63888953673745</v>
      </c>
      <c r="V67" s="842">
        <v>34.419481446926341</v>
      </c>
      <c r="W67" s="842">
        <v>379.73347345395001</v>
      </c>
      <c r="X67" s="842">
        <v>51.75</v>
      </c>
      <c r="Y67" s="842">
        <v>34.525047155999992</v>
      </c>
      <c r="Z67" s="842">
        <f t="shared" si="4"/>
        <v>11.216836122707601</v>
      </c>
      <c r="AA67" s="973">
        <v>0.01</v>
      </c>
      <c r="AB67" s="973">
        <v>0.01</v>
      </c>
      <c r="AC67" s="973">
        <v>0.01</v>
      </c>
      <c r="AD67" s="841" t="s">
        <v>2176</v>
      </c>
      <c r="AE67" s="841" t="s">
        <v>2298</v>
      </c>
      <c r="AF67" s="961">
        <v>613.22199180605116</v>
      </c>
      <c r="AG67" s="1050">
        <v>339.21982870611612</v>
      </c>
      <c r="AH67" s="1050">
        <v>48.743544817203244</v>
      </c>
      <c r="AI67" s="1050">
        <v>28.385500748390637</v>
      </c>
      <c r="AJ67" s="980">
        <v>-11.65</v>
      </c>
      <c r="AK67" s="980">
        <v>-11.65</v>
      </c>
      <c r="AL67" s="980">
        <v>-8.26</v>
      </c>
      <c r="AM67" s="1939"/>
    </row>
    <row r="68" spans="1:39" ht="24.75" customHeight="1" thickBot="1">
      <c r="A68" s="746">
        <v>47</v>
      </c>
      <c r="B68" s="686" t="s">
        <v>1850</v>
      </c>
      <c r="C68" s="686" t="s">
        <v>29</v>
      </c>
      <c r="D68" s="686" t="s">
        <v>1852</v>
      </c>
      <c r="E68" s="637" t="s">
        <v>1862</v>
      </c>
      <c r="F68" s="689" t="s">
        <v>746</v>
      </c>
      <c r="G68" s="686" t="s">
        <v>452</v>
      </c>
      <c r="H68" s="800">
        <v>200512</v>
      </c>
      <c r="I68" s="686" t="s">
        <v>34</v>
      </c>
      <c r="J68" s="686" t="s">
        <v>34</v>
      </c>
      <c r="K68" s="686" t="s">
        <v>34</v>
      </c>
      <c r="L68" s="686" t="s">
        <v>35</v>
      </c>
      <c r="M68" s="686" t="s">
        <v>36</v>
      </c>
      <c r="N68" s="866">
        <v>44971</v>
      </c>
      <c r="O68" s="866">
        <v>45016</v>
      </c>
      <c r="P68" s="866">
        <v>45015</v>
      </c>
      <c r="Q68" s="866">
        <v>44972</v>
      </c>
      <c r="R68" s="866">
        <v>44980</v>
      </c>
      <c r="S68" s="686" t="s">
        <v>1216</v>
      </c>
      <c r="T68" s="825">
        <v>391.93157097047987</v>
      </c>
      <c r="U68" s="825">
        <v>589.61778101522225</v>
      </c>
      <c r="V68" s="825">
        <v>42.862090751620912</v>
      </c>
      <c r="W68" s="825">
        <v>461.6722148006719</v>
      </c>
      <c r="X68" s="825">
        <v>106.25</v>
      </c>
      <c r="Y68" s="825">
        <v>33.975841919999993</v>
      </c>
      <c r="Z68" s="825">
        <f t="shared" si="4"/>
        <v>11.822544050692423</v>
      </c>
      <c r="AA68" s="798">
        <v>0.01</v>
      </c>
      <c r="AB68" s="798">
        <v>0.01</v>
      </c>
      <c r="AC68" s="798">
        <v>0.01</v>
      </c>
      <c r="AD68" s="705" t="s">
        <v>1931</v>
      </c>
      <c r="AE68" s="686"/>
      <c r="AF68" s="686"/>
      <c r="AG68" s="686"/>
      <c r="AH68" s="686"/>
      <c r="AI68" s="686"/>
      <c r="AJ68" s="686"/>
      <c r="AK68" s="686"/>
      <c r="AL68" s="686"/>
      <c r="AM68" s="867">
        <v>45809</v>
      </c>
    </row>
    <row r="69" spans="1:39">
      <c r="A69" s="1918">
        <v>48</v>
      </c>
      <c r="B69" s="1921" t="s">
        <v>1850</v>
      </c>
      <c r="C69" s="1921" t="s">
        <v>29</v>
      </c>
      <c r="D69" s="1921" t="s">
        <v>1853</v>
      </c>
      <c r="E69" s="634" t="s">
        <v>1863</v>
      </c>
      <c r="F69" s="907" t="s">
        <v>1864</v>
      </c>
      <c r="G69" s="1921" t="s">
        <v>452</v>
      </c>
      <c r="H69" s="820">
        <v>200512</v>
      </c>
      <c r="I69" s="705" t="s">
        <v>34</v>
      </c>
      <c r="J69" s="705" t="s">
        <v>34</v>
      </c>
      <c r="K69" s="705" t="s">
        <v>34</v>
      </c>
      <c r="L69" s="705" t="s">
        <v>35</v>
      </c>
      <c r="M69" s="1921" t="s">
        <v>36</v>
      </c>
      <c r="N69" s="1946">
        <v>44971</v>
      </c>
      <c r="O69" s="1946">
        <v>45016</v>
      </c>
      <c r="P69" s="1946">
        <v>45015</v>
      </c>
      <c r="Q69" s="1946">
        <v>44972</v>
      </c>
      <c r="R69" s="1946">
        <v>44980</v>
      </c>
      <c r="S69" s="1921" t="s">
        <v>1216</v>
      </c>
      <c r="T69" s="822">
        <v>484.23448976405695</v>
      </c>
      <c r="U69" s="822">
        <v>646.85651049364014</v>
      </c>
      <c r="V69" s="822">
        <v>36.124395787545332</v>
      </c>
      <c r="W69" s="822">
        <v>579.24349314562494</v>
      </c>
      <c r="X69" s="822">
        <v>49.75</v>
      </c>
      <c r="Y69" s="822">
        <v>26.751665879999997</v>
      </c>
      <c r="Z69" s="822">
        <f t="shared" si="4"/>
        <v>12.970249263210077</v>
      </c>
      <c r="AA69" s="707">
        <v>0.01</v>
      </c>
      <c r="AB69" s="707">
        <v>0.01</v>
      </c>
      <c r="AC69" s="707">
        <v>0.01</v>
      </c>
      <c r="AD69" s="1913" t="s">
        <v>1931</v>
      </c>
      <c r="AE69" s="705"/>
      <c r="AF69" s="705"/>
      <c r="AG69" s="705"/>
      <c r="AH69" s="705"/>
      <c r="AI69" s="705"/>
      <c r="AJ69" s="705"/>
      <c r="AK69" s="705"/>
      <c r="AL69" s="705"/>
      <c r="AM69" s="1940">
        <v>45809</v>
      </c>
    </row>
    <row r="70" spans="1:39" ht="16.5" thickBot="1">
      <c r="A70" s="1920"/>
      <c r="B70" s="1923"/>
      <c r="C70" s="1923"/>
      <c r="D70" s="1923"/>
      <c r="E70" s="716" t="s">
        <v>1865</v>
      </c>
      <c r="F70" s="911" t="s">
        <v>1866</v>
      </c>
      <c r="G70" s="1923"/>
      <c r="H70" s="819">
        <v>200512</v>
      </c>
      <c r="I70" s="716" t="s">
        <v>34</v>
      </c>
      <c r="J70" s="716" t="s">
        <v>34</v>
      </c>
      <c r="K70" s="716" t="s">
        <v>34</v>
      </c>
      <c r="L70" s="716" t="s">
        <v>35</v>
      </c>
      <c r="M70" s="1923"/>
      <c r="N70" s="1947"/>
      <c r="O70" s="1947"/>
      <c r="P70" s="1947"/>
      <c r="Q70" s="1947"/>
      <c r="R70" s="1947"/>
      <c r="S70" s="1923"/>
      <c r="T70" s="824">
        <v>484.25667120266098</v>
      </c>
      <c r="U70" s="824">
        <v>646.8805945297953</v>
      </c>
      <c r="V70" s="824">
        <v>36.124839416317414</v>
      </c>
      <c r="W70" s="824">
        <v>579.24349314562494</v>
      </c>
      <c r="X70" s="824">
        <v>49.75</v>
      </c>
      <c r="Y70" s="824">
        <v>26.751665879999997</v>
      </c>
      <c r="Z70" s="824">
        <f t="shared" si="4"/>
        <v>12.970732177035831</v>
      </c>
      <c r="AA70" s="728">
        <v>0.01</v>
      </c>
      <c r="AB70" s="728">
        <v>0.01</v>
      </c>
      <c r="AC70" s="728">
        <v>0.01</v>
      </c>
      <c r="AD70" s="1914"/>
      <c r="AE70" s="716"/>
      <c r="AF70" s="716"/>
      <c r="AG70" s="716"/>
      <c r="AH70" s="716"/>
      <c r="AI70" s="716"/>
      <c r="AJ70" s="716"/>
      <c r="AK70" s="716"/>
      <c r="AL70" s="716"/>
      <c r="AM70" s="1941"/>
    </row>
    <row r="71" spans="1:39">
      <c r="A71" s="1876">
        <v>49</v>
      </c>
      <c r="B71" s="1867" t="s">
        <v>1850</v>
      </c>
      <c r="C71" s="1867" t="s">
        <v>29</v>
      </c>
      <c r="D71" s="1867" t="s">
        <v>1854</v>
      </c>
      <c r="E71" s="695" t="s">
        <v>1867</v>
      </c>
      <c r="F71" s="919" t="s">
        <v>1868</v>
      </c>
      <c r="G71" s="1867" t="s">
        <v>452</v>
      </c>
      <c r="H71" s="962">
        <v>200512</v>
      </c>
      <c r="I71" s="839" t="s">
        <v>34</v>
      </c>
      <c r="J71" s="839" t="s">
        <v>34</v>
      </c>
      <c r="K71" s="839" t="s">
        <v>34</v>
      </c>
      <c r="L71" s="839" t="s">
        <v>35</v>
      </c>
      <c r="M71" s="1867" t="s">
        <v>36</v>
      </c>
      <c r="N71" s="1948">
        <v>44971</v>
      </c>
      <c r="O71" s="1948">
        <v>45016</v>
      </c>
      <c r="P71" s="1948">
        <v>45015</v>
      </c>
      <c r="Q71" s="1948">
        <v>44972</v>
      </c>
      <c r="R71" s="1948">
        <v>44980</v>
      </c>
      <c r="S71" s="1867" t="s">
        <v>1216</v>
      </c>
      <c r="T71" s="840">
        <v>186.33785333716003</v>
      </c>
      <c r="U71" s="840">
        <v>246.32247023141892</v>
      </c>
      <c r="V71" s="840">
        <v>13.708593685000462</v>
      </c>
      <c r="W71" s="840">
        <v>316.58254789218751</v>
      </c>
      <c r="X71" s="840">
        <v>10.5</v>
      </c>
      <c r="Y71" s="840">
        <v>9.6650740000000006</v>
      </c>
      <c r="Z71" s="840">
        <f t="shared" si="4"/>
        <v>4.9390611151042272</v>
      </c>
      <c r="AA71" s="974">
        <v>7.4999999999999997E-3</v>
      </c>
      <c r="AB71" s="974">
        <v>7.4999999999999997E-3</v>
      </c>
      <c r="AC71" s="974">
        <v>7.4999999999999997E-3</v>
      </c>
      <c r="AD71" s="839" t="s">
        <v>2176</v>
      </c>
      <c r="AE71" s="839" t="s">
        <v>2298</v>
      </c>
      <c r="AF71" s="959">
        <v>240.926850884392</v>
      </c>
      <c r="AG71" s="1049">
        <v>298.19383707672193</v>
      </c>
      <c r="AH71" s="1049">
        <v>9.8901070515480765</v>
      </c>
      <c r="AI71" s="1049">
        <v>9.1036777639175206</v>
      </c>
      <c r="AJ71" s="938">
        <v>-4.58</v>
      </c>
      <c r="AK71" s="938">
        <v>-4.49</v>
      </c>
      <c r="AL71" s="938">
        <v>-3.25</v>
      </c>
      <c r="AM71" s="1937">
        <v>45809</v>
      </c>
    </row>
    <row r="72" spans="1:39" ht="16.5" thickBot="1">
      <c r="A72" s="1878"/>
      <c r="B72" s="1931"/>
      <c r="C72" s="1931"/>
      <c r="D72" s="1931"/>
      <c r="E72" s="841" t="s">
        <v>1869</v>
      </c>
      <c r="F72" s="921" t="s">
        <v>1870</v>
      </c>
      <c r="G72" s="1931"/>
      <c r="H72" s="972">
        <v>200512</v>
      </c>
      <c r="I72" s="841" t="s">
        <v>34</v>
      </c>
      <c r="J72" s="841" t="s">
        <v>34</v>
      </c>
      <c r="K72" s="841" t="s">
        <v>34</v>
      </c>
      <c r="L72" s="841" t="s">
        <v>35</v>
      </c>
      <c r="M72" s="1931"/>
      <c r="N72" s="1949"/>
      <c r="O72" s="1949"/>
      <c r="P72" s="1949"/>
      <c r="Q72" s="1949"/>
      <c r="R72" s="1949"/>
      <c r="S72" s="1931"/>
      <c r="T72" s="842">
        <v>186.33785333716003</v>
      </c>
      <c r="U72" s="842">
        <v>246.32247023141892</v>
      </c>
      <c r="V72" s="842">
        <v>13.708593685000462</v>
      </c>
      <c r="W72" s="842">
        <v>316.58254789218751</v>
      </c>
      <c r="X72" s="842">
        <v>10.5</v>
      </c>
      <c r="Y72" s="842">
        <v>9.6650740000000006</v>
      </c>
      <c r="Z72" s="842">
        <f t="shared" si="4"/>
        <v>4.9390611151042272</v>
      </c>
      <c r="AA72" s="975">
        <v>7.4999999999999997E-3</v>
      </c>
      <c r="AB72" s="975">
        <v>7.4999999999999997E-3</v>
      </c>
      <c r="AC72" s="975">
        <v>7.4999999999999997E-3</v>
      </c>
      <c r="AD72" s="841" t="s">
        <v>2176</v>
      </c>
      <c r="AE72" s="841" t="s">
        <v>2298</v>
      </c>
      <c r="AF72" s="961">
        <v>240.926850884392</v>
      </c>
      <c r="AG72" s="1050">
        <v>298.19383707672193</v>
      </c>
      <c r="AH72" s="1050">
        <v>9.8901070515480765</v>
      </c>
      <c r="AI72" s="1050">
        <v>9.1036777639175206</v>
      </c>
      <c r="AJ72" s="981">
        <v>-4.58</v>
      </c>
      <c r="AK72" s="981">
        <v>-4.49</v>
      </c>
      <c r="AL72" s="960">
        <v>-3.25</v>
      </c>
      <c r="AM72" s="1939"/>
    </row>
    <row r="73" spans="1:39">
      <c r="A73" s="1918">
        <v>50</v>
      </c>
      <c r="B73" s="1921" t="s">
        <v>1850</v>
      </c>
      <c r="C73" s="1921" t="s">
        <v>29</v>
      </c>
      <c r="D73" s="1921" t="s">
        <v>1855</v>
      </c>
      <c r="E73" s="634" t="s">
        <v>1871</v>
      </c>
      <c r="F73" s="907" t="s">
        <v>1872</v>
      </c>
      <c r="G73" s="1921" t="s">
        <v>452</v>
      </c>
      <c r="H73" s="820">
        <v>200512</v>
      </c>
      <c r="I73" s="705" t="s">
        <v>34</v>
      </c>
      <c r="J73" s="705" t="s">
        <v>34</v>
      </c>
      <c r="K73" s="705" t="s">
        <v>34</v>
      </c>
      <c r="L73" s="705" t="s">
        <v>35</v>
      </c>
      <c r="M73" s="1921" t="s">
        <v>36</v>
      </c>
      <c r="N73" s="1946">
        <v>44971</v>
      </c>
      <c r="O73" s="1946">
        <v>45016</v>
      </c>
      <c r="P73" s="1946">
        <v>45015</v>
      </c>
      <c r="Q73" s="1946">
        <v>44972</v>
      </c>
      <c r="R73" s="1946">
        <v>44980</v>
      </c>
      <c r="S73" s="1921" t="s">
        <v>1216</v>
      </c>
      <c r="T73" s="822">
        <v>387.34354393908313</v>
      </c>
      <c r="U73" s="822">
        <v>554.25375111219171</v>
      </c>
      <c r="V73" s="822">
        <v>36.657522812817326</v>
      </c>
      <c r="W73" s="822">
        <v>604.98649524389998</v>
      </c>
      <c r="X73" s="822">
        <v>46.75</v>
      </c>
      <c r="Y73" s="822">
        <v>44.709063999999991</v>
      </c>
      <c r="Z73" s="822">
        <f t="shared" si="4"/>
        <v>11.113452814300778</v>
      </c>
      <c r="AA73" s="707">
        <v>0.01</v>
      </c>
      <c r="AB73" s="707">
        <v>0.01</v>
      </c>
      <c r="AC73" s="707">
        <v>0.01</v>
      </c>
      <c r="AD73" s="1913" t="s">
        <v>1931</v>
      </c>
      <c r="AE73" s="705"/>
      <c r="AF73" s="705"/>
      <c r="AG73" s="705"/>
      <c r="AH73" s="705"/>
      <c r="AI73" s="705"/>
      <c r="AJ73" s="705"/>
      <c r="AK73" s="705"/>
      <c r="AL73" s="705"/>
      <c r="AM73" s="1940">
        <v>45809</v>
      </c>
    </row>
    <row r="74" spans="1:39" ht="16.5" thickBot="1">
      <c r="A74" s="1920"/>
      <c r="B74" s="1923"/>
      <c r="C74" s="1923"/>
      <c r="D74" s="1923"/>
      <c r="E74" s="716" t="s">
        <v>1873</v>
      </c>
      <c r="F74" s="911" t="s">
        <v>1874</v>
      </c>
      <c r="G74" s="1923"/>
      <c r="H74" s="819">
        <v>200512</v>
      </c>
      <c r="I74" s="716" t="s">
        <v>34</v>
      </c>
      <c r="J74" s="716" t="s">
        <v>34</v>
      </c>
      <c r="K74" s="716" t="s">
        <v>34</v>
      </c>
      <c r="L74" s="716" t="s">
        <v>35</v>
      </c>
      <c r="M74" s="1923"/>
      <c r="N74" s="1947"/>
      <c r="O74" s="1947"/>
      <c r="P74" s="1947"/>
      <c r="Q74" s="1947"/>
      <c r="R74" s="1947"/>
      <c r="S74" s="1923"/>
      <c r="T74" s="824">
        <v>387.34353975192607</v>
      </c>
      <c r="U74" s="824">
        <v>554.25374656588417</v>
      </c>
      <c r="V74" s="824">
        <v>36.657522729074188</v>
      </c>
      <c r="W74" s="824">
        <v>523.20171160083748</v>
      </c>
      <c r="X74" s="824">
        <v>46.75</v>
      </c>
      <c r="Y74" s="824">
        <v>44.709063999999991</v>
      </c>
      <c r="Z74" s="824">
        <f t="shared" si="4"/>
        <v>11.113452723141856</v>
      </c>
      <c r="AA74" s="728">
        <v>0.01</v>
      </c>
      <c r="AB74" s="728">
        <v>0.01</v>
      </c>
      <c r="AC74" s="728">
        <v>0.01</v>
      </c>
      <c r="AD74" s="1914"/>
      <c r="AE74" s="716"/>
      <c r="AF74" s="716"/>
      <c r="AG74" s="716"/>
      <c r="AH74" s="716"/>
      <c r="AI74" s="716"/>
      <c r="AJ74" s="716"/>
      <c r="AK74" s="716"/>
      <c r="AL74" s="716"/>
      <c r="AM74" s="1941"/>
    </row>
    <row r="75" spans="1:39">
      <c r="A75" s="1952">
        <v>51</v>
      </c>
      <c r="B75" s="1863" t="s">
        <v>1850</v>
      </c>
      <c r="C75" s="1863" t="s">
        <v>29</v>
      </c>
      <c r="D75" s="1863" t="s">
        <v>1856</v>
      </c>
      <c r="E75" s="639" t="s">
        <v>1875</v>
      </c>
      <c r="F75" s="916" t="s">
        <v>1876</v>
      </c>
      <c r="G75" s="1863" t="s">
        <v>452</v>
      </c>
      <c r="H75" s="817">
        <v>200512</v>
      </c>
      <c r="I75" s="818" t="s">
        <v>34</v>
      </c>
      <c r="J75" s="818" t="s">
        <v>34</v>
      </c>
      <c r="K75" s="818" t="s">
        <v>34</v>
      </c>
      <c r="L75" s="818" t="s">
        <v>35</v>
      </c>
      <c r="M75" s="1863" t="s">
        <v>36</v>
      </c>
      <c r="N75" s="1950">
        <v>44971</v>
      </c>
      <c r="O75" s="1950">
        <v>45016</v>
      </c>
      <c r="P75" s="1950">
        <v>45015</v>
      </c>
      <c r="Q75" s="1950">
        <v>44972</v>
      </c>
      <c r="R75" s="1950">
        <v>44980</v>
      </c>
      <c r="S75" s="1863" t="s">
        <v>1216</v>
      </c>
      <c r="T75" s="826">
        <v>436.46863969866405</v>
      </c>
      <c r="U75" s="826">
        <v>642.22879598649831</v>
      </c>
      <c r="V75" s="826">
        <v>45.426196963596404</v>
      </c>
      <c r="W75" s="826">
        <v>852.26537865026251</v>
      </c>
      <c r="X75" s="826">
        <v>71.75</v>
      </c>
      <c r="Y75" s="826">
        <v>28.308210799999998</v>
      </c>
      <c r="Z75" s="826">
        <f t="shared" si="4"/>
        <v>12.877458034084475</v>
      </c>
      <c r="AA75" s="827">
        <v>0.01</v>
      </c>
      <c r="AB75" s="827">
        <v>0.01</v>
      </c>
      <c r="AC75" s="827">
        <v>0.01</v>
      </c>
      <c r="AD75" s="1913" t="s">
        <v>1931</v>
      </c>
      <c r="AE75" s="818"/>
      <c r="AF75" s="935"/>
      <c r="AG75" s="818"/>
      <c r="AH75" s="818"/>
      <c r="AI75" s="818"/>
      <c r="AJ75" s="932"/>
      <c r="AK75" s="932"/>
      <c r="AL75" s="932"/>
      <c r="AM75" s="1942">
        <v>45809</v>
      </c>
    </row>
    <row r="76" spans="1:39" ht="16.5" thickBot="1">
      <c r="A76" s="1920"/>
      <c r="B76" s="1923"/>
      <c r="C76" s="1923"/>
      <c r="D76" s="1923"/>
      <c r="E76" s="716" t="s">
        <v>1877</v>
      </c>
      <c r="F76" s="911" t="s">
        <v>1878</v>
      </c>
      <c r="G76" s="1923"/>
      <c r="H76" s="819">
        <v>200512</v>
      </c>
      <c r="I76" s="716" t="s">
        <v>34</v>
      </c>
      <c r="J76" s="716" t="s">
        <v>34</v>
      </c>
      <c r="K76" s="716" t="s">
        <v>34</v>
      </c>
      <c r="L76" s="716" t="s">
        <v>35</v>
      </c>
      <c r="M76" s="1923"/>
      <c r="N76" s="1947"/>
      <c r="O76" s="1947"/>
      <c r="P76" s="1947"/>
      <c r="Q76" s="1947"/>
      <c r="R76" s="1947"/>
      <c r="S76" s="1923"/>
      <c r="T76" s="824">
        <v>445.823673338584</v>
      </c>
      <c r="U76" s="824">
        <v>663.30987226424088</v>
      </c>
      <c r="V76" s="824">
        <v>47.924291144634623</v>
      </c>
      <c r="W76" s="824">
        <v>733.43236317571245</v>
      </c>
      <c r="X76" s="824">
        <v>74.75</v>
      </c>
      <c r="Y76" s="824">
        <v>28.308210799999998</v>
      </c>
      <c r="Z76" s="824">
        <f t="shared" si="4"/>
        <v>13.300158910744747</v>
      </c>
      <c r="AA76" s="728">
        <v>0.01</v>
      </c>
      <c r="AB76" s="728">
        <v>0.01</v>
      </c>
      <c r="AC76" s="728">
        <v>0.01</v>
      </c>
      <c r="AD76" s="1914"/>
      <c r="AE76" s="716"/>
      <c r="AF76" s="936"/>
      <c r="AG76" s="716"/>
      <c r="AH76" s="716"/>
      <c r="AI76" s="716"/>
      <c r="AJ76" s="933"/>
      <c r="AK76" s="933"/>
      <c r="AL76" s="934"/>
      <c r="AM76" s="1941"/>
    </row>
    <row r="77" spans="1:39" ht="33" customHeight="1" thickBot="1">
      <c r="A77" s="701">
        <v>52</v>
      </c>
      <c r="B77" s="691" t="s">
        <v>1879</v>
      </c>
      <c r="C77" s="691" t="s">
        <v>29</v>
      </c>
      <c r="D77" s="691" t="s">
        <v>1882</v>
      </c>
      <c r="E77" s="626" t="s">
        <v>1880</v>
      </c>
      <c r="F77" s="910" t="s">
        <v>1881</v>
      </c>
      <c r="G77" s="691" t="s">
        <v>1883</v>
      </c>
      <c r="H77" s="828">
        <v>200000</v>
      </c>
      <c r="I77" s="691" t="s">
        <v>34</v>
      </c>
      <c r="J77" s="691" t="s">
        <v>34</v>
      </c>
      <c r="K77" s="691" t="s">
        <v>34</v>
      </c>
      <c r="L77" s="691" t="s">
        <v>35</v>
      </c>
      <c r="M77" s="691" t="s">
        <v>36</v>
      </c>
      <c r="N77" s="868">
        <v>44970</v>
      </c>
      <c r="O77" s="868">
        <v>44985</v>
      </c>
      <c r="P77" s="868">
        <v>44985</v>
      </c>
      <c r="Q77" s="868">
        <v>44971</v>
      </c>
      <c r="R77" s="868"/>
      <c r="S77" s="691" t="s">
        <v>1886</v>
      </c>
      <c r="T77" s="691">
        <v>232.30086992382397</v>
      </c>
      <c r="U77" s="691">
        <v>355.90927964471325</v>
      </c>
      <c r="V77" s="691">
        <v>26.707390604751684</v>
      </c>
      <c r="W77" s="691">
        <v>185.26725992399628</v>
      </c>
      <c r="X77" s="691">
        <v>72</v>
      </c>
      <c r="Y77" s="691">
        <v>26.561838156</v>
      </c>
      <c r="Z77" s="829">
        <f t="shared" si="4"/>
        <v>7.1181855928942648</v>
      </c>
      <c r="AA77" s="714">
        <v>0.01</v>
      </c>
      <c r="AB77" s="714">
        <v>0.01</v>
      </c>
      <c r="AC77" s="714">
        <v>0.01</v>
      </c>
      <c r="AD77" s="691" t="s">
        <v>1885</v>
      </c>
      <c r="AE77" s="691"/>
      <c r="AF77" s="691"/>
      <c r="AG77" s="691"/>
      <c r="AH77" s="691"/>
      <c r="AI77" s="691"/>
      <c r="AJ77" s="691"/>
      <c r="AK77" s="691"/>
      <c r="AL77" s="691"/>
      <c r="AM77" s="799">
        <v>45717</v>
      </c>
    </row>
    <row r="78" spans="1:39">
      <c r="A78" s="1933">
        <v>53</v>
      </c>
      <c r="B78" s="1913" t="s">
        <v>1550</v>
      </c>
      <c r="C78" s="1913" t="s">
        <v>172</v>
      </c>
      <c r="D78" s="1913" t="s">
        <v>2061</v>
      </c>
      <c r="E78" s="705" t="s">
        <v>1935</v>
      </c>
      <c r="F78" s="907" t="s">
        <v>1943</v>
      </c>
      <c r="G78" s="1921" t="s">
        <v>1949</v>
      </c>
      <c r="H78" s="705">
        <v>148740</v>
      </c>
      <c r="I78" s="1913" t="s">
        <v>34</v>
      </c>
      <c r="J78" s="1913" t="s">
        <v>34</v>
      </c>
      <c r="K78" s="1913" t="s">
        <v>34</v>
      </c>
      <c r="L78" s="1913" t="s">
        <v>35</v>
      </c>
      <c r="M78" s="1913" t="s">
        <v>1950</v>
      </c>
      <c r="N78" s="1913"/>
      <c r="O78" s="1913"/>
      <c r="P78" s="1913"/>
      <c r="Q78" s="1913"/>
      <c r="R78" s="1913"/>
      <c r="S78" s="1913" t="s">
        <v>1216</v>
      </c>
      <c r="T78" s="831">
        <v>289.10971839888998</v>
      </c>
      <c r="U78" s="831">
        <v>349.79965850948952</v>
      </c>
      <c r="V78" s="831">
        <v>15.563296142020752</v>
      </c>
      <c r="W78" s="1928">
        <v>94</v>
      </c>
      <c r="X78" s="1928"/>
      <c r="Y78" s="1928">
        <v>136</v>
      </c>
      <c r="Z78" s="831">
        <f t="shared" si="4"/>
        <v>5.2029201206701474</v>
      </c>
      <c r="AA78" s="705"/>
      <c r="AB78" s="705"/>
      <c r="AC78" s="705"/>
      <c r="AD78" s="1913" t="s">
        <v>1931</v>
      </c>
      <c r="AE78" s="1913"/>
      <c r="AF78" s="705"/>
      <c r="AG78" s="705"/>
      <c r="AH78" s="705"/>
      <c r="AI78" s="705"/>
      <c r="AJ78" s="705"/>
      <c r="AK78" s="705"/>
      <c r="AL78" s="705"/>
      <c r="AM78" s="2024" t="s">
        <v>2047</v>
      </c>
    </row>
    <row r="79" spans="1:39">
      <c r="A79" s="1934"/>
      <c r="B79" s="1862"/>
      <c r="C79" s="1862"/>
      <c r="D79" s="1862"/>
      <c r="E79" s="708" t="s">
        <v>1936</v>
      </c>
      <c r="F79" s="908" t="s">
        <v>1944</v>
      </c>
      <c r="G79" s="1922"/>
      <c r="H79" s="708">
        <v>38840</v>
      </c>
      <c r="I79" s="1862"/>
      <c r="J79" s="1862"/>
      <c r="K79" s="1862"/>
      <c r="L79" s="1862"/>
      <c r="M79" s="1862"/>
      <c r="N79" s="1862"/>
      <c r="O79" s="1862"/>
      <c r="P79" s="1862"/>
      <c r="Q79" s="1862"/>
      <c r="R79" s="1862"/>
      <c r="S79" s="1862"/>
      <c r="T79" s="830">
        <v>289.10971839888998</v>
      </c>
      <c r="U79" s="830">
        <v>350.9080631084276</v>
      </c>
      <c r="V79" s="830">
        <v>15.800980549116922</v>
      </c>
      <c r="W79" s="1929"/>
      <c r="X79" s="1929"/>
      <c r="Y79" s="1929"/>
      <c r="Z79" s="830">
        <f t="shared" si="4"/>
        <v>1.3629269171131329</v>
      </c>
      <c r="AA79" s="708"/>
      <c r="AB79" s="708"/>
      <c r="AC79" s="708"/>
      <c r="AD79" s="1862"/>
      <c r="AE79" s="1862"/>
      <c r="AF79" s="708"/>
      <c r="AG79" s="708"/>
      <c r="AH79" s="708"/>
      <c r="AI79" s="708"/>
      <c r="AJ79" s="708"/>
      <c r="AK79" s="708"/>
      <c r="AL79" s="708"/>
      <c r="AM79" s="1959"/>
    </row>
    <row r="80" spans="1:39">
      <c r="A80" s="1934"/>
      <c r="B80" s="1862"/>
      <c r="C80" s="1862"/>
      <c r="D80" s="1862"/>
      <c r="E80" s="708" t="s">
        <v>1937</v>
      </c>
      <c r="F80" s="908" t="s">
        <v>1945</v>
      </c>
      <c r="G80" s="1922"/>
      <c r="H80" s="708">
        <v>43400</v>
      </c>
      <c r="I80" s="1862"/>
      <c r="J80" s="1862"/>
      <c r="K80" s="1862"/>
      <c r="L80" s="1862"/>
      <c r="M80" s="1862"/>
      <c r="N80" s="1862"/>
      <c r="O80" s="1862"/>
      <c r="P80" s="1862"/>
      <c r="Q80" s="1862"/>
      <c r="R80" s="1862"/>
      <c r="S80" s="1862"/>
      <c r="T80" s="830">
        <v>352.78119372304411</v>
      </c>
      <c r="U80" s="830">
        <v>415.20909545758781</v>
      </c>
      <c r="V80" s="830">
        <v>16.707679896869845</v>
      </c>
      <c r="W80" s="1929"/>
      <c r="X80" s="1929"/>
      <c r="Y80" s="1929"/>
      <c r="Z80" s="830">
        <f t="shared" si="4"/>
        <v>1.8020074742859311</v>
      </c>
      <c r="AA80" s="708"/>
      <c r="AB80" s="708"/>
      <c r="AC80" s="708"/>
      <c r="AD80" s="1862"/>
      <c r="AE80" s="1862"/>
      <c r="AF80" s="708"/>
      <c r="AG80" s="708"/>
      <c r="AH80" s="708"/>
      <c r="AI80" s="708"/>
      <c r="AJ80" s="708"/>
      <c r="AK80" s="708"/>
      <c r="AL80" s="708"/>
      <c r="AM80" s="1959"/>
    </row>
    <row r="81" spans="1:39">
      <c r="A81" s="1934"/>
      <c r="B81" s="1862"/>
      <c r="C81" s="1862"/>
      <c r="D81" s="1862"/>
      <c r="E81" s="708" t="s">
        <v>1938</v>
      </c>
      <c r="F81" s="908" t="s">
        <v>1946</v>
      </c>
      <c r="G81" s="1922"/>
      <c r="H81" s="708">
        <v>153300</v>
      </c>
      <c r="I81" s="1862"/>
      <c r="J81" s="1862"/>
      <c r="K81" s="1862"/>
      <c r="L81" s="1862"/>
      <c r="M81" s="1862"/>
      <c r="N81" s="1862"/>
      <c r="O81" s="1862"/>
      <c r="P81" s="1862"/>
      <c r="Q81" s="1862"/>
      <c r="R81" s="1862"/>
      <c r="S81" s="1862"/>
      <c r="T81" s="830">
        <v>352.78119372304411</v>
      </c>
      <c r="U81" s="830">
        <v>415.13905961923234</v>
      </c>
      <c r="V81" s="830">
        <v>16.707679896869845</v>
      </c>
      <c r="W81" s="1929"/>
      <c r="X81" s="1929"/>
      <c r="Y81" s="1929"/>
      <c r="Z81" s="830">
        <f t="shared" si="4"/>
        <v>6.3640817839628321</v>
      </c>
      <c r="AA81" s="708"/>
      <c r="AB81" s="708"/>
      <c r="AC81" s="708"/>
      <c r="AD81" s="1862"/>
      <c r="AE81" s="1862"/>
      <c r="AF81" s="708"/>
      <c r="AG81" s="708"/>
      <c r="AH81" s="708"/>
      <c r="AI81" s="708"/>
      <c r="AJ81" s="708"/>
      <c r="AK81" s="708"/>
      <c r="AL81" s="708"/>
      <c r="AM81" s="1959"/>
    </row>
    <row r="82" spans="1:39">
      <c r="A82" s="1934"/>
      <c r="B82" s="1862"/>
      <c r="C82" s="1862"/>
      <c r="D82" s="1862"/>
      <c r="E82" s="708" t="s">
        <v>1939</v>
      </c>
      <c r="F82" s="908" t="s">
        <v>1947</v>
      </c>
      <c r="G82" s="1922"/>
      <c r="H82" s="708">
        <v>25730</v>
      </c>
      <c r="I82" s="1862"/>
      <c r="J82" s="1862"/>
      <c r="K82" s="1862"/>
      <c r="L82" s="1862"/>
      <c r="M82" s="1862"/>
      <c r="N82" s="1862"/>
      <c r="O82" s="1862"/>
      <c r="P82" s="1862"/>
      <c r="Q82" s="1862"/>
      <c r="R82" s="1862"/>
      <c r="S82" s="1862"/>
      <c r="T82" s="830">
        <v>264.26015063835337</v>
      </c>
      <c r="U82" s="830">
        <v>340.03847242127381</v>
      </c>
      <c r="V82" s="830">
        <v>18.730439240591533</v>
      </c>
      <c r="W82" s="1929"/>
      <c r="X82" s="1929"/>
      <c r="Y82" s="1929"/>
      <c r="Z82" s="830">
        <f t="shared" si="4"/>
        <v>0.87491898953993752</v>
      </c>
      <c r="AA82" s="708"/>
      <c r="AB82" s="708"/>
      <c r="AC82" s="708"/>
      <c r="AD82" s="1862"/>
      <c r="AE82" s="1862"/>
      <c r="AF82" s="708"/>
      <c r="AG82" s="708"/>
      <c r="AH82" s="708"/>
      <c r="AI82" s="708"/>
      <c r="AJ82" s="708"/>
      <c r="AK82" s="708"/>
      <c r="AL82" s="708"/>
      <c r="AM82" s="1959"/>
    </row>
    <row r="83" spans="1:39">
      <c r="A83" s="1934"/>
      <c r="B83" s="1862"/>
      <c r="C83" s="1862"/>
      <c r="D83" s="1862"/>
      <c r="E83" s="708" t="s">
        <v>1940</v>
      </c>
      <c r="F83" s="908" t="s">
        <v>1948</v>
      </c>
      <c r="G83" s="1922"/>
      <c r="H83" s="708">
        <v>25730</v>
      </c>
      <c r="I83" s="1862"/>
      <c r="J83" s="1862"/>
      <c r="K83" s="1862"/>
      <c r="L83" s="1862"/>
      <c r="M83" s="1862"/>
      <c r="N83" s="1862"/>
      <c r="O83" s="1862"/>
      <c r="P83" s="1862"/>
      <c r="Q83" s="1862"/>
      <c r="R83" s="1862"/>
      <c r="S83" s="1862"/>
      <c r="T83" s="830">
        <v>264.26015063835337</v>
      </c>
      <c r="U83" s="830">
        <v>337.40028007766972</v>
      </c>
      <c r="V83" s="830">
        <v>18.125696009965946</v>
      </c>
      <c r="W83" s="1929"/>
      <c r="X83" s="1929"/>
      <c r="Y83" s="1929"/>
      <c r="Z83" s="830">
        <f t="shared" si="4"/>
        <v>0.86813092063984421</v>
      </c>
      <c r="AA83" s="708"/>
      <c r="AB83" s="708"/>
      <c r="AC83" s="708"/>
      <c r="AD83" s="1862"/>
      <c r="AE83" s="1862"/>
      <c r="AF83" s="708"/>
      <c r="AG83" s="708"/>
      <c r="AH83" s="708"/>
      <c r="AI83" s="708"/>
      <c r="AJ83" s="708"/>
      <c r="AK83" s="708"/>
      <c r="AL83" s="708"/>
      <c r="AM83" s="1959"/>
    </row>
    <row r="84" spans="1:39">
      <c r="A84" s="1934"/>
      <c r="B84" s="1862"/>
      <c r="C84" s="1862"/>
      <c r="D84" s="1862"/>
      <c r="E84" s="708" t="s">
        <v>1941</v>
      </c>
      <c r="F84" s="908" t="s">
        <v>1947</v>
      </c>
      <c r="G84" s="1922"/>
      <c r="H84" s="708">
        <v>166470</v>
      </c>
      <c r="I84" s="1862"/>
      <c r="J84" s="1862"/>
      <c r="K84" s="1862"/>
      <c r="L84" s="1862"/>
      <c r="M84" s="1862"/>
      <c r="N84" s="1862"/>
      <c r="O84" s="1862"/>
      <c r="P84" s="1862"/>
      <c r="Q84" s="1862"/>
      <c r="R84" s="1862"/>
      <c r="S84" s="1862"/>
      <c r="T84" s="830">
        <v>264.26015063835337</v>
      </c>
      <c r="U84" s="830">
        <v>339.81605502628423</v>
      </c>
      <c r="V84" s="830">
        <v>18.681696009965947</v>
      </c>
      <c r="W84" s="1929"/>
      <c r="X84" s="1929"/>
      <c r="Y84" s="1929"/>
      <c r="Z84" s="830">
        <f t="shared" si="4"/>
        <v>5.6569178680225534</v>
      </c>
      <c r="AA84" s="708"/>
      <c r="AB84" s="708"/>
      <c r="AC84" s="708"/>
      <c r="AD84" s="1862"/>
      <c r="AE84" s="1862"/>
      <c r="AF84" s="708"/>
      <c r="AG84" s="708"/>
      <c r="AH84" s="708"/>
      <c r="AI84" s="708"/>
      <c r="AJ84" s="708"/>
      <c r="AK84" s="708"/>
      <c r="AL84" s="708"/>
      <c r="AM84" s="1959"/>
    </row>
    <row r="85" spans="1:39" ht="16.5" thickBot="1">
      <c r="A85" s="1934"/>
      <c r="B85" s="1862"/>
      <c r="C85" s="1862"/>
      <c r="D85" s="1862"/>
      <c r="E85" s="821" t="s">
        <v>1942</v>
      </c>
      <c r="F85" s="915" t="s">
        <v>1948</v>
      </c>
      <c r="G85" s="2018"/>
      <c r="H85" s="821">
        <v>166470</v>
      </c>
      <c r="I85" s="1914"/>
      <c r="J85" s="1914"/>
      <c r="K85" s="1914"/>
      <c r="L85" s="1914"/>
      <c r="M85" s="1914"/>
      <c r="N85" s="1914"/>
      <c r="O85" s="1914"/>
      <c r="P85" s="1914"/>
      <c r="Q85" s="1914"/>
      <c r="R85" s="1914"/>
      <c r="S85" s="1914"/>
      <c r="T85" s="833">
        <v>264.26015063835337</v>
      </c>
      <c r="U85" s="833">
        <v>339.81605502628423</v>
      </c>
      <c r="V85" s="833">
        <v>18.681696009965947</v>
      </c>
      <c r="W85" s="1929"/>
      <c r="X85" s="1932"/>
      <c r="Y85" s="1929"/>
      <c r="Z85" s="833">
        <f t="shared" si="4"/>
        <v>5.6569178680225534</v>
      </c>
      <c r="AA85" s="821"/>
      <c r="AB85" s="821"/>
      <c r="AC85" s="821"/>
      <c r="AD85" s="1862"/>
      <c r="AE85" s="1862"/>
      <c r="AF85" s="821"/>
      <c r="AG85" s="821"/>
      <c r="AH85" s="821"/>
      <c r="AI85" s="821"/>
      <c r="AJ85" s="821"/>
      <c r="AK85" s="821"/>
      <c r="AL85" s="821"/>
      <c r="AM85" s="2025"/>
    </row>
    <row r="86" spans="1:39">
      <c r="A86" s="1918">
        <v>54</v>
      </c>
      <c r="B86" s="1921" t="s">
        <v>49</v>
      </c>
      <c r="C86" s="1921" t="s">
        <v>172</v>
      </c>
      <c r="D86" s="1921" t="s">
        <v>2061</v>
      </c>
      <c r="E86" s="705" t="s">
        <v>1951</v>
      </c>
      <c r="F86" s="907" t="s">
        <v>1952</v>
      </c>
      <c r="G86" s="1921" t="s">
        <v>1949</v>
      </c>
      <c r="H86" s="705">
        <v>127700</v>
      </c>
      <c r="I86" s="1921" t="s">
        <v>34</v>
      </c>
      <c r="J86" s="1921" t="s">
        <v>34</v>
      </c>
      <c r="K86" s="1921" t="s">
        <v>34</v>
      </c>
      <c r="L86" s="1921" t="s">
        <v>35</v>
      </c>
      <c r="M86" s="1921" t="s">
        <v>1950</v>
      </c>
      <c r="N86" s="1921"/>
      <c r="O86" s="1921"/>
      <c r="P86" s="1921"/>
      <c r="Q86" s="1921"/>
      <c r="R86" s="1921"/>
      <c r="S86" s="1921" t="s">
        <v>1216</v>
      </c>
      <c r="T86" s="831">
        <v>15.654948950000001</v>
      </c>
      <c r="U86" s="831">
        <v>22.425654693055247</v>
      </c>
      <c r="V86" s="831">
        <v>1.5810989790000001</v>
      </c>
      <c r="W86" s="1913">
        <v>122.18</v>
      </c>
      <c r="X86" s="1913"/>
      <c r="Y86" s="1913">
        <v>23</v>
      </c>
      <c r="Z86" s="831">
        <f t="shared" si="4"/>
        <v>0.28637561043031551</v>
      </c>
      <c r="AA86" s="705"/>
      <c r="AB86" s="705"/>
      <c r="AC86" s="705"/>
      <c r="AD86" s="1913" t="s">
        <v>1931</v>
      </c>
      <c r="AE86" s="705"/>
      <c r="AF86" s="705"/>
      <c r="AG86" s="705"/>
      <c r="AH86" s="705"/>
      <c r="AI86" s="705"/>
      <c r="AJ86" s="705"/>
      <c r="AK86" s="705"/>
      <c r="AL86" s="705"/>
      <c r="AM86" s="2024" t="s">
        <v>2047</v>
      </c>
    </row>
    <row r="87" spans="1:39">
      <c r="A87" s="1919"/>
      <c r="B87" s="1922"/>
      <c r="C87" s="1922"/>
      <c r="D87" s="1922"/>
      <c r="E87" s="708" t="s">
        <v>1953</v>
      </c>
      <c r="F87" s="908" t="s">
        <v>1954</v>
      </c>
      <c r="G87" s="1922"/>
      <c r="H87" s="708">
        <v>127700</v>
      </c>
      <c r="I87" s="1922" t="s">
        <v>34</v>
      </c>
      <c r="J87" s="1922" t="s">
        <v>34</v>
      </c>
      <c r="K87" s="1922" t="s">
        <v>34</v>
      </c>
      <c r="L87" s="1922" t="s">
        <v>35</v>
      </c>
      <c r="M87" s="1922" t="s">
        <v>1950</v>
      </c>
      <c r="N87" s="1922"/>
      <c r="O87" s="1922"/>
      <c r="P87" s="1922"/>
      <c r="Q87" s="1922"/>
      <c r="R87" s="1922"/>
      <c r="S87" s="1922"/>
      <c r="T87" s="830">
        <v>15.654948950000001</v>
      </c>
      <c r="U87" s="830">
        <v>22.425654693055247</v>
      </c>
      <c r="V87" s="830">
        <v>1.5810989790000001</v>
      </c>
      <c r="W87" s="1862"/>
      <c r="X87" s="1862"/>
      <c r="Y87" s="1862"/>
      <c r="Z87" s="830">
        <f t="shared" si="4"/>
        <v>0.28637561043031551</v>
      </c>
      <c r="AA87" s="708"/>
      <c r="AB87" s="708"/>
      <c r="AC87" s="708"/>
      <c r="AD87" s="1862"/>
      <c r="AE87" s="708"/>
      <c r="AF87" s="708"/>
      <c r="AG87" s="708"/>
      <c r="AH87" s="708"/>
      <c r="AI87" s="708"/>
      <c r="AJ87" s="708"/>
      <c r="AK87" s="708"/>
      <c r="AL87" s="708"/>
      <c r="AM87" s="1959"/>
    </row>
    <row r="88" spans="1:39">
      <c r="A88" s="1919"/>
      <c r="B88" s="1922"/>
      <c r="C88" s="1922"/>
      <c r="D88" s="1922"/>
      <c r="E88" s="708" t="s">
        <v>1955</v>
      </c>
      <c r="F88" s="908" t="s">
        <v>1956</v>
      </c>
      <c r="G88" s="1922"/>
      <c r="H88" s="708">
        <v>127700</v>
      </c>
      <c r="I88" s="1922" t="s">
        <v>34</v>
      </c>
      <c r="J88" s="1922" t="s">
        <v>34</v>
      </c>
      <c r="K88" s="1922" t="s">
        <v>34</v>
      </c>
      <c r="L88" s="1922" t="s">
        <v>35</v>
      </c>
      <c r="M88" s="1922" t="s">
        <v>1950</v>
      </c>
      <c r="N88" s="1922"/>
      <c r="O88" s="1922"/>
      <c r="P88" s="1922"/>
      <c r="Q88" s="1922"/>
      <c r="R88" s="1922"/>
      <c r="S88" s="1922"/>
      <c r="T88" s="830">
        <v>12.30048481</v>
      </c>
      <c r="U88" s="830">
        <v>17.94425960947828</v>
      </c>
      <c r="V88" s="830">
        <v>1.3420096961999999</v>
      </c>
      <c r="W88" s="1862"/>
      <c r="X88" s="1862"/>
      <c r="Y88" s="1862"/>
      <c r="Z88" s="830">
        <f t="shared" si="4"/>
        <v>0.22914819521303764</v>
      </c>
      <c r="AA88" s="708"/>
      <c r="AB88" s="708"/>
      <c r="AC88" s="708"/>
      <c r="AD88" s="1862"/>
      <c r="AE88" s="708"/>
      <c r="AF88" s="708"/>
      <c r="AG88" s="708"/>
      <c r="AH88" s="708"/>
      <c r="AI88" s="708"/>
      <c r="AJ88" s="708"/>
      <c r="AK88" s="708"/>
      <c r="AL88" s="708"/>
      <c r="AM88" s="1959"/>
    </row>
    <row r="89" spans="1:39">
      <c r="A89" s="1919"/>
      <c r="B89" s="1922"/>
      <c r="C89" s="1922"/>
      <c r="D89" s="1922"/>
      <c r="E89" s="708" t="s">
        <v>1957</v>
      </c>
      <c r="F89" s="908" t="s">
        <v>1958</v>
      </c>
      <c r="G89" s="1922"/>
      <c r="H89" s="708">
        <v>127700</v>
      </c>
      <c r="I89" s="1922" t="s">
        <v>34</v>
      </c>
      <c r="J89" s="1922" t="s">
        <v>34</v>
      </c>
      <c r="K89" s="1922" t="s">
        <v>34</v>
      </c>
      <c r="L89" s="1922" t="s">
        <v>35</v>
      </c>
      <c r="M89" s="1922" t="s">
        <v>1950</v>
      </c>
      <c r="N89" s="1922"/>
      <c r="O89" s="1922"/>
      <c r="P89" s="1922"/>
      <c r="Q89" s="1922"/>
      <c r="R89" s="1922"/>
      <c r="S89" s="1922"/>
      <c r="T89" s="830">
        <v>12.30048481</v>
      </c>
      <c r="U89" s="830">
        <v>17.94425960947828</v>
      </c>
      <c r="V89" s="830">
        <v>1.3420096961999999</v>
      </c>
      <c r="W89" s="1862"/>
      <c r="X89" s="1862"/>
      <c r="Y89" s="1862"/>
      <c r="Z89" s="830">
        <f t="shared" si="4"/>
        <v>0.22914819521303764</v>
      </c>
      <c r="AA89" s="708"/>
      <c r="AB89" s="708"/>
      <c r="AC89" s="708"/>
      <c r="AD89" s="1862"/>
      <c r="AE89" s="708"/>
      <c r="AF89" s="708"/>
      <c r="AG89" s="708"/>
      <c r="AH89" s="708"/>
      <c r="AI89" s="708"/>
      <c r="AJ89" s="708"/>
      <c r="AK89" s="708"/>
      <c r="AL89" s="708"/>
      <c r="AM89" s="1959"/>
    </row>
    <row r="90" spans="1:39">
      <c r="A90" s="1919"/>
      <c r="B90" s="1922"/>
      <c r="C90" s="1922"/>
      <c r="D90" s="1922"/>
      <c r="E90" s="708" t="s">
        <v>1959</v>
      </c>
      <c r="F90" s="908" t="s">
        <v>1960</v>
      </c>
      <c r="G90" s="1922"/>
      <c r="H90" s="708">
        <v>127700</v>
      </c>
      <c r="I90" s="1922" t="s">
        <v>34</v>
      </c>
      <c r="J90" s="1922" t="s">
        <v>34</v>
      </c>
      <c r="K90" s="1922" t="s">
        <v>34</v>
      </c>
      <c r="L90" s="1922" t="s">
        <v>35</v>
      </c>
      <c r="M90" s="1922" t="s">
        <v>1950</v>
      </c>
      <c r="N90" s="1922"/>
      <c r="O90" s="1922"/>
      <c r="P90" s="1922"/>
      <c r="Q90" s="1922"/>
      <c r="R90" s="1922"/>
      <c r="S90" s="1922"/>
      <c r="T90" s="830">
        <v>7.6514212849999996</v>
      </c>
      <c r="U90" s="830">
        <v>13.275920685605819</v>
      </c>
      <c r="V90" s="830">
        <v>1.3130284257</v>
      </c>
      <c r="W90" s="1862"/>
      <c r="X90" s="1862"/>
      <c r="Y90" s="1862"/>
      <c r="Z90" s="830">
        <f t="shared" si="4"/>
        <v>0.16953350715518631</v>
      </c>
      <c r="AA90" s="708"/>
      <c r="AB90" s="708"/>
      <c r="AC90" s="708"/>
      <c r="AD90" s="1862"/>
      <c r="AE90" s="708"/>
      <c r="AF90" s="708"/>
      <c r="AG90" s="708"/>
      <c r="AH90" s="708"/>
      <c r="AI90" s="708"/>
      <c r="AJ90" s="708"/>
      <c r="AK90" s="708"/>
      <c r="AL90" s="708"/>
      <c r="AM90" s="1959"/>
    </row>
    <row r="91" spans="1:39">
      <c r="A91" s="1919"/>
      <c r="B91" s="1922"/>
      <c r="C91" s="1922"/>
      <c r="D91" s="1922"/>
      <c r="E91" s="708" t="s">
        <v>1961</v>
      </c>
      <c r="F91" s="908" t="s">
        <v>1962</v>
      </c>
      <c r="G91" s="1922"/>
      <c r="H91" s="708">
        <v>127700</v>
      </c>
      <c r="I91" s="1922" t="s">
        <v>34</v>
      </c>
      <c r="J91" s="1922" t="s">
        <v>34</v>
      </c>
      <c r="K91" s="1922" t="s">
        <v>34</v>
      </c>
      <c r="L91" s="1922" t="s">
        <v>35</v>
      </c>
      <c r="M91" s="1922" t="s">
        <v>1950</v>
      </c>
      <c r="N91" s="1922"/>
      <c r="O91" s="1922"/>
      <c r="P91" s="1922"/>
      <c r="Q91" s="1922"/>
      <c r="R91" s="1922"/>
      <c r="S91" s="1922"/>
      <c r="T91" s="830">
        <v>7.6514212849999996</v>
      </c>
      <c r="U91" s="830">
        <v>13.275920685605819</v>
      </c>
      <c r="V91" s="830">
        <v>1.3130284257</v>
      </c>
      <c r="W91" s="1862"/>
      <c r="X91" s="1862"/>
      <c r="Y91" s="1862"/>
      <c r="Z91" s="830">
        <f t="shared" ref="Z91:Z113" si="5">H91*U91/10^7</f>
        <v>0.16953350715518631</v>
      </c>
      <c r="AA91" s="708"/>
      <c r="AB91" s="708"/>
      <c r="AC91" s="708"/>
      <c r="AD91" s="1862"/>
      <c r="AE91" s="708"/>
      <c r="AF91" s="708"/>
      <c r="AG91" s="708"/>
      <c r="AH91" s="708"/>
      <c r="AI91" s="708"/>
      <c r="AJ91" s="708"/>
      <c r="AK91" s="708"/>
      <c r="AL91" s="708"/>
      <c r="AM91" s="1959"/>
    </row>
    <row r="92" spans="1:39">
      <c r="A92" s="1919"/>
      <c r="B92" s="1922"/>
      <c r="C92" s="1922"/>
      <c r="D92" s="1922"/>
      <c r="E92" s="708" t="s">
        <v>1963</v>
      </c>
      <c r="F92" s="908" t="s">
        <v>1964</v>
      </c>
      <c r="G92" s="1922"/>
      <c r="H92" s="708">
        <v>383100</v>
      </c>
      <c r="I92" s="1922" t="s">
        <v>34</v>
      </c>
      <c r="J92" s="1922" t="s">
        <v>34</v>
      </c>
      <c r="K92" s="1922" t="s">
        <v>34</v>
      </c>
      <c r="L92" s="1922" t="s">
        <v>35</v>
      </c>
      <c r="M92" s="1922" t="s">
        <v>1950</v>
      </c>
      <c r="N92" s="1922"/>
      <c r="O92" s="1922"/>
      <c r="P92" s="1922"/>
      <c r="Q92" s="1922"/>
      <c r="R92" s="1922"/>
      <c r="S92" s="1922"/>
      <c r="T92" s="830">
        <v>5.9602926500000013</v>
      </c>
      <c r="U92" s="830">
        <v>8.6447426516915762</v>
      </c>
      <c r="V92" s="830">
        <v>0.63920585300000021</v>
      </c>
      <c r="W92" s="1862"/>
      <c r="X92" s="1862"/>
      <c r="Y92" s="1862"/>
      <c r="Z92" s="830">
        <f t="shared" si="5"/>
        <v>0.33118009098630424</v>
      </c>
      <c r="AA92" s="708"/>
      <c r="AB92" s="708"/>
      <c r="AC92" s="708"/>
      <c r="AD92" s="1862"/>
      <c r="AE92" s="708"/>
      <c r="AF92" s="708"/>
      <c r="AG92" s="708"/>
      <c r="AH92" s="708"/>
      <c r="AI92" s="708"/>
      <c r="AJ92" s="708"/>
      <c r="AK92" s="708"/>
      <c r="AL92" s="708"/>
      <c r="AM92" s="1959"/>
    </row>
    <row r="93" spans="1:39">
      <c r="A93" s="1919"/>
      <c r="B93" s="1922"/>
      <c r="C93" s="1922"/>
      <c r="D93" s="1922"/>
      <c r="E93" s="708" t="s">
        <v>1965</v>
      </c>
      <c r="F93" s="908" t="s">
        <v>1966</v>
      </c>
      <c r="G93" s="1922"/>
      <c r="H93" s="708">
        <v>371985</v>
      </c>
      <c r="I93" s="1922" t="s">
        <v>34</v>
      </c>
      <c r="J93" s="1922" t="s">
        <v>34</v>
      </c>
      <c r="K93" s="1922" t="s">
        <v>34</v>
      </c>
      <c r="L93" s="1922" t="s">
        <v>35</v>
      </c>
      <c r="M93" s="1922" t="s">
        <v>1950</v>
      </c>
      <c r="N93" s="1922"/>
      <c r="O93" s="1922"/>
      <c r="P93" s="1922"/>
      <c r="Q93" s="1922"/>
      <c r="R93" s="1922"/>
      <c r="S93" s="1922"/>
      <c r="T93" s="830">
        <v>3.1253417100000003</v>
      </c>
      <c r="U93" s="830">
        <v>8.5120660191884845</v>
      </c>
      <c r="V93" s="830">
        <v>1.2425068342000001</v>
      </c>
      <c r="W93" s="1862"/>
      <c r="X93" s="1862"/>
      <c r="Y93" s="1862"/>
      <c r="Z93" s="830">
        <f t="shared" si="5"/>
        <v>0.31663608781478286</v>
      </c>
      <c r="AA93" s="708"/>
      <c r="AB93" s="708"/>
      <c r="AC93" s="708"/>
      <c r="AD93" s="1862"/>
      <c r="AE93" s="708"/>
      <c r="AF93" s="708"/>
      <c r="AG93" s="708"/>
      <c r="AH93" s="708"/>
      <c r="AI93" s="708"/>
      <c r="AJ93" s="708"/>
      <c r="AK93" s="708"/>
      <c r="AL93" s="708"/>
      <c r="AM93" s="1959"/>
    </row>
    <row r="94" spans="1:39">
      <c r="A94" s="1919"/>
      <c r="B94" s="1922"/>
      <c r="C94" s="1922"/>
      <c r="D94" s="1922"/>
      <c r="E94" s="708" t="s">
        <v>1967</v>
      </c>
      <c r="F94" s="908" t="s">
        <v>1968</v>
      </c>
      <c r="G94" s="1922"/>
      <c r="H94" s="708">
        <v>371985</v>
      </c>
      <c r="I94" s="1922" t="s">
        <v>34</v>
      </c>
      <c r="J94" s="1922" t="s">
        <v>34</v>
      </c>
      <c r="K94" s="1922" t="s">
        <v>34</v>
      </c>
      <c r="L94" s="1922" t="s">
        <v>35</v>
      </c>
      <c r="M94" s="1922" t="s">
        <v>1950</v>
      </c>
      <c r="N94" s="1922"/>
      <c r="O94" s="1922"/>
      <c r="P94" s="1922"/>
      <c r="Q94" s="1922"/>
      <c r="R94" s="1922"/>
      <c r="S94" s="1922"/>
      <c r="T94" s="830">
        <v>3.1253417100000003</v>
      </c>
      <c r="U94" s="830">
        <v>8.5120660191884845</v>
      </c>
      <c r="V94" s="830">
        <v>1.2425068342000001</v>
      </c>
      <c r="W94" s="1862"/>
      <c r="X94" s="1862"/>
      <c r="Y94" s="1862"/>
      <c r="Z94" s="830">
        <f t="shared" si="5"/>
        <v>0.31663608781478286</v>
      </c>
      <c r="AA94" s="708"/>
      <c r="AB94" s="708"/>
      <c r="AC94" s="708"/>
      <c r="AD94" s="1862"/>
      <c r="AE94" s="708"/>
      <c r="AF94" s="708"/>
      <c r="AG94" s="708"/>
      <c r="AH94" s="708"/>
      <c r="AI94" s="708"/>
      <c r="AJ94" s="708"/>
      <c r="AK94" s="708"/>
      <c r="AL94" s="708"/>
      <c r="AM94" s="1959"/>
    </row>
    <row r="95" spans="1:39">
      <c r="A95" s="1919"/>
      <c r="B95" s="1922"/>
      <c r="C95" s="1922"/>
      <c r="D95" s="1922"/>
      <c r="E95" s="708" t="s">
        <v>1969</v>
      </c>
      <c r="F95" s="908" t="s">
        <v>1970</v>
      </c>
      <c r="G95" s="1922"/>
      <c r="H95" s="708">
        <v>123995</v>
      </c>
      <c r="I95" s="1922" t="s">
        <v>34</v>
      </c>
      <c r="J95" s="1922" t="s">
        <v>34</v>
      </c>
      <c r="K95" s="1922" t="s">
        <v>34</v>
      </c>
      <c r="L95" s="1922" t="s">
        <v>35</v>
      </c>
      <c r="M95" s="1922" t="s">
        <v>1950</v>
      </c>
      <c r="N95" s="1922"/>
      <c r="O95" s="1922"/>
      <c r="P95" s="1922"/>
      <c r="Q95" s="1922"/>
      <c r="R95" s="1922"/>
      <c r="S95" s="1922"/>
      <c r="T95" s="830">
        <v>25.909905232500002</v>
      </c>
      <c r="U95" s="830">
        <v>36.364077679779683</v>
      </c>
      <c r="V95" s="830">
        <v>2.4781981046500001</v>
      </c>
      <c r="W95" s="1862"/>
      <c r="X95" s="1862"/>
      <c r="Y95" s="1862"/>
      <c r="Z95" s="830">
        <f t="shared" si="5"/>
        <v>0.45089638119042813</v>
      </c>
      <c r="AA95" s="708"/>
      <c r="AB95" s="708"/>
      <c r="AC95" s="708"/>
      <c r="AD95" s="1862"/>
      <c r="AE95" s="708"/>
      <c r="AF95" s="708"/>
      <c r="AG95" s="708"/>
      <c r="AH95" s="708"/>
      <c r="AI95" s="708"/>
      <c r="AJ95" s="708"/>
      <c r="AK95" s="708"/>
      <c r="AL95" s="708"/>
      <c r="AM95" s="1959"/>
    </row>
    <row r="96" spans="1:39">
      <c r="A96" s="1919"/>
      <c r="B96" s="1922"/>
      <c r="C96" s="1922"/>
      <c r="D96" s="1922"/>
      <c r="E96" s="708" t="s">
        <v>1971</v>
      </c>
      <c r="F96" s="908" t="s">
        <v>1972</v>
      </c>
      <c r="G96" s="1922"/>
      <c r="H96" s="708">
        <v>127700</v>
      </c>
      <c r="I96" s="1922" t="s">
        <v>34</v>
      </c>
      <c r="J96" s="1922" t="s">
        <v>34</v>
      </c>
      <c r="K96" s="1922" t="s">
        <v>34</v>
      </c>
      <c r="L96" s="1922" t="s">
        <v>35</v>
      </c>
      <c r="M96" s="1922" t="s">
        <v>1950</v>
      </c>
      <c r="N96" s="1922"/>
      <c r="O96" s="1922"/>
      <c r="P96" s="1922"/>
      <c r="Q96" s="1922"/>
      <c r="R96" s="1922"/>
      <c r="S96" s="1922"/>
      <c r="T96" s="830">
        <v>13.209036656249999</v>
      </c>
      <c r="U96" s="830">
        <v>19.631234796607046</v>
      </c>
      <c r="V96" s="830">
        <v>1.4921807331250001</v>
      </c>
      <c r="W96" s="1862"/>
      <c r="X96" s="1862"/>
      <c r="Y96" s="1862"/>
      <c r="Z96" s="830">
        <f t="shared" si="5"/>
        <v>0.25069086835267201</v>
      </c>
      <c r="AA96" s="708"/>
      <c r="AB96" s="708"/>
      <c r="AC96" s="708"/>
      <c r="AD96" s="1862"/>
      <c r="AE96" s="708"/>
      <c r="AF96" s="708"/>
      <c r="AG96" s="708"/>
      <c r="AH96" s="708"/>
      <c r="AI96" s="708"/>
      <c r="AJ96" s="708"/>
      <c r="AK96" s="708"/>
      <c r="AL96" s="708"/>
      <c r="AM96" s="1959"/>
    </row>
    <row r="97" spans="1:39">
      <c r="A97" s="1919"/>
      <c r="B97" s="1922"/>
      <c r="C97" s="1922"/>
      <c r="D97" s="1922"/>
      <c r="E97" s="708" t="s">
        <v>1973</v>
      </c>
      <c r="F97" s="908" t="s">
        <v>1974</v>
      </c>
      <c r="G97" s="1922"/>
      <c r="H97" s="708">
        <v>127700</v>
      </c>
      <c r="I97" s="1922" t="s">
        <v>34</v>
      </c>
      <c r="J97" s="1922" t="s">
        <v>34</v>
      </c>
      <c r="K97" s="1922" t="s">
        <v>34</v>
      </c>
      <c r="L97" s="1922" t="s">
        <v>35</v>
      </c>
      <c r="M97" s="1922" t="s">
        <v>1950</v>
      </c>
      <c r="N97" s="1922"/>
      <c r="O97" s="1922"/>
      <c r="P97" s="1922"/>
      <c r="Q97" s="1922"/>
      <c r="R97" s="1922"/>
      <c r="S97" s="1922"/>
      <c r="T97" s="830">
        <v>13.209036656249999</v>
      </c>
      <c r="U97" s="830">
        <v>19.631234796607046</v>
      </c>
      <c r="V97" s="830">
        <v>1.4921807331250001</v>
      </c>
      <c r="W97" s="1862"/>
      <c r="X97" s="1862"/>
      <c r="Y97" s="1862"/>
      <c r="Z97" s="830">
        <f t="shared" si="5"/>
        <v>0.25069086835267201</v>
      </c>
      <c r="AA97" s="708"/>
      <c r="AB97" s="708"/>
      <c r="AC97" s="708"/>
      <c r="AD97" s="1862"/>
      <c r="AE97" s="708"/>
      <c r="AF97" s="708"/>
      <c r="AG97" s="708"/>
      <c r="AH97" s="708"/>
      <c r="AI97" s="708"/>
      <c r="AJ97" s="708"/>
      <c r="AK97" s="708"/>
      <c r="AL97" s="708"/>
      <c r="AM97" s="1959"/>
    </row>
    <row r="98" spans="1:39">
      <c r="A98" s="1919"/>
      <c r="B98" s="1922"/>
      <c r="C98" s="1922"/>
      <c r="D98" s="1922"/>
      <c r="E98" s="708" t="s">
        <v>1975</v>
      </c>
      <c r="F98" s="908" t="s">
        <v>1976</v>
      </c>
      <c r="G98" s="1922"/>
      <c r="H98" s="708">
        <v>127700</v>
      </c>
      <c r="I98" s="1922" t="s">
        <v>34</v>
      </c>
      <c r="J98" s="1922" t="s">
        <v>34</v>
      </c>
      <c r="K98" s="1922" t="s">
        <v>34</v>
      </c>
      <c r="L98" s="1922" t="s">
        <v>35</v>
      </c>
      <c r="M98" s="1922" t="s">
        <v>1950</v>
      </c>
      <c r="N98" s="1922"/>
      <c r="O98" s="1922"/>
      <c r="P98" s="1922"/>
      <c r="Q98" s="1922"/>
      <c r="R98" s="1922"/>
      <c r="S98" s="1922"/>
      <c r="T98" s="830">
        <v>3.7348961006249999</v>
      </c>
      <c r="U98" s="830">
        <v>6.4638118944923644</v>
      </c>
      <c r="V98" s="830">
        <v>0.63469792201250008</v>
      </c>
      <c r="W98" s="1862"/>
      <c r="X98" s="1862"/>
      <c r="Y98" s="1862"/>
      <c r="Z98" s="830">
        <f t="shared" si="5"/>
        <v>8.2542877892667496E-2</v>
      </c>
      <c r="AA98" s="708"/>
      <c r="AB98" s="708"/>
      <c r="AC98" s="708"/>
      <c r="AD98" s="1862"/>
      <c r="AE98" s="708"/>
      <c r="AF98" s="708"/>
      <c r="AG98" s="708"/>
      <c r="AH98" s="708"/>
      <c r="AI98" s="708"/>
      <c r="AJ98" s="708"/>
      <c r="AK98" s="708"/>
      <c r="AL98" s="708"/>
      <c r="AM98" s="1959"/>
    </row>
    <row r="99" spans="1:39" ht="16.5" thickBot="1">
      <c r="A99" s="1920"/>
      <c r="B99" s="1923"/>
      <c r="C99" s="1923"/>
      <c r="D99" s="1923"/>
      <c r="E99" s="716" t="s">
        <v>1977</v>
      </c>
      <c r="F99" s="911" t="s">
        <v>1978</v>
      </c>
      <c r="G99" s="1923"/>
      <c r="H99" s="716">
        <v>127700</v>
      </c>
      <c r="I99" s="1923" t="s">
        <v>34</v>
      </c>
      <c r="J99" s="1923" t="s">
        <v>34</v>
      </c>
      <c r="K99" s="1923" t="s">
        <v>34</v>
      </c>
      <c r="L99" s="1923" t="s">
        <v>35</v>
      </c>
      <c r="M99" s="1923" t="s">
        <v>1950</v>
      </c>
      <c r="N99" s="1923"/>
      <c r="O99" s="1923"/>
      <c r="P99" s="1923"/>
      <c r="Q99" s="1923"/>
      <c r="R99" s="1923"/>
      <c r="S99" s="1923"/>
      <c r="T99" s="832">
        <v>7.0773980855555561</v>
      </c>
      <c r="U99" s="832">
        <v>12.872073721592008</v>
      </c>
      <c r="V99" s="832">
        <v>1.3455479617111112</v>
      </c>
      <c r="W99" s="1914"/>
      <c r="X99" s="1914"/>
      <c r="Y99" s="1914"/>
      <c r="Z99" s="832">
        <f t="shared" si="5"/>
        <v>0.16437638142472993</v>
      </c>
      <c r="AA99" s="716"/>
      <c r="AB99" s="716"/>
      <c r="AC99" s="716"/>
      <c r="AD99" s="1914"/>
      <c r="AE99" s="716"/>
      <c r="AF99" s="716"/>
      <c r="AG99" s="716"/>
      <c r="AH99" s="716"/>
      <c r="AI99" s="716"/>
      <c r="AJ99" s="716"/>
      <c r="AK99" s="716"/>
      <c r="AL99" s="716"/>
      <c r="AM99" s="2025"/>
    </row>
    <row r="100" spans="1:39">
      <c r="A100" s="1918">
        <v>55</v>
      </c>
      <c r="B100" s="1921" t="s">
        <v>2003</v>
      </c>
      <c r="C100" s="1921" t="s">
        <v>172</v>
      </c>
      <c r="D100" s="1921" t="s">
        <v>2061</v>
      </c>
      <c r="E100" s="705" t="s">
        <v>1979</v>
      </c>
      <c r="F100" s="907" t="s">
        <v>1980</v>
      </c>
      <c r="G100" s="1921" t="s">
        <v>1949</v>
      </c>
      <c r="H100" s="705">
        <v>54000</v>
      </c>
      <c r="I100" s="1921" t="s">
        <v>34</v>
      </c>
      <c r="J100" s="1921" t="s">
        <v>34</v>
      </c>
      <c r="K100" s="1921" t="s">
        <v>34</v>
      </c>
      <c r="L100" s="1921" t="s">
        <v>35</v>
      </c>
      <c r="M100" s="1921" t="s">
        <v>1950</v>
      </c>
      <c r="N100" s="1927">
        <v>44969</v>
      </c>
      <c r="O100" s="1927">
        <v>44972</v>
      </c>
      <c r="P100" s="1927">
        <v>45022</v>
      </c>
      <c r="Q100" s="1927">
        <v>44969</v>
      </c>
      <c r="R100" s="1927">
        <v>44972</v>
      </c>
      <c r="S100" s="1921" t="s">
        <v>1216</v>
      </c>
      <c r="T100" s="831">
        <v>2.1465277</v>
      </c>
      <c r="U100" s="831">
        <v>5.9451649405206588</v>
      </c>
      <c r="V100" s="831">
        <v>0.85693055400000007</v>
      </c>
      <c r="W100" s="1913">
        <v>284.26915638380001</v>
      </c>
      <c r="X100" s="1913"/>
      <c r="Y100" s="1913">
        <v>35.002689999999994</v>
      </c>
      <c r="Z100" s="831">
        <f t="shared" si="5"/>
        <v>3.2103890678811559E-2</v>
      </c>
      <c r="AA100" s="705"/>
      <c r="AB100" s="705"/>
      <c r="AC100" s="705"/>
      <c r="AD100" s="1913" t="s">
        <v>1931</v>
      </c>
      <c r="AE100" s="705"/>
      <c r="AF100" s="705"/>
      <c r="AG100" s="705"/>
      <c r="AH100" s="705"/>
      <c r="AI100" s="705"/>
      <c r="AJ100" s="705"/>
      <c r="AK100" s="705"/>
      <c r="AL100" s="705"/>
      <c r="AM100" s="2024" t="s">
        <v>2049</v>
      </c>
    </row>
    <row r="101" spans="1:39">
      <c r="A101" s="1919"/>
      <c r="B101" s="1922"/>
      <c r="C101" s="1922"/>
      <c r="D101" s="1922"/>
      <c r="E101" s="708" t="s">
        <v>1981</v>
      </c>
      <c r="F101" s="908" t="s">
        <v>1982</v>
      </c>
      <c r="G101" s="1922"/>
      <c r="H101" s="708">
        <v>54000</v>
      </c>
      <c r="I101" s="1922" t="s">
        <v>34</v>
      </c>
      <c r="J101" s="1922" t="s">
        <v>34</v>
      </c>
      <c r="K101" s="1922" t="s">
        <v>34</v>
      </c>
      <c r="L101" s="1922" t="s">
        <v>35</v>
      </c>
      <c r="M101" s="1922" t="s">
        <v>1950</v>
      </c>
      <c r="N101" s="1922"/>
      <c r="O101" s="1922"/>
      <c r="P101" s="1922"/>
      <c r="Q101" s="1922"/>
      <c r="R101" s="1922"/>
      <c r="S101" s="1922"/>
      <c r="T101" s="830">
        <v>2.1465277</v>
      </c>
      <c r="U101" s="830">
        <v>5.9451649405206588</v>
      </c>
      <c r="V101" s="830">
        <v>0.85693055400000007</v>
      </c>
      <c r="W101" s="1862"/>
      <c r="X101" s="1862"/>
      <c r="Y101" s="1862"/>
      <c r="Z101" s="830">
        <f t="shared" si="5"/>
        <v>3.2103890678811559E-2</v>
      </c>
      <c r="AA101" s="708"/>
      <c r="AB101" s="708"/>
      <c r="AC101" s="708"/>
      <c r="AD101" s="1862"/>
      <c r="AE101" s="708"/>
      <c r="AF101" s="708"/>
      <c r="AG101" s="708"/>
      <c r="AH101" s="708"/>
      <c r="AI101" s="708"/>
      <c r="AJ101" s="708"/>
      <c r="AK101" s="708"/>
      <c r="AL101" s="708"/>
      <c r="AM101" s="1959"/>
    </row>
    <row r="102" spans="1:39">
      <c r="A102" s="1919"/>
      <c r="B102" s="1922"/>
      <c r="C102" s="1922"/>
      <c r="D102" s="1922"/>
      <c r="E102" s="708" t="s">
        <v>1983</v>
      </c>
      <c r="F102" s="908" t="s">
        <v>1984</v>
      </c>
      <c r="G102" s="1922"/>
      <c r="H102" s="708">
        <v>108000</v>
      </c>
      <c r="I102" s="1922" t="s">
        <v>34</v>
      </c>
      <c r="J102" s="1922" t="s">
        <v>34</v>
      </c>
      <c r="K102" s="1922" t="s">
        <v>34</v>
      </c>
      <c r="L102" s="1922" t="s">
        <v>35</v>
      </c>
      <c r="M102" s="1922" t="s">
        <v>1950</v>
      </c>
      <c r="N102" s="1922"/>
      <c r="O102" s="1922"/>
      <c r="P102" s="1922"/>
      <c r="Q102" s="1922"/>
      <c r="R102" s="1922"/>
      <c r="S102" s="1922"/>
      <c r="T102" s="830">
        <v>2.340133490909091</v>
      </c>
      <c r="U102" s="830">
        <v>6.5853364762052164</v>
      </c>
      <c r="V102" s="830">
        <v>0.93080266981818183</v>
      </c>
      <c r="W102" s="1862"/>
      <c r="X102" s="1862"/>
      <c r="Y102" s="1862"/>
      <c r="Z102" s="830">
        <f t="shared" si="5"/>
        <v>7.1121633943016335E-2</v>
      </c>
      <c r="AA102" s="708"/>
      <c r="AB102" s="708"/>
      <c r="AC102" s="708"/>
      <c r="AD102" s="1862"/>
      <c r="AE102" s="708"/>
      <c r="AF102" s="708"/>
      <c r="AG102" s="708"/>
      <c r="AH102" s="708"/>
      <c r="AI102" s="708"/>
      <c r="AJ102" s="708"/>
      <c r="AK102" s="708"/>
      <c r="AL102" s="708"/>
      <c r="AM102" s="1959"/>
    </row>
    <row r="103" spans="1:39">
      <c r="A103" s="1919"/>
      <c r="B103" s="1922"/>
      <c r="C103" s="1922"/>
      <c r="D103" s="1922"/>
      <c r="E103" s="708" t="s">
        <v>1985</v>
      </c>
      <c r="F103" s="908" t="s">
        <v>1986</v>
      </c>
      <c r="G103" s="1922"/>
      <c r="H103" s="708">
        <v>108000</v>
      </c>
      <c r="I103" s="1922" t="s">
        <v>34</v>
      </c>
      <c r="J103" s="1922" t="s">
        <v>34</v>
      </c>
      <c r="K103" s="1922" t="s">
        <v>34</v>
      </c>
      <c r="L103" s="1922" t="s">
        <v>35</v>
      </c>
      <c r="M103" s="1922" t="s">
        <v>1950</v>
      </c>
      <c r="N103" s="1922"/>
      <c r="O103" s="1922"/>
      <c r="P103" s="1922"/>
      <c r="Q103" s="1922"/>
      <c r="R103" s="1922"/>
      <c r="S103" s="1922"/>
      <c r="T103" s="830">
        <v>8.8709896923076936</v>
      </c>
      <c r="U103" s="830">
        <v>13.048393367566403</v>
      </c>
      <c r="V103" s="830">
        <v>0.99141979384615397</v>
      </c>
      <c r="W103" s="1862"/>
      <c r="X103" s="1862"/>
      <c r="Y103" s="1862"/>
      <c r="Z103" s="830">
        <f t="shared" si="5"/>
        <v>0.14092264836971716</v>
      </c>
      <c r="AA103" s="708"/>
      <c r="AB103" s="708"/>
      <c r="AC103" s="708"/>
      <c r="AD103" s="1862"/>
      <c r="AE103" s="708"/>
      <c r="AF103" s="708"/>
      <c r="AG103" s="708"/>
      <c r="AH103" s="708"/>
      <c r="AI103" s="708"/>
      <c r="AJ103" s="708"/>
      <c r="AK103" s="708"/>
      <c r="AL103" s="708"/>
      <c r="AM103" s="1959"/>
    </row>
    <row r="104" spans="1:39">
      <c r="A104" s="1919"/>
      <c r="B104" s="1922"/>
      <c r="C104" s="1922"/>
      <c r="D104" s="1922"/>
      <c r="E104" s="708" t="s">
        <v>1987</v>
      </c>
      <c r="F104" s="908" t="s">
        <v>1988</v>
      </c>
      <c r="G104" s="1922"/>
      <c r="H104" s="708">
        <v>108000</v>
      </c>
      <c r="I104" s="1922" t="s">
        <v>34</v>
      </c>
      <c r="J104" s="1922" t="s">
        <v>34</v>
      </c>
      <c r="K104" s="1922" t="s">
        <v>34</v>
      </c>
      <c r="L104" s="1922" t="s">
        <v>35</v>
      </c>
      <c r="M104" s="1922" t="s">
        <v>1950</v>
      </c>
      <c r="N104" s="1922"/>
      <c r="O104" s="1922"/>
      <c r="P104" s="1922"/>
      <c r="Q104" s="1922"/>
      <c r="R104" s="1922"/>
      <c r="S104" s="1922"/>
      <c r="T104" s="830">
        <v>8.8709896923076936</v>
      </c>
      <c r="U104" s="830">
        <v>13.048393367566403</v>
      </c>
      <c r="V104" s="830">
        <v>0.99141979384615397</v>
      </c>
      <c r="W104" s="1862"/>
      <c r="X104" s="1862"/>
      <c r="Y104" s="1862"/>
      <c r="Z104" s="830">
        <f t="shared" si="5"/>
        <v>0.14092264836971716</v>
      </c>
      <c r="AA104" s="708"/>
      <c r="AB104" s="708"/>
      <c r="AC104" s="708"/>
      <c r="AD104" s="1862"/>
      <c r="AE104" s="708"/>
      <c r="AF104" s="708"/>
      <c r="AG104" s="708"/>
      <c r="AH104" s="708"/>
      <c r="AI104" s="708"/>
      <c r="AJ104" s="708"/>
      <c r="AK104" s="708"/>
      <c r="AL104" s="708"/>
      <c r="AM104" s="1959"/>
    </row>
    <row r="105" spans="1:39">
      <c r="A105" s="1919"/>
      <c r="B105" s="1922"/>
      <c r="C105" s="1922"/>
      <c r="D105" s="1922"/>
      <c r="E105" s="708" t="s">
        <v>1989</v>
      </c>
      <c r="F105" s="908" t="s">
        <v>1990</v>
      </c>
      <c r="G105" s="1922"/>
      <c r="H105" s="708">
        <v>54000</v>
      </c>
      <c r="I105" s="1922" t="s">
        <v>34</v>
      </c>
      <c r="J105" s="1922" t="s">
        <v>34</v>
      </c>
      <c r="K105" s="1922" t="s">
        <v>34</v>
      </c>
      <c r="L105" s="1922" t="s">
        <v>35</v>
      </c>
      <c r="M105" s="1922" t="s">
        <v>1950</v>
      </c>
      <c r="N105" s="1922"/>
      <c r="O105" s="1922"/>
      <c r="P105" s="1922"/>
      <c r="Q105" s="1922"/>
      <c r="R105" s="1922"/>
      <c r="S105" s="1922"/>
      <c r="T105" s="830">
        <v>9.3458123500000028</v>
      </c>
      <c r="U105" s="830">
        <v>14.810180119470154</v>
      </c>
      <c r="V105" s="830">
        <v>1.2549162470000002</v>
      </c>
      <c r="W105" s="1862"/>
      <c r="X105" s="1862"/>
      <c r="Y105" s="1862"/>
      <c r="Z105" s="830">
        <f t="shared" si="5"/>
        <v>7.9974972645138837E-2</v>
      </c>
      <c r="AA105" s="708"/>
      <c r="AB105" s="708"/>
      <c r="AC105" s="708"/>
      <c r="AD105" s="1862"/>
      <c r="AE105" s="708"/>
      <c r="AF105" s="708"/>
      <c r="AG105" s="708"/>
      <c r="AH105" s="708"/>
      <c r="AI105" s="708"/>
      <c r="AJ105" s="708"/>
      <c r="AK105" s="708"/>
      <c r="AL105" s="708"/>
      <c r="AM105" s="1959"/>
    </row>
    <row r="106" spans="1:39">
      <c r="A106" s="1919"/>
      <c r="B106" s="1922"/>
      <c r="C106" s="1922"/>
      <c r="D106" s="1922"/>
      <c r="E106" s="708" t="s">
        <v>1991</v>
      </c>
      <c r="F106" s="908" t="s">
        <v>1992</v>
      </c>
      <c r="G106" s="1922"/>
      <c r="H106" s="708">
        <v>54000</v>
      </c>
      <c r="I106" s="1922" t="s">
        <v>34</v>
      </c>
      <c r="J106" s="1922" t="s">
        <v>34</v>
      </c>
      <c r="K106" s="1922" t="s">
        <v>34</v>
      </c>
      <c r="L106" s="1922" t="s">
        <v>35</v>
      </c>
      <c r="M106" s="1922" t="s">
        <v>1950</v>
      </c>
      <c r="N106" s="1922"/>
      <c r="O106" s="1922"/>
      <c r="P106" s="1922"/>
      <c r="Q106" s="1922"/>
      <c r="R106" s="1922"/>
      <c r="S106" s="1922"/>
      <c r="T106" s="830">
        <v>9.3458123500000028</v>
      </c>
      <c r="U106" s="830">
        <v>14.810180119470154</v>
      </c>
      <c r="V106" s="830">
        <v>1.2549162470000002</v>
      </c>
      <c r="W106" s="1862"/>
      <c r="X106" s="1862"/>
      <c r="Y106" s="1862"/>
      <c r="Z106" s="830">
        <f t="shared" si="5"/>
        <v>7.9974972645138837E-2</v>
      </c>
      <c r="AA106" s="708"/>
      <c r="AB106" s="708"/>
      <c r="AC106" s="708"/>
      <c r="AD106" s="1862"/>
      <c r="AE106" s="708"/>
      <c r="AF106" s="708"/>
      <c r="AG106" s="708"/>
      <c r="AH106" s="708"/>
      <c r="AI106" s="708"/>
      <c r="AJ106" s="708"/>
      <c r="AK106" s="708"/>
      <c r="AL106" s="708"/>
      <c r="AM106" s="1959"/>
    </row>
    <row r="107" spans="1:39">
      <c r="A107" s="1919"/>
      <c r="B107" s="1922"/>
      <c r="C107" s="1922"/>
      <c r="D107" s="1922"/>
      <c r="E107" s="708" t="s">
        <v>1993</v>
      </c>
      <c r="F107" s="908" t="s">
        <v>1994</v>
      </c>
      <c r="G107" s="1922"/>
      <c r="H107" s="708">
        <v>170000</v>
      </c>
      <c r="I107" s="1922" t="s">
        <v>34</v>
      </c>
      <c r="J107" s="1922" t="s">
        <v>34</v>
      </c>
      <c r="K107" s="1922" t="s">
        <v>34</v>
      </c>
      <c r="L107" s="1922" t="s">
        <v>35</v>
      </c>
      <c r="M107" s="1922" t="s">
        <v>1950</v>
      </c>
      <c r="N107" s="1922"/>
      <c r="O107" s="1922"/>
      <c r="P107" s="1922"/>
      <c r="Q107" s="1922"/>
      <c r="R107" s="1922"/>
      <c r="S107" s="1922"/>
      <c r="T107" s="830">
        <v>222.21971428000003</v>
      </c>
      <c r="U107" s="830">
        <v>258.78473457507869</v>
      </c>
      <c r="V107" s="830">
        <v>10.116394285600002</v>
      </c>
      <c r="W107" s="1862"/>
      <c r="X107" s="1862"/>
      <c r="Y107" s="1862"/>
      <c r="Z107" s="830">
        <f t="shared" si="5"/>
        <v>4.3993404877763371</v>
      </c>
      <c r="AA107" s="708"/>
      <c r="AB107" s="708"/>
      <c r="AC107" s="708"/>
      <c r="AD107" s="1862"/>
      <c r="AE107" s="708"/>
      <c r="AF107" s="708"/>
      <c r="AG107" s="708"/>
      <c r="AH107" s="708"/>
      <c r="AI107" s="708"/>
      <c r="AJ107" s="708"/>
      <c r="AK107" s="708"/>
      <c r="AL107" s="708"/>
      <c r="AM107" s="1959"/>
    </row>
    <row r="108" spans="1:39">
      <c r="A108" s="1919"/>
      <c r="B108" s="1922"/>
      <c r="C108" s="1922"/>
      <c r="D108" s="1922"/>
      <c r="E108" s="708" t="s">
        <v>1995</v>
      </c>
      <c r="F108" s="908" t="s">
        <v>1996</v>
      </c>
      <c r="G108" s="1922"/>
      <c r="H108" s="708">
        <v>170000</v>
      </c>
      <c r="I108" s="1922" t="s">
        <v>34</v>
      </c>
      <c r="J108" s="1922" t="s">
        <v>34</v>
      </c>
      <c r="K108" s="1922" t="s">
        <v>34</v>
      </c>
      <c r="L108" s="1922" t="s">
        <v>35</v>
      </c>
      <c r="M108" s="1922" t="s">
        <v>1950</v>
      </c>
      <c r="N108" s="1922"/>
      <c r="O108" s="1922"/>
      <c r="P108" s="1922"/>
      <c r="Q108" s="1922"/>
      <c r="R108" s="1922"/>
      <c r="S108" s="1922"/>
      <c r="T108" s="830">
        <v>19.724264624999996</v>
      </c>
      <c r="U108" s="830">
        <v>27.109856004986469</v>
      </c>
      <c r="V108" s="830">
        <v>1.5584852925000001</v>
      </c>
      <c r="W108" s="1862"/>
      <c r="X108" s="1862"/>
      <c r="Y108" s="1862"/>
      <c r="Z108" s="830">
        <f t="shared" si="5"/>
        <v>0.46086755208476998</v>
      </c>
      <c r="AA108" s="708"/>
      <c r="AB108" s="708"/>
      <c r="AC108" s="708"/>
      <c r="AD108" s="1862"/>
      <c r="AE108" s="708"/>
      <c r="AF108" s="708"/>
      <c r="AG108" s="708"/>
      <c r="AH108" s="708"/>
      <c r="AI108" s="708"/>
      <c r="AJ108" s="708"/>
      <c r="AK108" s="708"/>
      <c r="AL108" s="708"/>
      <c r="AM108" s="1959"/>
    </row>
    <row r="109" spans="1:39">
      <c r="A109" s="1919"/>
      <c r="B109" s="1922"/>
      <c r="C109" s="1922"/>
      <c r="D109" s="1922"/>
      <c r="E109" s="708" t="s">
        <v>1997</v>
      </c>
      <c r="F109" s="908" t="s">
        <v>1998</v>
      </c>
      <c r="G109" s="1922"/>
      <c r="H109" s="708">
        <v>170000</v>
      </c>
      <c r="I109" s="1922" t="s">
        <v>34</v>
      </c>
      <c r="J109" s="1922" t="s">
        <v>34</v>
      </c>
      <c r="K109" s="1922" t="s">
        <v>34</v>
      </c>
      <c r="L109" s="1922" t="s">
        <v>35</v>
      </c>
      <c r="M109" s="1922" t="s">
        <v>1950</v>
      </c>
      <c r="N109" s="1922"/>
      <c r="O109" s="1922"/>
      <c r="P109" s="1922"/>
      <c r="Q109" s="1922"/>
      <c r="R109" s="1922"/>
      <c r="S109" s="1922"/>
      <c r="T109" s="830">
        <v>19.724264624999996</v>
      </c>
      <c r="U109" s="830">
        <v>27.109856004986469</v>
      </c>
      <c r="V109" s="830">
        <v>1.5584852925000001</v>
      </c>
      <c r="W109" s="1862"/>
      <c r="X109" s="1862"/>
      <c r="Y109" s="1862"/>
      <c r="Z109" s="830">
        <f t="shared" si="5"/>
        <v>0.46086755208476998</v>
      </c>
      <c r="AA109" s="708"/>
      <c r="AB109" s="708"/>
      <c r="AC109" s="708"/>
      <c r="AD109" s="1862"/>
      <c r="AE109" s="708"/>
      <c r="AF109" s="708"/>
      <c r="AG109" s="708"/>
      <c r="AH109" s="708"/>
      <c r="AI109" s="708"/>
      <c r="AJ109" s="708"/>
      <c r="AK109" s="708"/>
      <c r="AL109" s="708"/>
      <c r="AM109" s="1959"/>
    </row>
    <row r="110" spans="1:39">
      <c r="A110" s="1919"/>
      <c r="B110" s="1922"/>
      <c r="C110" s="1922"/>
      <c r="D110" s="1922"/>
      <c r="E110" s="708" t="s">
        <v>1975</v>
      </c>
      <c r="F110" s="908" t="s">
        <v>1976</v>
      </c>
      <c r="G110" s="1922"/>
      <c r="H110" s="708">
        <v>129000</v>
      </c>
      <c r="I110" s="1922" t="s">
        <v>34</v>
      </c>
      <c r="J110" s="1922" t="s">
        <v>34</v>
      </c>
      <c r="K110" s="1922" t="s">
        <v>34</v>
      </c>
      <c r="L110" s="1922" t="s">
        <v>35</v>
      </c>
      <c r="M110" s="1922" t="s">
        <v>1950</v>
      </c>
      <c r="N110" s="1922"/>
      <c r="O110" s="1922"/>
      <c r="P110" s="1922"/>
      <c r="Q110" s="1922"/>
      <c r="R110" s="1922"/>
      <c r="S110" s="1922"/>
      <c r="T110" s="830">
        <v>3.7348961006249999</v>
      </c>
      <c r="U110" s="830">
        <v>6.6927521025592345</v>
      </c>
      <c r="V110" s="830">
        <v>0.63469792201250008</v>
      </c>
      <c r="W110" s="1862"/>
      <c r="X110" s="1862"/>
      <c r="Y110" s="1862"/>
      <c r="Z110" s="830">
        <f t="shared" si="5"/>
        <v>8.6336502123014122E-2</v>
      </c>
      <c r="AA110" s="708"/>
      <c r="AB110" s="708"/>
      <c r="AC110" s="708"/>
      <c r="AD110" s="1862"/>
      <c r="AE110" s="708"/>
      <c r="AF110" s="708"/>
      <c r="AG110" s="708"/>
      <c r="AH110" s="708"/>
      <c r="AI110" s="708"/>
      <c r="AJ110" s="708"/>
      <c r="AK110" s="708"/>
      <c r="AL110" s="708"/>
      <c r="AM110" s="1959"/>
    </row>
    <row r="111" spans="1:39">
      <c r="A111" s="1919"/>
      <c r="B111" s="1922"/>
      <c r="C111" s="1922"/>
      <c r="D111" s="1922"/>
      <c r="E111" s="708" t="s">
        <v>1977</v>
      </c>
      <c r="F111" s="908" t="s">
        <v>1978</v>
      </c>
      <c r="G111" s="1922"/>
      <c r="H111" s="708">
        <v>129000</v>
      </c>
      <c r="I111" s="1922" t="s">
        <v>34</v>
      </c>
      <c r="J111" s="1922" t="s">
        <v>34</v>
      </c>
      <c r="K111" s="1922" t="s">
        <v>34</v>
      </c>
      <c r="L111" s="1922" t="s">
        <v>35</v>
      </c>
      <c r="M111" s="1922" t="s">
        <v>1950</v>
      </c>
      <c r="N111" s="1922"/>
      <c r="O111" s="1922"/>
      <c r="P111" s="1922"/>
      <c r="Q111" s="1922"/>
      <c r="R111" s="1922"/>
      <c r="S111" s="1922"/>
      <c r="T111" s="830">
        <v>7.0773980855555561</v>
      </c>
      <c r="U111" s="830">
        <v>13.303144668884457</v>
      </c>
      <c r="V111" s="830">
        <v>1.3455479617111112</v>
      </c>
      <c r="W111" s="1862"/>
      <c r="X111" s="1862"/>
      <c r="Y111" s="1862"/>
      <c r="Z111" s="830">
        <f t="shared" si="5"/>
        <v>0.17161056622860948</v>
      </c>
      <c r="AA111" s="708"/>
      <c r="AB111" s="708"/>
      <c r="AC111" s="708"/>
      <c r="AD111" s="1862"/>
      <c r="AE111" s="708"/>
      <c r="AF111" s="708"/>
      <c r="AG111" s="708"/>
      <c r="AH111" s="708"/>
      <c r="AI111" s="708"/>
      <c r="AJ111" s="708"/>
      <c r="AK111" s="708"/>
      <c r="AL111" s="708"/>
      <c r="AM111" s="1959"/>
    </row>
    <row r="112" spans="1:39">
      <c r="A112" s="1919"/>
      <c r="B112" s="1922"/>
      <c r="C112" s="1922"/>
      <c r="D112" s="1922"/>
      <c r="E112" s="708" t="s">
        <v>1999</v>
      </c>
      <c r="F112" s="908" t="s">
        <v>2000</v>
      </c>
      <c r="G112" s="1922"/>
      <c r="H112" s="708">
        <v>170000</v>
      </c>
      <c r="I112" s="1922" t="s">
        <v>34</v>
      </c>
      <c r="J112" s="1922" t="s">
        <v>34</v>
      </c>
      <c r="K112" s="1922" t="s">
        <v>34</v>
      </c>
      <c r="L112" s="1922" t="s">
        <v>35</v>
      </c>
      <c r="M112" s="1922" t="s">
        <v>1950</v>
      </c>
      <c r="N112" s="1922"/>
      <c r="O112" s="1922"/>
      <c r="P112" s="1922"/>
      <c r="Q112" s="1922"/>
      <c r="R112" s="1922"/>
      <c r="S112" s="1922"/>
      <c r="T112" s="830">
        <v>12.956076656250001</v>
      </c>
      <c r="U112" s="830">
        <v>19.746240664255154</v>
      </c>
      <c r="V112" s="830">
        <v>1.4871215331250001</v>
      </c>
      <c r="W112" s="1862"/>
      <c r="X112" s="1862"/>
      <c r="Y112" s="1862"/>
      <c r="Z112" s="830">
        <f t="shared" si="5"/>
        <v>0.33568609129233762</v>
      </c>
      <c r="AA112" s="708"/>
      <c r="AB112" s="708"/>
      <c r="AC112" s="708"/>
      <c r="AD112" s="1862"/>
      <c r="AE112" s="708"/>
      <c r="AF112" s="708"/>
      <c r="AG112" s="708"/>
      <c r="AH112" s="708"/>
      <c r="AI112" s="708"/>
      <c r="AJ112" s="708"/>
      <c r="AK112" s="708"/>
      <c r="AL112" s="708"/>
      <c r="AM112" s="1959"/>
    </row>
    <row r="113" spans="1:39" ht="16.5" thickBot="1">
      <c r="A113" s="1920"/>
      <c r="B113" s="1923"/>
      <c r="C113" s="1923"/>
      <c r="D113" s="1923"/>
      <c r="E113" s="716" t="s">
        <v>2001</v>
      </c>
      <c r="F113" s="911" t="s">
        <v>2002</v>
      </c>
      <c r="G113" s="1923"/>
      <c r="H113" s="716">
        <v>170000</v>
      </c>
      <c r="I113" s="1923" t="s">
        <v>34</v>
      </c>
      <c r="J113" s="1923" t="s">
        <v>34</v>
      </c>
      <c r="K113" s="1923" t="s">
        <v>34</v>
      </c>
      <c r="L113" s="1923" t="s">
        <v>35</v>
      </c>
      <c r="M113" s="1923" t="s">
        <v>1950</v>
      </c>
      <c r="N113" s="1923"/>
      <c r="O113" s="1923"/>
      <c r="P113" s="1923"/>
      <c r="Q113" s="1923"/>
      <c r="R113" s="1923"/>
      <c r="S113" s="1923"/>
      <c r="T113" s="832">
        <v>12.956076656250001</v>
      </c>
      <c r="U113" s="832">
        <v>19.746240664255154</v>
      </c>
      <c r="V113" s="832">
        <v>1.4871215331250001</v>
      </c>
      <c r="W113" s="1914"/>
      <c r="X113" s="1914"/>
      <c r="Y113" s="1914"/>
      <c r="Z113" s="832">
        <f t="shared" si="5"/>
        <v>0.33568609129233762</v>
      </c>
      <c r="AA113" s="716"/>
      <c r="AB113" s="716"/>
      <c r="AC113" s="716"/>
      <c r="AD113" s="1914"/>
      <c r="AE113" s="716"/>
      <c r="AF113" s="716"/>
      <c r="AG113" s="716"/>
      <c r="AH113" s="716"/>
      <c r="AI113" s="716"/>
      <c r="AJ113" s="716"/>
      <c r="AK113" s="716"/>
      <c r="AL113" s="716"/>
      <c r="AM113" s="2025"/>
    </row>
    <row r="114" spans="1:39" ht="16.5" thickBot="1">
      <c r="A114" s="845">
        <v>56</v>
      </c>
      <c r="B114" s="846" t="s">
        <v>2010</v>
      </c>
      <c r="C114" s="846" t="s">
        <v>172</v>
      </c>
      <c r="D114" s="846" t="s">
        <v>2061</v>
      </c>
      <c r="E114" s="846"/>
      <c r="F114" s="917" t="s">
        <v>2053</v>
      </c>
      <c r="G114" s="846"/>
      <c r="H114" s="846">
        <v>155960</v>
      </c>
      <c r="I114" s="846"/>
      <c r="J114" s="846"/>
      <c r="K114" s="846"/>
      <c r="L114" s="846" t="s">
        <v>35</v>
      </c>
      <c r="M114" s="846"/>
      <c r="N114" s="846"/>
      <c r="O114" s="846"/>
      <c r="P114" s="846"/>
      <c r="Q114" s="846"/>
      <c r="R114" s="846"/>
      <c r="S114" s="846"/>
      <c r="T114" s="865"/>
      <c r="U114" s="865"/>
      <c r="V114" s="865"/>
      <c r="W114" s="846"/>
      <c r="X114" s="846"/>
      <c r="Y114" s="846"/>
      <c r="Z114" s="865"/>
      <c r="AA114" s="846"/>
      <c r="AB114" s="846"/>
      <c r="AC114" s="846"/>
      <c r="AD114" s="846"/>
      <c r="AE114" s="846"/>
      <c r="AF114" s="846"/>
      <c r="AG114" s="846"/>
      <c r="AH114" s="846"/>
      <c r="AI114" s="846"/>
      <c r="AJ114" s="846"/>
      <c r="AK114" s="846"/>
      <c r="AL114" s="846"/>
      <c r="AM114" s="847" t="s">
        <v>2047</v>
      </c>
    </row>
    <row r="115" spans="1:39" ht="16.5" thickBot="1">
      <c r="A115" s="845">
        <v>57</v>
      </c>
      <c r="B115" s="846" t="s">
        <v>2008</v>
      </c>
      <c r="C115" s="846" t="s">
        <v>172</v>
      </c>
      <c r="D115" s="846" t="s">
        <v>2061</v>
      </c>
      <c r="E115" s="846"/>
      <c r="F115" s="917" t="s">
        <v>2053</v>
      </c>
      <c r="G115" s="846"/>
      <c r="H115" s="846">
        <v>64680</v>
      </c>
      <c r="I115" s="846"/>
      <c r="J115" s="846"/>
      <c r="K115" s="846"/>
      <c r="L115" s="846" t="s">
        <v>35</v>
      </c>
      <c r="M115" s="846"/>
      <c r="N115" s="846"/>
      <c r="O115" s="846"/>
      <c r="P115" s="846"/>
      <c r="Q115" s="846"/>
      <c r="R115" s="846"/>
      <c r="S115" s="846"/>
      <c r="T115" s="865"/>
      <c r="U115" s="865"/>
      <c r="V115" s="865"/>
      <c r="W115" s="846"/>
      <c r="X115" s="846"/>
      <c r="Y115" s="846"/>
      <c r="Z115" s="865"/>
      <c r="AA115" s="846"/>
      <c r="AB115" s="846"/>
      <c r="AC115" s="846"/>
      <c r="AD115" s="846"/>
      <c r="AE115" s="846"/>
      <c r="AF115" s="846"/>
      <c r="AG115" s="846"/>
      <c r="AH115" s="846"/>
      <c r="AI115" s="846"/>
      <c r="AJ115" s="846"/>
      <c r="AK115" s="846"/>
      <c r="AL115" s="846"/>
      <c r="AM115" s="847" t="s">
        <v>2048</v>
      </c>
    </row>
    <row r="116" spans="1:39" ht="16.5" thickBot="1">
      <c r="A116" s="845">
        <v>58</v>
      </c>
      <c r="B116" s="846" t="s">
        <v>2009</v>
      </c>
      <c r="C116" s="846" t="s">
        <v>172</v>
      </c>
      <c r="D116" s="846" t="s">
        <v>2061</v>
      </c>
      <c r="E116" s="846"/>
      <c r="F116" s="917" t="s">
        <v>2053</v>
      </c>
      <c r="G116" s="846"/>
      <c r="H116" s="846">
        <v>204120</v>
      </c>
      <c r="I116" s="846"/>
      <c r="J116" s="846"/>
      <c r="K116" s="846"/>
      <c r="L116" s="846" t="s">
        <v>35</v>
      </c>
      <c r="M116" s="846"/>
      <c r="N116" s="846"/>
      <c r="O116" s="846"/>
      <c r="P116" s="846"/>
      <c r="Q116" s="846"/>
      <c r="R116" s="846"/>
      <c r="S116" s="846"/>
      <c r="T116" s="865"/>
      <c r="U116" s="865"/>
      <c r="V116" s="865"/>
      <c r="W116" s="846"/>
      <c r="X116" s="846"/>
      <c r="Y116" s="846"/>
      <c r="Z116" s="865"/>
      <c r="AA116" s="846"/>
      <c r="AB116" s="846"/>
      <c r="AC116" s="846"/>
      <c r="AD116" s="846"/>
      <c r="AE116" s="846"/>
      <c r="AF116" s="846"/>
      <c r="AG116" s="846"/>
      <c r="AH116" s="846"/>
      <c r="AI116" s="846"/>
      <c r="AJ116" s="846"/>
      <c r="AK116" s="846"/>
      <c r="AL116" s="846"/>
      <c r="AM116" s="847" t="s">
        <v>2049</v>
      </c>
    </row>
    <row r="117" spans="1:39" ht="16.5" thickBot="1">
      <c r="A117" s="845">
        <v>59</v>
      </c>
      <c r="B117" s="846" t="s">
        <v>2044</v>
      </c>
      <c r="C117" s="846" t="s">
        <v>172</v>
      </c>
      <c r="D117" s="846" t="s">
        <v>2061</v>
      </c>
      <c r="E117" s="846"/>
      <c r="F117" s="917" t="s">
        <v>2053</v>
      </c>
      <c r="G117" s="846"/>
      <c r="H117" s="846" t="s">
        <v>2046</v>
      </c>
      <c r="I117" s="846"/>
      <c r="J117" s="846"/>
      <c r="K117" s="846"/>
      <c r="L117" s="846" t="s">
        <v>35</v>
      </c>
      <c r="M117" s="846"/>
      <c r="N117" s="846"/>
      <c r="O117" s="846"/>
      <c r="P117" s="846"/>
      <c r="Q117" s="846"/>
      <c r="R117" s="846"/>
      <c r="S117" s="846"/>
      <c r="T117" s="865"/>
      <c r="U117" s="865"/>
      <c r="V117" s="865"/>
      <c r="W117" s="846"/>
      <c r="X117" s="846"/>
      <c r="Y117" s="846"/>
      <c r="Z117" s="865"/>
      <c r="AA117" s="846"/>
      <c r="AB117" s="846"/>
      <c r="AC117" s="846"/>
      <c r="AD117" s="846"/>
      <c r="AE117" s="846"/>
      <c r="AF117" s="846"/>
      <c r="AG117" s="846"/>
      <c r="AH117" s="846"/>
      <c r="AI117" s="846"/>
      <c r="AJ117" s="846"/>
      <c r="AK117" s="846"/>
      <c r="AL117" s="846"/>
      <c r="AM117" s="847" t="s">
        <v>2050</v>
      </c>
    </row>
    <row r="118" spans="1:39" ht="16.5" thickBot="1">
      <c r="A118" s="845">
        <v>60</v>
      </c>
      <c r="B118" s="846" t="s">
        <v>2045</v>
      </c>
      <c r="C118" s="846" t="s">
        <v>172</v>
      </c>
      <c r="D118" s="846" t="s">
        <v>2061</v>
      </c>
      <c r="E118" s="846"/>
      <c r="F118" s="917" t="s">
        <v>2053</v>
      </c>
      <c r="G118" s="846"/>
      <c r="H118" s="846">
        <v>168000</v>
      </c>
      <c r="I118" s="846"/>
      <c r="J118" s="846"/>
      <c r="K118" s="846"/>
      <c r="L118" s="846" t="s">
        <v>35</v>
      </c>
      <c r="M118" s="846"/>
      <c r="N118" s="846"/>
      <c r="O118" s="846"/>
      <c r="P118" s="846"/>
      <c r="Q118" s="846"/>
      <c r="R118" s="846"/>
      <c r="S118" s="846"/>
      <c r="T118" s="865"/>
      <c r="U118" s="865"/>
      <c r="V118" s="865"/>
      <c r="W118" s="846"/>
      <c r="X118" s="846"/>
      <c r="Y118" s="846"/>
      <c r="Z118" s="865"/>
      <c r="AA118" s="846"/>
      <c r="AB118" s="846"/>
      <c r="AC118" s="846"/>
      <c r="AD118" s="846"/>
      <c r="AE118" s="846"/>
      <c r="AF118" s="846"/>
      <c r="AG118" s="846"/>
      <c r="AH118" s="846"/>
      <c r="AI118" s="846"/>
      <c r="AJ118" s="846"/>
      <c r="AK118" s="846"/>
      <c r="AL118" s="846"/>
      <c r="AM118" s="847" t="s">
        <v>2051</v>
      </c>
    </row>
    <row r="119" spans="1:39">
      <c r="A119" s="1933">
        <v>61</v>
      </c>
      <c r="B119" s="1913" t="s">
        <v>2015</v>
      </c>
      <c r="C119" s="1913" t="s">
        <v>29</v>
      </c>
      <c r="D119" s="1913">
        <v>26777</v>
      </c>
      <c r="E119" s="705" t="s">
        <v>2011</v>
      </c>
      <c r="F119" s="910" t="s">
        <v>2012</v>
      </c>
      <c r="G119" s="1913" t="s">
        <v>2014</v>
      </c>
      <c r="H119" s="705">
        <v>45</v>
      </c>
      <c r="I119" s="1913" t="s">
        <v>34</v>
      </c>
      <c r="J119" s="1913" t="s">
        <v>34</v>
      </c>
      <c r="K119" s="1913" t="s">
        <v>34</v>
      </c>
      <c r="L119" s="1913" t="s">
        <v>35</v>
      </c>
      <c r="M119" s="1913" t="s">
        <v>36</v>
      </c>
      <c r="N119" s="1960">
        <v>45040</v>
      </c>
      <c r="O119" s="1960">
        <v>45051</v>
      </c>
      <c r="P119" s="1960">
        <v>45051</v>
      </c>
      <c r="Q119" s="1960">
        <v>45040</v>
      </c>
      <c r="R119" s="1960">
        <v>45043</v>
      </c>
      <c r="S119" s="1913" t="s">
        <v>1216</v>
      </c>
      <c r="T119" s="831"/>
      <c r="U119" s="831">
        <v>20570.34</v>
      </c>
      <c r="V119" s="831"/>
      <c r="W119" s="705"/>
      <c r="X119" s="705"/>
      <c r="Y119" s="705"/>
      <c r="Z119" s="831">
        <f t="shared" ref="Z119:Z133" si="6">H119*U119/10^7</f>
        <v>9.2566530000000008E-2</v>
      </c>
      <c r="AA119" s="705"/>
      <c r="AB119" s="705"/>
      <c r="AC119" s="705"/>
      <c r="AD119" s="1913" t="s">
        <v>1931</v>
      </c>
      <c r="AE119" s="705"/>
      <c r="AF119" s="705"/>
      <c r="AG119" s="705"/>
      <c r="AH119" s="705"/>
      <c r="AI119" s="705"/>
      <c r="AJ119" s="705"/>
      <c r="AK119" s="705"/>
      <c r="AL119" s="705"/>
      <c r="AM119" s="836">
        <v>45078</v>
      </c>
    </row>
    <row r="120" spans="1:39" ht="16.5" thickBot="1">
      <c r="A120" s="1994"/>
      <c r="B120" s="1914"/>
      <c r="C120" s="1914"/>
      <c r="D120" s="1914"/>
      <c r="E120" s="716" t="s">
        <v>2013</v>
      </c>
      <c r="F120" s="911" t="s">
        <v>2018</v>
      </c>
      <c r="G120" s="1914"/>
      <c r="H120" s="716">
        <v>45</v>
      </c>
      <c r="I120" s="1914"/>
      <c r="J120" s="1914"/>
      <c r="K120" s="1914"/>
      <c r="L120" s="1914"/>
      <c r="M120" s="1914"/>
      <c r="N120" s="1914"/>
      <c r="O120" s="1914"/>
      <c r="P120" s="1914"/>
      <c r="Q120" s="1914"/>
      <c r="R120" s="1914"/>
      <c r="S120" s="1914"/>
      <c r="T120" s="832"/>
      <c r="U120" s="832">
        <v>20570.34</v>
      </c>
      <c r="V120" s="832"/>
      <c r="W120" s="716"/>
      <c r="X120" s="716"/>
      <c r="Y120" s="716"/>
      <c r="Z120" s="832">
        <f t="shared" si="6"/>
        <v>9.2566530000000008E-2</v>
      </c>
      <c r="AA120" s="716"/>
      <c r="AB120" s="716"/>
      <c r="AC120" s="716"/>
      <c r="AD120" s="1914"/>
      <c r="AE120" s="716"/>
      <c r="AF120" s="716"/>
      <c r="AG120" s="716"/>
      <c r="AH120" s="716"/>
      <c r="AI120" s="716"/>
      <c r="AJ120" s="716"/>
      <c r="AK120" s="716"/>
      <c r="AL120" s="716"/>
      <c r="AM120" s="864">
        <v>45078</v>
      </c>
    </row>
    <row r="121" spans="1:39">
      <c r="A121" s="1933">
        <v>62</v>
      </c>
      <c r="B121" s="1913" t="s">
        <v>2016</v>
      </c>
      <c r="C121" s="1913" t="s">
        <v>29</v>
      </c>
      <c r="D121" s="1913">
        <v>26776</v>
      </c>
      <c r="E121" s="705" t="s">
        <v>2019</v>
      </c>
      <c r="F121" s="910" t="s">
        <v>2012</v>
      </c>
      <c r="G121" s="1913" t="s">
        <v>2014</v>
      </c>
      <c r="H121" s="705">
        <v>45</v>
      </c>
      <c r="I121" s="1913" t="s">
        <v>34</v>
      </c>
      <c r="J121" s="1913" t="s">
        <v>34</v>
      </c>
      <c r="K121" s="1913" t="s">
        <v>34</v>
      </c>
      <c r="L121" s="1913" t="s">
        <v>35</v>
      </c>
      <c r="M121" s="1913" t="s">
        <v>36</v>
      </c>
      <c r="N121" s="1960">
        <v>45040</v>
      </c>
      <c r="O121" s="1960">
        <v>45051</v>
      </c>
      <c r="P121" s="1960">
        <v>45051</v>
      </c>
      <c r="Q121" s="1960">
        <v>45040</v>
      </c>
      <c r="R121" s="1960">
        <v>45043</v>
      </c>
      <c r="S121" s="1913" t="s">
        <v>1216</v>
      </c>
      <c r="T121" s="831"/>
      <c r="U121" s="831">
        <v>20598.54</v>
      </c>
      <c r="V121" s="831"/>
      <c r="W121" s="705"/>
      <c r="X121" s="705"/>
      <c r="Y121" s="705"/>
      <c r="Z121" s="831">
        <f t="shared" si="6"/>
        <v>9.2693430000000007E-2</v>
      </c>
      <c r="AA121" s="705"/>
      <c r="AB121" s="705"/>
      <c r="AC121" s="705"/>
      <c r="AD121" s="1913" t="s">
        <v>1931</v>
      </c>
      <c r="AE121" s="705"/>
      <c r="AF121" s="705"/>
      <c r="AG121" s="705"/>
      <c r="AH121" s="705"/>
      <c r="AI121" s="705"/>
      <c r="AJ121" s="705"/>
      <c r="AK121" s="705"/>
      <c r="AL121" s="705"/>
      <c r="AM121" s="836">
        <v>45078</v>
      </c>
    </row>
    <row r="122" spans="1:39" ht="16.5" thickBot="1">
      <c r="A122" s="1994"/>
      <c r="B122" s="1914"/>
      <c r="C122" s="1914"/>
      <c r="D122" s="1914"/>
      <c r="E122" s="716" t="s">
        <v>2020</v>
      </c>
      <c r="F122" s="911" t="s">
        <v>2018</v>
      </c>
      <c r="G122" s="1914"/>
      <c r="H122" s="716">
        <v>45</v>
      </c>
      <c r="I122" s="1914"/>
      <c r="J122" s="1914"/>
      <c r="K122" s="1914"/>
      <c r="L122" s="1914"/>
      <c r="M122" s="1914"/>
      <c r="N122" s="1914"/>
      <c r="O122" s="1914"/>
      <c r="P122" s="1914"/>
      <c r="Q122" s="1914"/>
      <c r="R122" s="1914"/>
      <c r="S122" s="1914"/>
      <c r="T122" s="832"/>
      <c r="U122" s="832">
        <v>20598.54</v>
      </c>
      <c r="V122" s="832"/>
      <c r="W122" s="716"/>
      <c r="X122" s="716"/>
      <c r="Y122" s="716"/>
      <c r="Z122" s="832">
        <f t="shared" si="6"/>
        <v>9.2693430000000007E-2</v>
      </c>
      <c r="AA122" s="716"/>
      <c r="AB122" s="716"/>
      <c r="AC122" s="716"/>
      <c r="AD122" s="1914"/>
      <c r="AE122" s="716"/>
      <c r="AF122" s="716"/>
      <c r="AG122" s="716"/>
      <c r="AH122" s="716"/>
      <c r="AI122" s="716"/>
      <c r="AJ122" s="716"/>
      <c r="AK122" s="716"/>
      <c r="AL122" s="716"/>
      <c r="AM122" s="864">
        <v>45078</v>
      </c>
    </row>
    <row r="123" spans="1:39" ht="16.5" thickBot="1">
      <c r="A123" s="859">
        <v>63</v>
      </c>
      <c r="B123" s="742" t="s">
        <v>2017</v>
      </c>
      <c r="C123" s="742" t="s">
        <v>29</v>
      </c>
      <c r="D123" s="742">
        <v>26265</v>
      </c>
      <c r="E123" s="742" t="s">
        <v>2021</v>
      </c>
      <c r="F123" s="918" t="s">
        <v>2022</v>
      </c>
      <c r="G123" s="742" t="s">
        <v>2023</v>
      </c>
      <c r="H123" s="742">
        <v>13</v>
      </c>
      <c r="I123" s="742" t="s">
        <v>34</v>
      </c>
      <c r="J123" s="742" t="s">
        <v>34</v>
      </c>
      <c r="K123" s="742" t="s">
        <v>34</v>
      </c>
      <c r="L123" s="742" t="s">
        <v>35</v>
      </c>
      <c r="M123" s="742" t="s">
        <v>36</v>
      </c>
      <c r="N123" s="860">
        <v>45028</v>
      </c>
      <c r="O123" s="860">
        <v>45029</v>
      </c>
      <c r="P123" s="860">
        <v>45028</v>
      </c>
      <c r="Q123" s="860">
        <v>45028</v>
      </c>
      <c r="R123" s="860">
        <v>45028</v>
      </c>
      <c r="S123" s="742" t="s">
        <v>1216</v>
      </c>
      <c r="T123" s="861"/>
      <c r="U123" s="861">
        <v>7716</v>
      </c>
      <c r="V123" s="861"/>
      <c r="W123" s="742"/>
      <c r="X123" s="742"/>
      <c r="Y123" s="742"/>
      <c r="Z123" s="861">
        <f t="shared" si="6"/>
        <v>1.0030799999999999E-2</v>
      </c>
      <c r="AA123" s="742"/>
      <c r="AB123" s="742"/>
      <c r="AC123" s="742"/>
      <c r="AD123" s="742" t="s">
        <v>1567</v>
      </c>
      <c r="AE123" s="742"/>
      <c r="AF123" s="862">
        <f t="shared" ref="AF123:AF133" si="7">U123</f>
        <v>7716</v>
      </c>
      <c r="AG123" s="742"/>
      <c r="AH123" s="742"/>
      <c r="AI123" s="742"/>
      <c r="AJ123" s="742"/>
      <c r="AK123" s="742"/>
      <c r="AL123" s="742"/>
      <c r="AM123" s="863">
        <v>45078</v>
      </c>
    </row>
    <row r="124" spans="1:39" ht="16.5" thickBot="1">
      <c r="A124" s="859">
        <v>64</v>
      </c>
      <c r="B124" s="742" t="s">
        <v>2017</v>
      </c>
      <c r="C124" s="742" t="s">
        <v>29</v>
      </c>
      <c r="D124" s="742">
        <v>26264</v>
      </c>
      <c r="E124" s="742" t="s">
        <v>2024</v>
      </c>
      <c r="F124" s="918" t="s">
        <v>358</v>
      </c>
      <c r="G124" s="742" t="s">
        <v>2023</v>
      </c>
      <c r="H124" s="742">
        <v>13</v>
      </c>
      <c r="I124" s="742" t="s">
        <v>34</v>
      </c>
      <c r="J124" s="742" t="s">
        <v>34</v>
      </c>
      <c r="K124" s="742" t="s">
        <v>34</v>
      </c>
      <c r="L124" s="742" t="s">
        <v>35</v>
      </c>
      <c r="M124" s="742" t="s">
        <v>36</v>
      </c>
      <c r="N124" s="860">
        <v>45028</v>
      </c>
      <c r="O124" s="860">
        <v>45029</v>
      </c>
      <c r="P124" s="860">
        <v>45028</v>
      </c>
      <c r="Q124" s="860">
        <v>45028</v>
      </c>
      <c r="R124" s="860">
        <v>45028</v>
      </c>
      <c r="S124" s="742" t="s">
        <v>1216</v>
      </c>
      <c r="T124" s="861"/>
      <c r="U124" s="861">
        <v>11727</v>
      </c>
      <c r="V124" s="861"/>
      <c r="W124" s="742"/>
      <c r="X124" s="742"/>
      <c r="Y124" s="742"/>
      <c r="Z124" s="861">
        <f t="shared" si="6"/>
        <v>1.5245099999999999E-2</v>
      </c>
      <c r="AA124" s="742"/>
      <c r="AB124" s="742"/>
      <c r="AC124" s="742"/>
      <c r="AD124" s="742" t="s">
        <v>1567</v>
      </c>
      <c r="AE124" s="742"/>
      <c r="AF124" s="862">
        <f t="shared" si="7"/>
        <v>11727</v>
      </c>
      <c r="AG124" s="742"/>
      <c r="AH124" s="742"/>
      <c r="AI124" s="742"/>
      <c r="AJ124" s="742"/>
      <c r="AK124" s="742"/>
      <c r="AL124" s="742"/>
      <c r="AM124" s="863">
        <v>45078</v>
      </c>
    </row>
    <row r="125" spans="1:39">
      <c r="A125" s="2019">
        <v>65</v>
      </c>
      <c r="B125" s="1985" t="s">
        <v>2015</v>
      </c>
      <c r="C125" s="1985" t="s">
        <v>29</v>
      </c>
      <c r="D125" s="1985">
        <v>26263</v>
      </c>
      <c r="E125" s="839" t="s">
        <v>2029</v>
      </c>
      <c r="F125" s="919" t="s">
        <v>2026</v>
      </c>
      <c r="G125" s="1985" t="s">
        <v>2025</v>
      </c>
      <c r="H125" s="839">
        <v>11</v>
      </c>
      <c r="I125" s="1985" t="s">
        <v>34</v>
      </c>
      <c r="J125" s="1985" t="s">
        <v>34</v>
      </c>
      <c r="K125" s="1985" t="s">
        <v>34</v>
      </c>
      <c r="L125" s="1985" t="s">
        <v>35</v>
      </c>
      <c r="M125" s="1985" t="s">
        <v>36</v>
      </c>
      <c r="N125" s="2009">
        <v>45028</v>
      </c>
      <c r="O125" s="2009">
        <v>45029</v>
      </c>
      <c r="P125" s="2009">
        <v>45028</v>
      </c>
      <c r="Q125" s="2009">
        <v>45028</v>
      </c>
      <c r="R125" s="2009">
        <v>45028</v>
      </c>
      <c r="S125" s="1985" t="s">
        <v>1216</v>
      </c>
      <c r="T125" s="840"/>
      <c r="U125" s="840">
        <v>6581.59</v>
      </c>
      <c r="V125" s="840"/>
      <c r="W125" s="839"/>
      <c r="X125" s="839"/>
      <c r="Y125" s="839"/>
      <c r="Z125" s="840">
        <f t="shared" si="6"/>
        <v>7.2397490000000002E-3</v>
      </c>
      <c r="AA125" s="839"/>
      <c r="AB125" s="839"/>
      <c r="AC125" s="839"/>
      <c r="AD125" s="839" t="s">
        <v>1567</v>
      </c>
      <c r="AE125" s="839"/>
      <c r="AF125" s="854">
        <f t="shared" si="7"/>
        <v>6581.59</v>
      </c>
      <c r="AG125" s="839"/>
      <c r="AH125" s="839"/>
      <c r="AI125" s="839"/>
      <c r="AJ125" s="839"/>
      <c r="AK125" s="839"/>
      <c r="AL125" s="839"/>
      <c r="AM125" s="855">
        <v>45078</v>
      </c>
    </row>
    <row r="126" spans="1:39">
      <c r="A126" s="2020"/>
      <c r="B126" s="1986"/>
      <c r="C126" s="1986"/>
      <c r="D126" s="1986"/>
      <c r="E126" s="837" t="s">
        <v>2030</v>
      </c>
      <c r="F126" s="920" t="s">
        <v>2026</v>
      </c>
      <c r="G126" s="1986"/>
      <c r="H126" s="837">
        <v>11</v>
      </c>
      <c r="I126" s="1986"/>
      <c r="J126" s="1986"/>
      <c r="K126" s="1986"/>
      <c r="L126" s="1986"/>
      <c r="M126" s="1986"/>
      <c r="N126" s="2022"/>
      <c r="O126" s="2022"/>
      <c r="P126" s="2022"/>
      <c r="Q126" s="2022"/>
      <c r="R126" s="2022"/>
      <c r="S126" s="1986"/>
      <c r="T126" s="838"/>
      <c r="U126" s="838">
        <v>6581.59</v>
      </c>
      <c r="V126" s="838"/>
      <c r="W126" s="837"/>
      <c r="X126" s="837"/>
      <c r="Y126" s="837"/>
      <c r="Z126" s="838">
        <f t="shared" si="6"/>
        <v>7.2397490000000002E-3</v>
      </c>
      <c r="AA126" s="837"/>
      <c r="AB126" s="837"/>
      <c r="AC126" s="837"/>
      <c r="AD126" s="837" t="s">
        <v>1567</v>
      </c>
      <c r="AE126" s="837"/>
      <c r="AF126" s="843">
        <f t="shared" si="7"/>
        <v>6581.59</v>
      </c>
      <c r="AG126" s="837"/>
      <c r="AH126" s="837"/>
      <c r="AI126" s="837"/>
      <c r="AJ126" s="837"/>
      <c r="AK126" s="837"/>
      <c r="AL126" s="837"/>
      <c r="AM126" s="856">
        <v>45078</v>
      </c>
    </row>
    <row r="127" spans="1:39">
      <c r="A127" s="2020"/>
      <c r="B127" s="1986"/>
      <c r="C127" s="1986"/>
      <c r="D127" s="1986"/>
      <c r="E127" s="837" t="s">
        <v>2031</v>
      </c>
      <c r="F127" s="920" t="s">
        <v>2026</v>
      </c>
      <c r="G127" s="1986"/>
      <c r="H127" s="837">
        <v>11</v>
      </c>
      <c r="I127" s="1986"/>
      <c r="J127" s="1986"/>
      <c r="K127" s="1986"/>
      <c r="L127" s="1986"/>
      <c r="M127" s="1986"/>
      <c r="N127" s="2022"/>
      <c r="O127" s="2022"/>
      <c r="P127" s="2022"/>
      <c r="Q127" s="2022"/>
      <c r="R127" s="2022"/>
      <c r="S127" s="1986"/>
      <c r="T127" s="838"/>
      <c r="U127" s="838">
        <v>6581.59</v>
      </c>
      <c r="V127" s="838"/>
      <c r="W127" s="837"/>
      <c r="X127" s="837"/>
      <c r="Y127" s="837"/>
      <c r="Z127" s="838">
        <f t="shared" si="6"/>
        <v>7.2397490000000002E-3</v>
      </c>
      <c r="AA127" s="837"/>
      <c r="AB127" s="837"/>
      <c r="AC127" s="837"/>
      <c r="AD127" s="837" t="s">
        <v>1567</v>
      </c>
      <c r="AE127" s="837"/>
      <c r="AF127" s="843">
        <f t="shared" si="7"/>
        <v>6581.59</v>
      </c>
      <c r="AG127" s="837"/>
      <c r="AH127" s="837"/>
      <c r="AI127" s="837"/>
      <c r="AJ127" s="837"/>
      <c r="AK127" s="837"/>
      <c r="AL127" s="837"/>
      <c r="AM127" s="856">
        <v>45078</v>
      </c>
    </row>
    <row r="128" spans="1:39">
      <c r="A128" s="2020"/>
      <c r="B128" s="1986"/>
      <c r="C128" s="1986"/>
      <c r="D128" s="1986"/>
      <c r="E128" s="837" t="s">
        <v>2032</v>
      </c>
      <c r="F128" s="920" t="s">
        <v>2027</v>
      </c>
      <c r="G128" s="1986"/>
      <c r="H128" s="837">
        <v>12</v>
      </c>
      <c r="I128" s="1986"/>
      <c r="J128" s="1986"/>
      <c r="K128" s="1986"/>
      <c r="L128" s="1986"/>
      <c r="M128" s="1986"/>
      <c r="N128" s="2022"/>
      <c r="O128" s="2022"/>
      <c r="P128" s="2022"/>
      <c r="Q128" s="2022"/>
      <c r="R128" s="2022"/>
      <c r="S128" s="1986"/>
      <c r="T128" s="838"/>
      <c r="U128" s="838">
        <v>6581.59</v>
      </c>
      <c r="V128" s="838"/>
      <c r="W128" s="837"/>
      <c r="X128" s="837"/>
      <c r="Y128" s="837"/>
      <c r="Z128" s="838">
        <f t="shared" si="6"/>
        <v>7.8979080000000004E-3</v>
      </c>
      <c r="AA128" s="837"/>
      <c r="AB128" s="837"/>
      <c r="AC128" s="837"/>
      <c r="AD128" s="837" t="s">
        <v>1567</v>
      </c>
      <c r="AE128" s="837"/>
      <c r="AF128" s="843">
        <f t="shared" si="7"/>
        <v>6581.59</v>
      </c>
      <c r="AG128" s="837"/>
      <c r="AH128" s="837"/>
      <c r="AI128" s="837"/>
      <c r="AJ128" s="837"/>
      <c r="AK128" s="837"/>
      <c r="AL128" s="837"/>
      <c r="AM128" s="856">
        <v>45078</v>
      </c>
    </row>
    <row r="129" spans="1:39" ht="16.5" thickBot="1">
      <c r="A129" s="2021"/>
      <c r="B129" s="1993"/>
      <c r="C129" s="1993"/>
      <c r="D129" s="1993"/>
      <c r="E129" s="841" t="s">
        <v>2033</v>
      </c>
      <c r="F129" s="921" t="s">
        <v>2028</v>
      </c>
      <c r="G129" s="1993"/>
      <c r="H129" s="841">
        <v>45</v>
      </c>
      <c r="I129" s="1993"/>
      <c r="J129" s="1993"/>
      <c r="K129" s="1993"/>
      <c r="L129" s="1993"/>
      <c r="M129" s="1993"/>
      <c r="N129" s="2023"/>
      <c r="O129" s="2023"/>
      <c r="P129" s="2023"/>
      <c r="Q129" s="2023"/>
      <c r="R129" s="2023"/>
      <c r="S129" s="1993"/>
      <c r="T129" s="842"/>
      <c r="U129" s="842">
        <v>4074.23</v>
      </c>
      <c r="V129" s="842"/>
      <c r="W129" s="841"/>
      <c r="X129" s="841"/>
      <c r="Y129" s="841"/>
      <c r="Z129" s="842">
        <f t="shared" si="6"/>
        <v>1.8334035000000002E-2</v>
      </c>
      <c r="AA129" s="841"/>
      <c r="AB129" s="841"/>
      <c r="AC129" s="841"/>
      <c r="AD129" s="841" t="s">
        <v>1567</v>
      </c>
      <c r="AE129" s="841"/>
      <c r="AF129" s="857">
        <f t="shared" si="7"/>
        <v>4074.23</v>
      </c>
      <c r="AG129" s="841"/>
      <c r="AH129" s="841"/>
      <c r="AI129" s="841"/>
      <c r="AJ129" s="841"/>
      <c r="AK129" s="841"/>
      <c r="AL129" s="841"/>
      <c r="AM129" s="858">
        <v>45078</v>
      </c>
    </row>
    <row r="130" spans="1:39" ht="16.5" thickBot="1">
      <c r="A130" s="859">
        <v>66</v>
      </c>
      <c r="B130" s="742" t="s">
        <v>2016</v>
      </c>
      <c r="C130" s="742" t="s">
        <v>29</v>
      </c>
      <c r="D130" s="742">
        <v>26262</v>
      </c>
      <c r="E130" s="742" t="s">
        <v>2034</v>
      </c>
      <c r="F130" s="918" t="s">
        <v>2028</v>
      </c>
      <c r="G130" s="742" t="s">
        <v>2025</v>
      </c>
      <c r="H130" s="742">
        <v>45</v>
      </c>
      <c r="I130" s="742" t="s">
        <v>34</v>
      </c>
      <c r="J130" s="742" t="s">
        <v>34</v>
      </c>
      <c r="K130" s="742" t="s">
        <v>34</v>
      </c>
      <c r="L130" s="742" t="s">
        <v>35</v>
      </c>
      <c r="M130" s="742" t="s">
        <v>36</v>
      </c>
      <c r="N130" s="860">
        <v>45028</v>
      </c>
      <c r="O130" s="860">
        <v>45029</v>
      </c>
      <c r="P130" s="860">
        <v>45028</v>
      </c>
      <c r="Q130" s="860">
        <v>45028</v>
      </c>
      <c r="R130" s="860">
        <v>45028</v>
      </c>
      <c r="S130" s="742" t="s">
        <v>1216</v>
      </c>
      <c r="T130" s="861"/>
      <c r="U130" s="861">
        <v>4074.23</v>
      </c>
      <c r="V130" s="861"/>
      <c r="W130" s="742"/>
      <c r="X130" s="742"/>
      <c r="Y130" s="742"/>
      <c r="Z130" s="861">
        <f t="shared" si="6"/>
        <v>1.8334035000000002E-2</v>
      </c>
      <c r="AA130" s="742"/>
      <c r="AB130" s="742"/>
      <c r="AC130" s="742"/>
      <c r="AD130" s="742" t="s">
        <v>1567</v>
      </c>
      <c r="AE130" s="742"/>
      <c r="AF130" s="862">
        <f t="shared" si="7"/>
        <v>4074.23</v>
      </c>
      <c r="AG130" s="742"/>
      <c r="AH130" s="742"/>
      <c r="AI130" s="742"/>
      <c r="AJ130" s="742"/>
      <c r="AK130" s="742"/>
      <c r="AL130" s="742"/>
      <c r="AM130" s="863">
        <v>45078</v>
      </c>
    </row>
    <row r="131" spans="1:39">
      <c r="A131" s="2019">
        <v>67</v>
      </c>
      <c r="B131" s="1985" t="s">
        <v>2016</v>
      </c>
      <c r="C131" s="1985" t="s">
        <v>29</v>
      </c>
      <c r="D131" s="1985">
        <v>26261</v>
      </c>
      <c r="E131" s="839" t="s">
        <v>2035</v>
      </c>
      <c r="F131" s="919" t="s">
        <v>2026</v>
      </c>
      <c r="G131" s="1985" t="s">
        <v>2025</v>
      </c>
      <c r="H131" s="839">
        <v>15</v>
      </c>
      <c r="I131" s="1985" t="s">
        <v>34</v>
      </c>
      <c r="J131" s="1985" t="s">
        <v>34</v>
      </c>
      <c r="K131" s="1985" t="s">
        <v>34</v>
      </c>
      <c r="L131" s="1985" t="s">
        <v>35</v>
      </c>
      <c r="M131" s="1985" t="s">
        <v>36</v>
      </c>
      <c r="N131" s="2009">
        <v>45028</v>
      </c>
      <c r="O131" s="2009">
        <v>45029</v>
      </c>
      <c r="P131" s="2009">
        <v>45028</v>
      </c>
      <c r="Q131" s="2009">
        <v>45028</v>
      </c>
      <c r="R131" s="2009">
        <v>45028</v>
      </c>
      <c r="S131" s="1985" t="s">
        <v>1216</v>
      </c>
      <c r="T131" s="840"/>
      <c r="U131" s="840">
        <v>6581.59</v>
      </c>
      <c r="V131" s="840"/>
      <c r="W131" s="839"/>
      <c r="X131" s="839"/>
      <c r="Y131" s="839"/>
      <c r="Z131" s="840">
        <f t="shared" si="6"/>
        <v>9.8723850000000009E-3</v>
      </c>
      <c r="AA131" s="839"/>
      <c r="AB131" s="839"/>
      <c r="AC131" s="839"/>
      <c r="AD131" s="839" t="s">
        <v>1567</v>
      </c>
      <c r="AE131" s="839"/>
      <c r="AF131" s="854">
        <f t="shared" si="7"/>
        <v>6581.59</v>
      </c>
      <c r="AG131" s="839"/>
      <c r="AH131" s="839"/>
      <c r="AI131" s="839"/>
      <c r="AJ131" s="839"/>
      <c r="AK131" s="839"/>
      <c r="AL131" s="839"/>
      <c r="AM131" s="855">
        <v>45078</v>
      </c>
    </row>
    <row r="132" spans="1:39">
      <c r="A132" s="2020"/>
      <c r="B132" s="1986"/>
      <c r="C132" s="1986"/>
      <c r="D132" s="1986"/>
      <c r="E132" s="837" t="s">
        <v>2036</v>
      </c>
      <c r="F132" s="920" t="s">
        <v>2026</v>
      </c>
      <c r="G132" s="1986"/>
      <c r="H132" s="837">
        <v>15</v>
      </c>
      <c r="I132" s="1986"/>
      <c r="J132" s="1986"/>
      <c r="K132" s="1986"/>
      <c r="L132" s="1986"/>
      <c r="M132" s="1986"/>
      <c r="N132" s="2022"/>
      <c r="O132" s="2022"/>
      <c r="P132" s="2022"/>
      <c r="Q132" s="2022"/>
      <c r="R132" s="2022"/>
      <c r="S132" s="1986"/>
      <c r="T132" s="838"/>
      <c r="U132" s="838">
        <v>6581.59</v>
      </c>
      <c r="V132" s="838"/>
      <c r="W132" s="837"/>
      <c r="X132" s="837"/>
      <c r="Y132" s="837"/>
      <c r="Z132" s="838">
        <f t="shared" si="6"/>
        <v>9.8723850000000009E-3</v>
      </c>
      <c r="AA132" s="837"/>
      <c r="AB132" s="837"/>
      <c r="AC132" s="837"/>
      <c r="AD132" s="837" t="s">
        <v>1567</v>
      </c>
      <c r="AE132" s="837"/>
      <c r="AF132" s="843">
        <f t="shared" si="7"/>
        <v>6581.59</v>
      </c>
      <c r="AG132" s="837"/>
      <c r="AH132" s="837"/>
      <c r="AI132" s="837"/>
      <c r="AJ132" s="837"/>
      <c r="AK132" s="837"/>
      <c r="AL132" s="837"/>
      <c r="AM132" s="856">
        <v>45078</v>
      </c>
    </row>
    <row r="133" spans="1:39" ht="16.5" thickBot="1">
      <c r="A133" s="2021"/>
      <c r="B133" s="1993"/>
      <c r="C133" s="1993"/>
      <c r="D133" s="1993"/>
      <c r="E133" s="841" t="s">
        <v>2037</v>
      </c>
      <c r="F133" s="921" t="s">
        <v>2026</v>
      </c>
      <c r="G133" s="1993"/>
      <c r="H133" s="841">
        <v>15</v>
      </c>
      <c r="I133" s="1993"/>
      <c r="J133" s="1993"/>
      <c r="K133" s="1993"/>
      <c r="L133" s="1993"/>
      <c r="M133" s="1993"/>
      <c r="N133" s="2023"/>
      <c r="O133" s="2023"/>
      <c r="P133" s="2023"/>
      <c r="Q133" s="2023"/>
      <c r="R133" s="2023"/>
      <c r="S133" s="1993"/>
      <c r="T133" s="842"/>
      <c r="U133" s="842">
        <v>6581.59</v>
      </c>
      <c r="V133" s="842"/>
      <c r="W133" s="841"/>
      <c r="X133" s="841"/>
      <c r="Y133" s="841"/>
      <c r="Z133" s="842">
        <f t="shared" si="6"/>
        <v>9.8723850000000009E-3</v>
      </c>
      <c r="AA133" s="841"/>
      <c r="AB133" s="841"/>
      <c r="AC133" s="841"/>
      <c r="AD133" s="841" t="s">
        <v>1567</v>
      </c>
      <c r="AE133" s="841"/>
      <c r="AF133" s="857">
        <f t="shared" si="7"/>
        <v>6581.59</v>
      </c>
      <c r="AG133" s="841"/>
      <c r="AH133" s="841"/>
      <c r="AI133" s="841"/>
      <c r="AJ133" s="841"/>
      <c r="AK133" s="841"/>
      <c r="AL133" s="841"/>
      <c r="AM133" s="858">
        <v>45078</v>
      </c>
    </row>
    <row r="134" spans="1:39" ht="16.5" thickBot="1">
      <c r="A134" s="844">
        <v>68</v>
      </c>
      <c r="B134" s="844" t="s">
        <v>1932</v>
      </c>
      <c r="C134" s="844" t="s">
        <v>1933</v>
      </c>
      <c r="D134" s="844" t="s">
        <v>2055</v>
      </c>
      <c r="E134" s="844"/>
      <c r="F134" s="922" t="s">
        <v>2056</v>
      </c>
      <c r="G134" s="844" t="s">
        <v>2063</v>
      </c>
      <c r="H134" s="844">
        <v>12000</v>
      </c>
      <c r="I134" s="844" t="s">
        <v>34</v>
      </c>
      <c r="J134" s="844" t="s">
        <v>48</v>
      </c>
      <c r="K134" s="844" t="s">
        <v>34</v>
      </c>
      <c r="L134" s="844" t="s">
        <v>35</v>
      </c>
      <c r="M134" s="844" t="s">
        <v>1950</v>
      </c>
      <c r="N134" s="844"/>
      <c r="O134" s="844"/>
      <c r="P134" s="844"/>
      <c r="Q134" s="844"/>
      <c r="R134" s="844"/>
      <c r="S134" s="844" t="s">
        <v>541</v>
      </c>
      <c r="T134" s="844"/>
      <c r="U134" s="844"/>
      <c r="V134" s="844"/>
      <c r="W134" s="844"/>
      <c r="X134" s="844"/>
      <c r="Y134" s="844"/>
      <c r="Z134" s="848"/>
      <c r="AA134" s="844"/>
      <c r="AB134" s="844"/>
      <c r="AC134" s="844"/>
      <c r="AD134" s="844"/>
      <c r="AE134" s="844"/>
      <c r="AF134" s="844"/>
      <c r="AG134" s="844"/>
      <c r="AH134" s="844"/>
      <c r="AI134" s="844"/>
      <c r="AJ134" s="844"/>
      <c r="AK134" s="844"/>
      <c r="AL134" s="844"/>
      <c r="AM134" s="844" t="s">
        <v>2057</v>
      </c>
    </row>
    <row r="135" spans="1:39" ht="36.75" customHeight="1">
      <c r="A135" s="2012">
        <v>69</v>
      </c>
      <c r="B135" s="2014" t="s">
        <v>2004</v>
      </c>
      <c r="C135" s="2016" t="s">
        <v>2005</v>
      </c>
      <c r="D135" s="2016" t="s">
        <v>2060</v>
      </c>
      <c r="E135" s="849"/>
      <c r="F135" s="923" t="s">
        <v>2058</v>
      </c>
      <c r="G135" s="2016" t="s">
        <v>2062</v>
      </c>
      <c r="H135" s="2014" t="s">
        <v>2054</v>
      </c>
      <c r="I135" s="2016" t="s">
        <v>34</v>
      </c>
      <c r="J135" s="2016" t="s">
        <v>34</v>
      </c>
      <c r="K135" s="2016" t="s">
        <v>34</v>
      </c>
      <c r="L135" s="2016" t="s">
        <v>35</v>
      </c>
      <c r="M135" s="2016" t="s">
        <v>1950</v>
      </c>
      <c r="N135" s="2026">
        <v>45055</v>
      </c>
      <c r="O135" s="2016"/>
      <c r="P135" s="2016"/>
      <c r="Q135" s="2026">
        <v>45055</v>
      </c>
      <c r="R135" s="2026">
        <v>45000</v>
      </c>
      <c r="S135" s="2016" t="s">
        <v>541</v>
      </c>
      <c r="T135" s="849"/>
      <c r="U135" s="849"/>
      <c r="V135" s="849"/>
      <c r="W135" s="849"/>
      <c r="X135" s="849"/>
      <c r="Y135" s="849"/>
      <c r="Z135" s="850"/>
      <c r="AA135" s="849"/>
      <c r="AB135" s="849"/>
      <c r="AC135" s="849"/>
      <c r="AD135" s="849"/>
      <c r="AE135" s="849"/>
      <c r="AF135" s="849"/>
      <c r="AG135" s="849"/>
      <c r="AH135" s="849"/>
      <c r="AI135" s="849"/>
      <c r="AJ135" s="849"/>
      <c r="AK135" s="849"/>
      <c r="AL135" s="849"/>
      <c r="AM135" s="851"/>
    </row>
    <row r="136" spans="1:39" ht="34.5" customHeight="1" thickBot="1">
      <c r="A136" s="2013"/>
      <c r="B136" s="2015"/>
      <c r="C136" s="2017"/>
      <c r="D136" s="2017"/>
      <c r="E136" s="852"/>
      <c r="F136" s="924" t="s">
        <v>2059</v>
      </c>
      <c r="G136" s="2017"/>
      <c r="H136" s="2015"/>
      <c r="I136" s="2017"/>
      <c r="J136" s="2017"/>
      <c r="K136" s="2017"/>
      <c r="L136" s="2017"/>
      <c r="M136" s="2017"/>
      <c r="N136" s="2017"/>
      <c r="O136" s="2017"/>
      <c r="P136" s="2017"/>
      <c r="Q136" s="2017"/>
      <c r="R136" s="2017"/>
      <c r="S136" s="2017" t="s">
        <v>541</v>
      </c>
      <c r="T136" s="852"/>
      <c r="U136" s="852"/>
      <c r="V136" s="852"/>
      <c r="W136" s="852"/>
      <c r="X136" s="852"/>
      <c r="Y136" s="852"/>
      <c r="Z136" s="852"/>
      <c r="AA136" s="852"/>
      <c r="AB136" s="852"/>
      <c r="AC136" s="852"/>
      <c r="AD136" s="852"/>
      <c r="AE136" s="852"/>
      <c r="AF136" s="852"/>
      <c r="AG136" s="852"/>
      <c r="AH136" s="852"/>
      <c r="AI136" s="852"/>
      <c r="AJ136" s="852"/>
      <c r="AK136" s="852"/>
      <c r="AL136" s="852"/>
      <c r="AM136" s="853"/>
    </row>
    <row r="137" spans="1:39" ht="16.5" thickBot="1">
      <c r="A137" s="746">
        <v>70</v>
      </c>
      <c r="B137" s="686" t="s">
        <v>2015</v>
      </c>
      <c r="C137" s="686" t="s">
        <v>29</v>
      </c>
      <c r="D137" s="686">
        <v>27882</v>
      </c>
      <c r="E137" s="686" t="s">
        <v>2043</v>
      </c>
      <c r="F137" s="689" t="s">
        <v>2042</v>
      </c>
      <c r="G137" s="686" t="s">
        <v>2025</v>
      </c>
      <c r="H137" s="686">
        <v>17</v>
      </c>
      <c r="I137" s="686" t="s">
        <v>34</v>
      </c>
      <c r="J137" s="686" t="s">
        <v>34</v>
      </c>
      <c r="K137" s="686" t="s">
        <v>34</v>
      </c>
      <c r="L137" s="686" t="s">
        <v>35</v>
      </c>
      <c r="M137" s="686" t="s">
        <v>36</v>
      </c>
      <c r="N137" s="747">
        <v>45054</v>
      </c>
      <c r="O137" s="747">
        <v>45061</v>
      </c>
      <c r="P137" s="686"/>
      <c r="Q137" s="747">
        <v>45054</v>
      </c>
      <c r="R137" s="747">
        <v>44997</v>
      </c>
      <c r="S137" s="686" t="s">
        <v>541</v>
      </c>
      <c r="T137" s="686"/>
      <c r="U137" s="686"/>
      <c r="V137" s="686"/>
      <c r="W137" s="686"/>
      <c r="X137" s="686"/>
      <c r="Y137" s="686"/>
      <c r="Z137" s="686"/>
      <c r="AA137" s="686"/>
      <c r="AB137" s="686"/>
      <c r="AC137" s="686"/>
      <c r="AD137" s="686" t="s">
        <v>1931</v>
      </c>
      <c r="AE137" s="686"/>
      <c r="AF137" s="686"/>
      <c r="AG137" s="686"/>
      <c r="AH137" s="686"/>
      <c r="AI137" s="686"/>
      <c r="AJ137" s="686"/>
      <c r="AK137" s="686"/>
      <c r="AL137" s="686"/>
      <c r="AM137" s="748"/>
    </row>
    <row r="138" spans="1:39" ht="16.5" thickBot="1">
      <c r="A138" s="746">
        <v>71</v>
      </c>
      <c r="B138" s="686" t="s">
        <v>2038</v>
      </c>
      <c r="C138" s="686" t="s">
        <v>29</v>
      </c>
      <c r="D138" s="686">
        <v>28042</v>
      </c>
      <c r="E138" s="686" t="s">
        <v>2039</v>
      </c>
      <c r="F138" s="689" t="s">
        <v>2040</v>
      </c>
      <c r="G138" s="686" t="s">
        <v>2041</v>
      </c>
      <c r="H138" s="686">
        <v>20</v>
      </c>
      <c r="I138" s="686" t="s">
        <v>34</v>
      </c>
      <c r="J138" s="686" t="s">
        <v>34</v>
      </c>
      <c r="K138" s="686" t="s">
        <v>34</v>
      </c>
      <c r="L138" s="686" t="s">
        <v>35</v>
      </c>
      <c r="M138" s="686" t="s">
        <v>237</v>
      </c>
      <c r="N138" s="747">
        <v>45056</v>
      </c>
      <c r="O138" s="747">
        <v>45065</v>
      </c>
      <c r="P138" s="686"/>
      <c r="Q138" s="747">
        <v>45056</v>
      </c>
      <c r="R138" s="747">
        <v>45000</v>
      </c>
      <c r="S138" s="686" t="s">
        <v>541</v>
      </c>
      <c r="T138" s="686"/>
      <c r="U138" s="686">
        <v>6618.23</v>
      </c>
      <c r="V138" s="686"/>
      <c r="W138" s="686"/>
      <c r="X138" s="686"/>
      <c r="Y138" s="686"/>
      <c r="Z138" s="842">
        <f>H138*U138/10^7</f>
        <v>1.3236459999999999E-2</v>
      </c>
      <c r="AA138" s="686"/>
      <c r="AB138" s="686"/>
      <c r="AC138" s="686"/>
      <c r="AD138" s="686" t="s">
        <v>1931</v>
      </c>
      <c r="AE138" s="686"/>
      <c r="AF138" s="686"/>
      <c r="AG138" s="686"/>
      <c r="AH138" s="686"/>
      <c r="AI138" s="686"/>
      <c r="AJ138" s="686"/>
      <c r="AK138" s="686"/>
      <c r="AL138" s="686"/>
      <c r="AM138" s="867">
        <v>45231</v>
      </c>
    </row>
    <row r="139" spans="1:39" ht="48" customHeight="1" thickBot="1">
      <c r="A139" s="746">
        <v>72</v>
      </c>
      <c r="B139" s="686" t="s">
        <v>2064</v>
      </c>
      <c r="C139" s="686" t="s">
        <v>29</v>
      </c>
      <c r="D139" s="686">
        <v>48322</v>
      </c>
      <c r="E139" s="686" t="s">
        <v>2065</v>
      </c>
      <c r="F139" s="689" t="s">
        <v>2066</v>
      </c>
      <c r="G139" s="686" t="s">
        <v>1815</v>
      </c>
      <c r="H139" s="686">
        <v>600</v>
      </c>
      <c r="I139" s="686" t="s">
        <v>34</v>
      </c>
      <c r="J139" s="686" t="s">
        <v>34</v>
      </c>
      <c r="K139" s="686" t="s">
        <v>34</v>
      </c>
      <c r="L139" s="686" t="s">
        <v>35</v>
      </c>
      <c r="M139" s="686" t="s">
        <v>36</v>
      </c>
      <c r="N139" s="747">
        <v>45043</v>
      </c>
      <c r="O139" s="747">
        <v>45065</v>
      </c>
      <c r="P139" s="686"/>
      <c r="Q139" s="747">
        <v>45043</v>
      </c>
      <c r="R139" s="747">
        <v>45050</v>
      </c>
      <c r="S139" s="686" t="s">
        <v>2006</v>
      </c>
      <c r="T139" s="686"/>
      <c r="U139" s="686"/>
      <c r="V139" s="686"/>
      <c r="W139" s="686"/>
      <c r="X139" s="686"/>
      <c r="Y139" s="686"/>
      <c r="Z139" s="686"/>
      <c r="AA139" s="686"/>
      <c r="AB139" s="686"/>
      <c r="AC139" s="686"/>
      <c r="AD139" s="686"/>
      <c r="AE139" s="1911" t="s">
        <v>2170</v>
      </c>
      <c r="AF139" s="686"/>
      <c r="AG139" s="686"/>
      <c r="AH139" s="686"/>
      <c r="AI139" s="686"/>
      <c r="AJ139" s="686"/>
      <c r="AK139" s="686"/>
      <c r="AL139" s="686"/>
      <c r="AM139" s="748" t="s">
        <v>2052</v>
      </c>
    </row>
    <row r="140" spans="1:39" ht="16.5" thickBot="1">
      <c r="A140" s="746">
        <v>73</v>
      </c>
      <c r="B140" s="686" t="s">
        <v>2064</v>
      </c>
      <c r="C140" s="686" t="s">
        <v>29</v>
      </c>
      <c r="D140" s="686">
        <v>48321</v>
      </c>
      <c r="E140" s="686" t="s">
        <v>2067</v>
      </c>
      <c r="F140" s="689" t="s">
        <v>2066</v>
      </c>
      <c r="G140" s="686" t="s">
        <v>1815</v>
      </c>
      <c r="H140" s="686">
        <v>600</v>
      </c>
      <c r="I140" s="686" t="s">
        <v>34</v>
      </c>
      <c r="J140" s="686" t="s">
        <v>34</v>
      </c>
      <c r="K140" s="686" t="s">
        <v>34</v>
      </c>
      <c r="L140" s="686" t="s">
        <v>35</v>
      </c>
      <c r="M140" s="686" t="s">
        <v>36</v>
      </c>
      <c r="N140" s="747">
        <v>45043</v>
      </c>
      <c r="O140" s="747">
        <v>45065</v>
      </c>
      <c r="P140" s="686"/>
      <c r="Q140" s="747">
        <v>45043</v>
      </c>
      <c r="R140" s="747">
        <v>45050</v>
      </c>
      <c r="S140" s="686" t="s">
        <v>2006</v>
      </c>
      <c r="T140" s="686"/>
      <c r="U140" s="686"/>
      <c r="V140" s="686"/>
      <c r="W140" s="686"/>
      <c r="X140" s="686"/>
      <c r="Y140" s="686"/>
      <c r="Z140" s="686"/>
      <c r="AA140" s="686"/>
      <c r="AB140" s="686"/>
      <c r="AC140" s="686"/>
      <c r="AD140" s="686"/>
      <c r="AE140" s="1912"/>
      <c r="AF140" s="686"/>
      <c r="AG140" s="686"/>
      <c r="AH140" s="686"/>
      <c r="AI140" s="686"/>
      <c r="AJ140" s="686"/>
      <c r="AK140" s="686"/>
      <c r="AL140" s="686"/>
      <c r="AM140" s="748" t="s">
        <v>2052</v>
      </c>
    </row>
    <row r="141" spans="1:39" ht="16.5" thickBot="1">
      <c r="A141" s="746">
        <v>74</v>
      </c>
      <c r="B141" s="686" t="s">
        <v>2064</v>
      </c>
      <c r="C141" s="686" t="s">
        <v>29</v>
      </c>
      <c r="D141" s="686">
        <v>48320</v>
      </c>
      <c r="E141" s="686" t="s">
        <v>2068</v>
      </c>
      <c r="F141" s="689" t="s">
        <v>2069</v>
      </c>
      <c r="G141" s="686" t="s">
        <v>1815</v>
      </c>
      <c r="H141" s="686">
        <v>600</v>
      </c>
      <c r="I141" s="686" t="s">
        <v>34</v>
      </c>
      <c r="J141" s="686" t="s">
        <v>34</v>
      </c>
      <c r="K141" s="686" t="s">
        <v>34</v>
      </c>
      <c r="L141" s="686" t="s">
        <v>35</v>
      </c>
      <c r="M141" s="686" t="s">
        <v>36</v>
      </c>
      <c r="N141" s="747">
        <v>45043</v>
      </c>
      <c r="O141" s="747">
        <v>45065</v>
      </c>
      <c r="P141" s="686"/>
      <c r="Q141" s="747">
        <v>45043</v>
      </c>
      <c r="R141" s="747">
        <v>45050</v>
      </c>
      <c r="S141" s="686" t="s">
        <v>2006</v>
      </c>
      <c r="T141" s="686"/>
      <c r="U141" s="686"/>
      <c r="V141" s="686"/>
      <c r="W141" s="686"/>
      <c r="X141" s="686"/>
      <c r="Y141" s="686"/>
      <c r="Z141" s="686"/>
      <c r="AA141" s="686"/>
      <c r="AB141" s="686"/>
      <c r="AC141" s="686"/>
      <c r="AD141" s="686"/>
      <c r="AE141" s="1912"/>
      <c r="AF141" s="686"/>
      <c r="AG141" s="686"/>
      <c r="AH141" s="686"/>
      <c r="AI141" s="686"/>
      <c r="AJ141" s="686"/>
      <c r="AK141" s="686"/>
      <c r="AL141" s="686"/>
      <c r="AM141" s="748" t="s">
        <v>2052</v>
      </c>
    </row>
    <row r="142" spans="1:39" ht="16.5" thickBot="1">
      <c r="A142" s="701">
        <v>75</v>
      </c>
      <c r="B142" s="691" t="s">
        <v>2064</v>
      </c>
      <c r="C142" s="691" t="s">
        <v>29</v>
      </c>
      <c r="D142" s="691">
        <v>48319</v>
      </c>
      <c r="E142" s="691" t="s">
        <v>2068</v>
      </c>
      <c r="F142" s="910" t="s">
        <v>2069</v>
      </c>
      <c r="G142" s="691" t="s">
        <v>1815</v>
      </c>
      <c r="H142" s="691">
        <v>600</v>
      </c>
      <c r="I142" s="691" t="s">
        <v>34</v>
      </c>
      <c r="J142" s="691" t="s">
        <v>34</v>
      </c>
      <c r="K142" s="691" t="s">
        <v>34</v>
      </c>
      <c r="L142" s="691" t="s">
        <v>35</v>
      </c>
      <c r="M142" s="691" t="s">
        <v>36</v>
      </c>
      <c r="N142" s="702">
        <v>45043</v>
      </c>
      <c r="O142" s="702">
        <v>45065</v>
      </c>
      <c r="P142" s="691"/>
      <c r="Q142" s="702">
        <v>45043</v>
      </c>
      <c r="R142" s="702">
        <v>45050</v>
      </c>
      <c r="S142" s="691" t="s">
        <v>2006</v>
      </c>
      <c r="T142" s="691"/>
      <c r="U142" s="691"/>
      <c r="V142" s="691"/>
      <c r="W142" s="691"/>
      <c r="X142" s="691"/>
      <c r="Y142" s="691"/>
      <c r="Z142" s="691"/>
      <c r="AA142" s="691"/>
      <c r="AB142" s="691"/>
      <c r="AC142" s="691"/>
      <c r="AD142" s="691"/>
      <c r="AE142" s="1912"/>
      <c r="AF142" s="691"/>
      <c r="AG142" s="691"/>
      <c r="AH142" s="691"/>
      <c r="AI142" s="691"/>
      <c r="AJ142" s="691"/>
      <c r="AK142" s="691"/>
      <c r="AL142" s="691"/>
      <c r="AM142" s="704" t="s">
        <v>2052</v>
      </c>
    </row>
    <row r="143" spans="1:39" ht="16.5" thickBot="1">
      <c r="A143" s="1885">
        <v>76</v>
      </c>
      <c r="B143" s="1882" t="s">
        <v>1850</v>
      </c>
      <c r="C143" s="1882" t="s">
        <v>29</v>
      </c>
      <c r="D143" s="1882" t="s">
        <v>2090</v>
      </c>
      <c r="E143" s="938" t="s">
        <v>2070</v>
      </c>
      <c r="F143" s="1888" t="s">
        <v>2086</v>
      </c>
      <c r="G143" s="1882" t="s">
        <v>452</v>
      </c>
      <c r="H143" s="938">
        <v>107282</v>
      </c>
      <c r="I143" s="1882" t="s">
        <v>34</v>
      </c>
      <c r="J143" s="1882" t="s">
        <v>34</v>
      </c>
      <c r="K143" s="1882" t="s">
        <v>34</v>
      </c>
      <c r="L143" s="1882" t="s">
        <v>35</v>
      </c>
      <c r="M143" s="1882" t="s">
        <v>36</v>
      </c>
      <c r="N143" s="2039">
        <v>45057</v>
      </c>
      <c r="O143" s="2039">
        <v>45084</v>
      </c>
      <c r="P143" s="2039">
        <v>45114</v>
      </c>
      <c r="Q143" s="2039">
        <v>45057</v>
      </c>
      <c r="R143" s="2039">
        <v>45064</v>
      </c>
      <c r="S143" s="1882" t="s">
        <v>1216</v>
      </c>
      <c r="T143" s="939">
        <v>508.82102670262941</v>
      </c>
      <c r="U143" s="939">
        <v>747.10135601432376</v>
      </c>
      <c r="V143" s="939">
        <v>50.225718764165464</v>
      </c>
      <c r="W143" s="939">
        <v>487.50734015878118</v>
      </c>
      <c r="X143" s="939">
        <v>186.25</v>
      </c>
      <c r="Y143" s="939">
        <v>47.846252399999997</v>
      </c>
      <c r="Z143" s="840">
        <f t="shared" ref="Z143:Z169" si="8">H143*U143/10^7</f>
        <v>8.0150527675928682</v>
      </c>
      <c r="AA143" s="940">
        <v>5.0000000000000001E-3</v>
      </c>
      <c r="AB143" s="940">
        <v>5.0000000000000001E-3</v>
      </c>
      <c r="AC143" s="940">
        <v>5.0000000000000001E-3</v>
      </c>
      <c r="AD143" s="938" t="s">
        <v>2176</v>
      </c>
      <c r="AE143" s="841" t="s">
        <v>2298</v>
      </c>
      <c r="AF143" s="941">
        <v>723.47661901996707</v>
      </c>
      <c r="AG143" s="978">
        <v>436.48681833994965</v>
      </c>
      <c r="AH143" s="978">
        <v>161.30231740669066</v>
      </c>
      <c r="AI143" s="978">
        <v>37.679251978144777</v>
      </c>
      <c r="AJ143" s="938">
        <v>-13.75</v>
      </c>
      <c r="AK143" s="938">
        <v>-13.48</v>
      </c>
      <c r="AL143" s="938">
        <v>-9.75</v>
      </c>
      <c r="AM143" s="1864">
        <v>45809</v>
      </c>
    </row>
    <row r="144" spans="1:39">
      <c r="A144" s="1886"/>
      <c r="B144" s="1883"/>
      <c r="C144" s="1883"/>
      <c r="D144" s="1883"/>
      <c r="E144" s="1064" t="s">
        <v>2071</v>
      </c>
      <c r="F144" s="1889"/>
      <c r="G144" s="1883"/>
      <c r="H144" s="1064">
        <v>3000</v>
      </c>
      <c r="I144" s="1883"/>
      <c r="J144" s="1883"/>
      <c r="K144" s="1883"/>
      <c r="L144" s="1883"/>
      <c r="M144" s="1883"/>
      <c r="N144" s="1883"/>
      <c r="O144" s="1883"/>
      <c r="P144" s="1883"/>
      <c r="Q144" s="1883"/>
      <c r="R144" s="1883"/>
      <c r="S144" s="1883"/>
      <c r="T144" s="1065">
        <v>547.15692687374315</v>
      </c>
      <c r="U144" s="1065">
        <v>786.8263332157785</v>
      </c>
      <c r="V144" s="1065">
        <v>50.992436767587741</v>
      </c>
      <c r="W144" s="1065">
        <v>0</v>
      </c>
      <c r="X144" s="1065"/>
      <c r="Y144" s="1065"/>
      <c r="Z144" s="1066">
        <f t="shared" si="8"/>
        <v>0.23604789996473355</v>
      </c>
      <c r="AA144" s="1067">
        <v>5.0000000000000001E-3</v>
      </c>
      <c r="AB144" s="1067">
        <v>5.0000000000000001E-3</v>
      </c>
      <c r="AC144" s="1067">
        <v>5.0000000000000001E-3</v>
      </c>
      <c r="AD144" s="1064" t="s">
        <v>2176</v>
      </c>
      <c r="AE144" s="1064" t="s">
        <v>2298</v>
      </c>
      <c r="AF144" s="1068">
        <v>763.19813388500302</v>
      </c>
      <c r="AG144" s="1069">
        <v>0</v>
      </c>
      <c r="AH144" s="1069">
        <v>0</v>
      </c>
      <c r="AI144" s="1069">
        <v>0</v>
      </c>
      <c r="AJ144" s="1070">
        <v>-14.5</v>
      </c>
      <c r="AK144" s="1070">
        <v>-14.23</v>
      </c>
      <c r="AL144" s="1064">
        <v>-10.28</v>
      </c>
      <c r="AM144" s="1865"/>
    </row>
    <row r="145" spans="1:39">
      <c r="A145" s="1886"/>
      <c r="B145" s="1883"/>
      <c r="C145" s="1883"/>
      <c r="D145" s="1883"/>
      <c r="E145" s="1064" t="s">
        <v>2072</v>
      </c>
      <c r="F145" s="1889"/>
      <c r="G145" s="1883"/>
      <c r="H145" s="1064">
        <v>37102</v>
      </c>
      <c r="I145" s="1883"/>
      <c r="J145" s="1883"/>
      <c r="K145" s="1883"/>
      <c r="L145" s="1883"/>
      <c r="M145" s="1883"/>
      <c r="N145" s="1883"/>
      <c r="O145" s="1883"/>
      <c r="P145" s="1883"/>
      <c r="Q145" s="1883"/>
      <c r="R145" s="1883"/>
      <c r="S145" s="1883"/>
      <c r="T145" s="1065">
        <v>672.35565189097861</v>
      </c>
      <c r="U145" s="1065">
        <v>972.46668560373905</v>
      </c>
      <c r="V145" s="1065">
        <v>64.640206211264967</v>
      </c>
      <c r="W145" s="1065">
        <v>167.67839003685</v>
      </c>
      <c r="X145" s="1065">
        <v>11</v>
      </c>
      <c r="Y145" s="1065"/>
      <c r="Z145" s="1066">
        <f t="shared" si="8"/>
        <v>3.6080458969269924</v>
      </c>
      <c r="AA145" s="1067">
        <v>5.0000000000000001E-3</v>
      </c>
      <c r="AB145" s="1067">
        <v>5.0000000000000001E-3</v>
      </c>
      <c r="AC145" s="1067">
        <v>5.0000000000000001E-3</v>
      </c>
      <c r="AD145" s="1064" t="s">
        <v>2176</v>
      </c>
      <c r="AE145" s="1064" t="s">
        <v>2298</v>
      </c>
      <c r="AF145" s="1068">
        <v>948.57556437517906</v>
      </c>
      <c r="AG145" s="1069">
        <v>150.33655683604511</v>
      </c>
      <c r="AH145" s="1069">
        <v>8.9483305512848847</v>
      </c>
      <c r="AI145" s="1069">
        <v>0</v>
      </c>
      <c r="AJ145" s="1070">
        <v>-18.02</v>
      </c>
      <c r="AK145" s="1070">
        <v>-17.68</v>
      </c>
      <c r="AL145" s="1064">
        <v>-12.78</v>
      </c>
      <c r="AM145" s="1865"/>
    </row>
    <row r="146" spans="1:39">
      <c r="A146" s="1886"/>
      <c r="B146" s="1883"/>
      <c r="C146" s="1883"/>
      <c r="D146" s="1883"/>
      <c r="E146" s="1064" t="s">
        <v>2073</v>
      </c>
      <c r="F146" s="1889"/>
      <c r="G146" s="1883"/>
      <c r="H146" s="1064">
        <v>3000</v>
      </c>
      <c r="I146" s="1883"/>
      <c r="J146" s="1883"/>
      <c r="K146" s="1883"/>
      <c r="L146" s="1883"/>
      <c r="M146" s="1883"/>
      <c r="N146" s="1883"/>
      <c r="O146" s="1883"/>
      <c r="P146" s="1883"/>
      <c r="Q146" s="1883"/>
      <c r="R146" s="1883"/>
      <c r="S146" s="1883"/>
      <c r="T146" s="1065">
        <v>710.80336257141005</v>
      </c>
      <c r="U146" s="1065">
        <v>1012.3130637835977</v>
      </c>
      <c r="V146" s="1065">
        <v>65.409160424873591</v>
      </c>
      <c r="W146" s="1065">
        <v>0</v>
      </c>
      <c r="X146" s="1065"/>
      <c r="Y146" s="1065"/>
      <c r="Z146" s="1066">
        <f t="shared" si="8"/>
        <v>0.30369391913507932</v>
      </c>
      <c r="AA146" s="1067">
        <v>5.0000000000000001E-3</v>
      </c>
      <c r="AB146" s="1067">
        <v>5.0000000000000001E-3</v>
      </c>
      <c r="AC146" s="1067">
        <v>5.0000000000000001E-3</v>
      </c>
      <c r="AD146" s="1064" t="s">
        <v>2176</v>
      </c>
      <c r="AE146" s="1064" t="s">
        <v>2298</v>
      </c>
      <c r="AF146" s="1068">
        <v>988.42194255503773</v>
      </c>
      <c r="AG146" s="1069">
        <v>0</v>
      </c>
      <c r="AH146" s="1069">
        <v>0</v>
      </c>
      <c r="AI146" s="1069">
        <v>0</v>
      </c>
      <c r="AJ146" s="1070">
        <v>-18.78</v>
      </c>
      <c r="AK146" s="1070">
        <v>-18.420000000000002</v>
      </c>
      <c r="AL146" s="1064">
        <v>-13.32</v>
      </c>
      <c r="AM146" s="1865"/>
    </row>
    <row r="147" spans="1:39" ht="16.5" thickBot="1">
      <c r="A147" s="1887"/>
      <c r="B147" s="1884"/>
      <c r="C147" s="1884"/>
      <c r="D147" s="1884"/>
      <c r="E147" s="1072" t="s">
        <v>2074</v>
      </c>
      <c r="F147" s="1890"/>
      <c r="G147" s="1884"/>
      <c r="H147" s="1072">
        <v>50128</v>
      </c>
      <c r="I147" s="1884"/>
      <c r="J147" s="1884"/>
      <c r="K147" s="1884"/>
      <c r="L147" s="1884"/>
      <c r="M147" s="1884"/>
      <c r="N147" s="1884"/>
      <c r="O147" s="1884"/>
      <c r="P147" s="1884"/>
      <c r="Q147" s="1884"/>
      <c r="R147" s="1884"/>
      <c r="S147" s="1884"/>
      <c r="T147" s="1073">
        <v>417.98417439853756</v>
      </c>
      <c r="U147" s="1073">
        <v>614.05023670506091</v>
      </c>
      <c r="V147" s="1073">
        <v>40.603188797457364</v>
      </c>
      <c r="W147" s="1073">
        <v>0</v>
      </c>
      <c r="X147" s="1073"/>
      <c r="Y147" s="1073"/>
      <c r="Z147" s="1074">
        <f t="shared" si="8"/>
        <v>3.0781110265551295</v>
      </c>
      <c r="AA147" s="1075">
        <v>5.0000000000000001E-3</v>
      </c>
      <c r="AB147" s="1075">
        <v>5.0000000000000001E-3</v>
      </c>
      <c r="AC147" s="1075">
        <v>5.0000000000000001E-3</v>
      </c>
      <c r="AD147" s="1072" t="s">
        <v>2176</v>
      </c>
      <c r="AE147" s="1072" t="s">
        <v>2298</v>
      </c>
      <c r="AF147" s="1076">
        <v>590.55349832317802</v>
      </c>
      <c r="AG147" s="1077">
        <v>0</v>
      </c>
      <c r="AH147" s="1077">
        <v>0</v>
      </c>
      <c r="AI147" s="1077">
        <v>0</v>
      </c>
      <c r="AJ147" s="1078">
        <v>-11.22</v>
      </c>
      <c r="AK147" s="1078">
        <v>-11.01</v>
      </c>
      <c r="AL147" s="1072">
        <v>-7.96</v>
      </c>
      <c r="AM147" s="1866"/>
    </row>
    <row r="148" spans="1:39">
      <c r="A148" s="2044">
        <v>77</v>
      </c>
      <c r="B148" s="2027" t="s">
        <v>1850</v>
      </c>
      <c r="C148" s="2027" t="s">
        <v>29</v>
      </c>
      <c r="D148" s="2027" t="s">
        <v>2091</v>
      </c>
      <c r="E148" s="954" t="s">
        <v>2075</v>
      </c>
      <c r="F148" s="2030" t="s">
        <v>2087</v>
      </c>
      <c r="G148" s="2027" t="s">
        <v>452</v>
      </c>
      <c r="H148" s="954">
        <v>107282</v>
      </c>
      <c r="I148" s="2027" t="s">
        <v>34</v>
      </c>
      <c r="J148" s="2027" t="s">
        <v>34</v>
      </c>
      <c r="K148" s="2027" t="s">
        <v>34</v>
      </c>
      <c r="L148" s="2027" t="s">
        <v>35</v>
      </c>
      <c r="M148" s="2027" t="s">
        <v>36</v>
      </c>
      <c r="N148" s="2058">
        <v>45057</v>
      </c>
      <c r="O148" s="2058">
        <v>45084</v>
      </c>
      <c r="P148" s="2058">
        <v>45114</v>
      </c>
      <c r="Q148" s="2058">
        <v>45057</v>
      </c>
      <c r="R148" s="2058">
        <v>45064</v>
      </c>
      <c r="S148" s="2027" t="s">
        <v>1216</v>
      </c>
      <c r="T148" s="955">
        <v>615.8648851592734</v>
      </c>
      <c r="U148" s="955">
        <v>745.14638213924377</v>
      </c>
      <c r="V148" s="955">
        <v>31.186734486969328</v>
      </c>
      <c r="W148" s="955">
        <v>375.79388938244995</v>
      </c>
      <c r="X148" s="955">
        <v>122</v>
      </c>
      <c r="Y148" s="955">
        <v>90.030446799999993</v>
      </c>
      <c r="Z148" s="956">
        <f t="shared" si="8"/>
        <v>7.994079416866235</v>
      </c>
      <c r="AA148" s="957">
        <v>2.5000000000000001E-3</v>
      </c>
      <c r="AB148" s="957">
        <v>2.5000000000000001E-3</v>
      </c>
      <c r="AC148" s="957">
        <v>2.5000000000000001E-3</v>
      </c>
      <c r="AD148" s="954" t="s">
        <v>2176</v>
      </c>
      <c r="AE148" s="954" t="s">
        <v>2298</v>
      </c>
      <c r="AF148" s="958">
        <v>738.10507861920621</v>
      </c>
      <c r="AG148" s="1048">
        <v>353.96192270043866</v>
      </c>
      <c r="AH148" s="1048">
        <v>114.91233835765036</v>
      </c>
      <c r="AI148" s="1048">
        <v>84.800075124360973</v>
      </c>
      <c r="AJ148" s="954">
        <v>-14.02</v>
      </c>
      <c r="AK148" s="954">
        <v>-13.76</v>
      </c>
      <c r="AL148" s="954">
        <v>-9.94</v>
      </c>
      <c r="AM148" s="2049">
        <v>45809</v>
      </c>
    </row>
    <row r="149" spans="1:39">
      <c r="A149" s="2045"/>
      <c r="B149" s="2028"/>
      <c r="C149" s="2028"/>
      <c r="D149" s="2028"/>
      <c r="E149" s="943" t="s">
        <v>2076</v>
      </c>
      <c r="F149" s="2031"/>
      <c r="G149" s="2028"/>
      <c r="H149" s="943">
        <v>3000</v>
      </c>
      <c r="I149" s="2028"/>
      <c r="J149" s="2028"/>
      <c r="K149" s="2028"/>
      <c r="L149" s="2028"/>
      <c r="M149" s="2028"/>
      <c r="N149" s="2028"/>
      <c r="O149" s="2028"/>
      <c r="P149" s="2028"/>
      <c r="Q149" s="2028"/>
      <c r="R149" s="2028"/>
      <c r="S149" s="2028"/>
      <c r="T149" s="944">
        <v>659.80275677480449</v>
      </c>
      <c r="U149" s="944">
        <v>790.6220792613185</v>
      </c>
      <c r="V149" s="944">
        <v>32.06549191927995</v>
      </c>
      <c r="W149" s="944">
        <v>0</v>
      </c>
      <c r="X149" s="944">
        <v>0</v>
      </c>
      <c r="Y149" s="944"/>
      <c r="Z149" s="838">
        <f t="shared" si="8"/>
        <v>0.23718662377839553</v>
      </c>
      <c r="AA149" s="945">
        <v>2.5000000000000001E-3</v>
      </c>
      <c r="AB149" s="945">
        <v>2.5000000000000001E-3</v>
      </c>
      <c r="AC149" s="945">
        <v>2.5000000000000001E-3</v>
      </c>
      <c r="AD149" s="943" t="s">
        <v>2176</v>
      </c>
      <c r="AE149" s="943" t="s">
        <v>2298</v>
      </c>
      <c r="AF149" s="946">
        <v>783.58077574128095</v>
      </c>
      <c r="AG149" s="1044">
        <v>0</v>
      </c>
      <c r="AH149" s="1044">
        <v>0</v>
      </c>
      <c r="AI149" s="1044">
        <v>0</v>
      </c>
      <c r="AJ149" s="981">
        <v>-14.89</v>
      </c>
      <c r="AK149" s="981">
        <v>-14.23</v>
      </c>
      <c r="AL149" s="960">
        <v>-10.56</v>
      </c>
      <c r="AM149" s="2050"/>
    </row>
    <row r="150" spans="1:39">
      <c r="A150" s="2045"/>
      <c r="B150" s="2028"/>
      <c r="C150" s="2028"/>
      <c r="D150" s="2028"/>
      <c r="E150" s="943" t="s">
        <v>2077</v>
      </c>
      <c r="F150" s="2031"/>
      <c r="G150" s="2028"/>
      <c r="H150" s="943">
        <v>37102</v>
      </c>
      <c r="I150" s="2028"/>
      <c r="J150" s="2028"/>
      <c r="K150" s="2028"/>
      <c r="L150" s="2028"/>
      <c r="M150" s="2028"/>
      <c r="N150" s="2028"/>
      <c r="O150" s="2028"/>
      <c r="P150" s="2028"/>
      <c r="Q150" s="2028"/>
      <c r="R150" s="2028"/>
      <c r="S150" s="2028"/>
      <c r="T150" s="944">
        <v>573.06256245167992</v>
      </c>
      <c r="U150" s="944">
        <v>745.47870169866724</v>
      </c>
      <c r="V150" s="944">
        <v>39.513399614415086</v>
      </c>
      <c r="W150" s="944">
        <v>360.1928894804625</v>
      </c>
      <c r="X150" s="944">
        <v>14.5</v>
      </c>
      <c r="Y150" s="944"/>
      <c r="Z150" s="838">
        <f t="shared" si="8"/>
        <v>2.7658750790423952</v>
      </c>
      <c r="AA150" s="945">
        <v>2.5000000000000001E-3</v>
      </c>
      <c r="AB150" s="945">
        <v>2.5000000000000001E-3</v>
      </c>
      <c r="AC150" s="945">
        <v>2.5000000000000001E-3</v>
      </c>
      <c r="AD150" s="943" t="s">
        <v>2176</v>
      </c>
      <c r="AE150" s="943" t="s">
        <v>2298</v>
      </c>
      <c r="AF150" s="946">
        <v>734.32580563610452</v>
      </c>
      <c r="AG150" s="1044">
        <v>339.27496577509805</v>
      </c>
      <c r="AH150" s="1044">
        <v>13.657923705364437</v>
      </c>
      <c r="AI150" s="1044">
        <v>0</v>
      </c>
      <c r="AJ150" s="981">
        <v>-13.95</v>
      </c>
      <c r="AK150" s="981">
        <v>-17.68</v>
      </c>
      <c r="AL150" s="960">
        <v>-9.89</v>
      </c>
      <c r="AM150" s="2050"/>
    </row>
    <row r="151" spans="1:39">
      <c r="A151" s="2045"/>
      <c r="B151" s="2028"/>
      <c r="C151" s="2028"/>
      <c r="D151" s="2028"/>
      <c r="E151" s="943" t="s">
        <v>2078</v>
      </c>
      <c r="F151" s="2031"/>
      <c r="G151" s="2028"/>
      <c r="H151" s="943">
        <v>3000</v>
      </c>
      <c r="I151" s="2028"/>
      <c r="J151" s="2028"/>
      <c r="K151" s="2028"/>
      <c r="L151" s="2028"/>
      <c r="M151" s="2028"/>
      <c r="N151" s="2028"/>
      <c r="O151" s="2028"/>
      <c r="P151" s="2028"/>
      <c r="Q151" s="2028"/>
      <c r="R151" s="2028"/>
      <c r="S151" s="2028"/>
      <c r="T151" s="944">
        <v>573.06256245167992</v>
      </c>
      <c r="U151" s="944">
        <v>745.47870169866724</v>
      </c>
      <c r="V151" s="944">
        <v>39.513399614415086</v>
      </c>
      <c r="W151" s="944">
        <v>0</v>
      </c>
      <c r="X151" s="944">
        <v>0</v>
      </c>
      <c r="Y151" s="944"/>
      <c r="Z151" s="838">
        <f t="shared" si="8"/>
        <v>0.22364361050960016</v>
      </c>
      <c r="AA151" s="945">
        <v>2.5000000000000001E-3</v>
      </c>
      <c r="AB151" s="945">
        <v>2.5000000000000001E-3</v>
      </c>
      <c r="AC151" s="945">
        <v>2.5000000000000001E-3</v>
      </c>
      <c r="AD151" s="943" t="s">
        <v>2176</v>
      </c>
      <c r="AE151" s="943" t="s">
        <v>2298</v>
      </c>
      <c r="AF151" s="946">
        <v>734.32580563610452</v>
      </c>
      <c r="AG151" s="1044">
        <v>0</v>
      </c>
      <c r="AH151" s="1044">
        <v>0</v>
      </c>
      <c r="AI151" s="1044">
        <v>0</v>
      </c>
      <c r="AJ151" s="981">
        <v>-13.95</v>
      </c>
      <c r="AK151" s="981">
        <v>-18.420000000000002</v>
      </c>
      <c r="AL151" s="960">
        <v>-9.89</v>
      </c>
      <c r="AM151" s="2050"/>
    </row>
    <row r="152" spans="1:39" ht="16.5" thickBot="1">
      <c r="A152" s="1887"/>
      <c r="B152" s="2029"/>
      <c r="C152" s="2029"/>
      <c r="D152" s="2029"/>
      <c r="E152" s="949" t="s">
        <v>2079</v>
      </c>
      <c r="F152" s="2032"/>
      <c r="G152" s="2029"/>
      <c r="H152" s="949">
        <v>50128</v>
      </c>
      <c r="I152" s="2029"/>
      <c r="J152" s="2029"/>
      <c r="K152" s="2029"/>
      <c r="L152" s="2029"/>
      <c r="M152" s="2029"/>
      <c r="N152" s="2029"/>
      <c r="O152" s="2029"/>
      <c r="P152" s="2029"/>
      <c r="Q152" s="2029"/>
      <c r="R152" s="2029"/>
      <c r="S152" s="2029"/>
      <c r="T152" s="950">
        <v>583.37130397651197</v>
      </c>
      <c r="U152" s="950">
        <v>745.85899389934355</v>
      </c>
      <c r="V152" s="950">
        <v>37.567274534569385</v>
      </c>
      <c r="W152" s="950">
        <v>378.66464232712502</v>
      </c>
      <c r="X152" s="950">
        <v>13</v>
      </c>
      <c r="Y152" s="950"/>
      <c r="Z152" s="842">
        <f t="shared" si="8"/>
        <v>3.7388419646186293</v>
      </c>
      <c r="AA152" s="945">
        <v>2.5000000000000001E-3</v>
      </c>
      <c r="AB152" s="945">
        <v>2.5000000000000001E-3</v>
      </c>
      <c r="AC152" s="945">
        <v>2.5000000000000001E-3</v>
      </c>
      <c r="AD152" s="949" t="s">
        <v>2176</v>
      </c>
      <c r="AE152" s="949" t="s">
        <v>2298</v>
      </c>
      <c r="AF152" s="952">
        <v>738.74346559351602</v>
      </c>
      <c r="AG152" s="986">
        <v>356.66975261291128</v>
      </c>
      <c r="AH152" s="986">
        <v>12.244889714213762</v>
      </c>
      <c r="AI152" s="986">
        <v>0</v>
      </c>
      <c r="AJ152" s="982">
        <v>-14.04</v>
      </c>
      <c r="AK152" s="982">
        <v>-11.01</v>
      </c>
      <c r="AL152" s="949">
        <v>-9.9499999999999993</v>
      </c>
      <c r="AM152" s="2051"/>
    </row>
    <row r="153" spans="1:39" ht="16.5" thickBot="1">
      <c r="A153" s="2046">
        <v>78</v>
      </c>
      <c r="B153" s="2036" t="s">
        <v>1850</v>
      </c>
      <c r="C153" s="2036" t="s">
        <v>29</v>
      </c>
      <c r="D153" s="2036" t="s">
        <v>2092</v>
      </c>
      <c r="E153" s="898" t="s">
        <v>2081</v>
      </c>
      <c r="F153" s="2033" t="s">
        <v>2088</v>
      </c>
      <c r="G153" s="2055" t="s">
        <v>452</v>
      </c>
      <c r="H153" s="897">
        <v>194512</v>
      </c>
      <c r="I153" s="2040" t="s">
        <v>34</v>
      </c>
      <c r="J153" s="2040" t="s">
        <v>34</v>
      </c>
      <c r="K153" s="2040" t="s">
        <v>48</v>
      </c>
      <c r="L153" s="2040" t="s">
        <v>35</v>
      </c>
      <c r="M153" s="2040" t="s">
        <v>36</v>
      </c>
      <c r="N153" s="2043">
        <v>45057</v>
      </c>
      <c r="O153" s="2043">
        <v>45084</v>
      </c>
      <c r="P153" s="2043">
        <v>45114</v>
      </c>
      <c r="Q153" s="2043">
        <v>45057</v>
      </c>
      <c r="R153" s="2043">
        <v>45064</v>
      </c>
      <c r="S153" s="2040" t="s">
        <v>1216</v>
      </c>
      <c r="T153" s="926">
        <v>311.80117852899599</v>
      </c>
      <c r="U153" s="926">
        <v>382.83270012092885</v>
      </c>
      <c r="V153" s="926">
        <v>16.786897014563323</v>
      </c>
      <c r="W153" s="926">
        <v>206.44058358000001</v>
      </c>
      <c r="X153" s="926">
        <v>9</v>
      </c>
      <c r="Y153" s="926">
        <v>22.474033374999998</v>
      </c>
      <c r="Z153" s="822">
        <f t="shared" si="8"/>
        <v>7.4465554165922105</v>
      </c>
      <c r="AA153" s="929">
        <v>2.5000000000000001E-3</v>
      </c>
      <c r="AB153" s="929">
        <v>2.5000000000000001E-3</v>
      </c>
      <c r="AC153" s="929">
        <v>2.5000000000000001E-3</v>
      </c>
      <c r="AD153" s="1915" t="s">
        <v>1931</v>
      </c>
      <c r="AE153" s="898"/>
      <c r="AF153" s="898"/>
      <c r="AG153" s="898"/>
      <c r="AH153" s="898"/>
      <c r="AI153" s="898"/>
      <c r="AJ153" s="898"/>
      <c r="AK153" s="898"/>
      <c r="AL153" s="898"/>
      <c r="AM153" s="2052">
        <v>45809</v>
      </c>
    </row>
    <row r="154" spans="1:39">
      <c r="A154" s="2047"/>
      <c r="B154" s="2037"/>
      <c r="C154" s="2037"/>
      <c r="D154" s="2037"/>
      <c r="E154" s="898" t="s">
        <v>2080</v>
      </c>
      <c r="F154" s="2034"/>
      <c r="G154" s="2056"/>
      <c r="H154" s="899">
        <v>6000</v>
      </c>
      <c r="I154" s="2041"/>
      <c r="J154" s="2041"/>
      <c r="K154" s="2041"/>
      <c r="L154" s="2041"/>
      <c r="M154" s="2041"/>
      <c r="N154" s="2041"/>
      <c r="O154" s="2041"/>
      <c r="P154" s="2041"/>
      <c r="Q154" s="2041"/>
      <c r="R154" s="2041"/>
      <c r="S154" s="2041"/>
      <c r="T154" s="927">
        <v>341.70955028183994</v>
      </c>
      <c r="U154" s="927">
        <v>413.90932864112227</v>
      </c>
      <c r="V154" s="927">
        <v>17.385064449620202</v>
      </c>
      <c r="W154" s="927">
        <v>0</v>
      </c>
      <c r="X154" s="927">
        <v>0</v>
      </c>
      <c r="Y154" s="927">
        <v>0</v>
      </c>
      <c r="Z154" s="823">
        <f t="shared" si="8"/>
        <v>0.24834559718467336</v>
      </c>
      <c r="AA154" s="930">
        <v>2.5000000000000001E-3</v>
      </c>
      <c r="AB154" s="930">
        <v>2.5000000000000001E-3</v>
      </c>
      <c r="AC154" s="930">
        <v>2.5000000000000001E-3</v>
      </c>
      <c r="AD154" s="1916"/>
      <c r="AE154" s="900"/>
      <c r="AF154" s="900"/>
      <c r="AG154" s="900"/>
      <c r="AH154" s="900"/>
      <c r="AI154" s="900"/>
      <c r="AJ154" s="900"/>
      <c r="AK154" s="900"/>
      <c r="AL154" s="900"/>
      <c r="AM154" s="2053"/>
    </row>
    <row r="155" spans="1:39">
      <c r="A155" s="2047"/>
      <c r="B155" s="2037"/>
      <c r="C155" s="2037"/>
      <c r="D155" s="2037"/>
      <c r="E155" s="900" t="s">
        <v>2082</v>
      </c>
      <c r="F155" s="2034" t="s">
        <v>2089</v>
      </c>
      <c r="G155" s="2056"/>
      <c r="H155" s="899">
        <v>157410</v>
      </c>
      <c r="I155" s="2041"/>
      <c r="J155" s="2041"/>
      <c r="K155" s="2041"/>
      <c r="L155" s="2041"/>
      <c r="M155" s="2041"/>
      <c r="N155" s="2041"/>
      <c r="O155" s="2041"/>
      <c r="P155" s="2041"/>
      <c r="Q155" s="2041"/>
      <c r="R155" s="2041"/>
      <c r="S155" s="2041"/>
      <c r="T155" s="927">
        <v>311.86894417902602</v>
      </c>
      <c r="U155" s="927">
        <v>382.9062783227098</v>
      </c>
      <c r="V155" s="927">
        <v>16.788252327563924</v>
      </c>
      <c r="W155" s="927">
        <v>206.44058358000001</v>
      </c>
      <c r="X155" s="927">
        <v>9</v>
      </c>
      <c r="Y155" s="927">
        <v>22.474033374999998</v>
      </c>
      <c r="Z155" s="823">
        <f t="shared" si="8"/>
        <v>6.0273277270777745</v>
      </c>
      <c r="AA155" s="930">
        <v>2.5000000000000001E-3</v>
      </c>
      <c r="AB155" s="930">
        <v>2.5000000000000001E-3</v>
      </c>
      <c r="AC155" s="930">
        <v>2.5000000000000001E-3</v>
      </c>
      <c r="AD155" s="1916"/>
      <c r="AE155" s="900"/>
      <c r="AF155" s="900"/>
      <c r="AG155" s="900"/>
      <c r="AH155" s="900"/>
      <c r="AI155" s="900"/>
      <c r="AJ155" s="900"/>
      <c r="AK155" s="900"/>
      <c r="AL155" s="900"/>
      <c r="AM155" s="2053"/>
    </row>
    <row r="156" spans="1:39">
      <c r="A156" s="2047"/>
      <c r="B156" s="2037"/>
      <c r="C156" s="2037"/>
      <c r="D156" s="2037"/>
      <c r="E156" s="900" t="s">
        <v>2083</v>
      </c>
      <c r="F156" s="2034"/>
      <c r="G156" s="2056"/>
      <c r="H156" s="899">
        <v>37102</v>
      </c>
      <c r="I156" s="2041"/>
      <c r="J156" s="2041"/>
      <c r="K156" s="2041"/>
      <c r="L156" s="2041"/>
      <c r="M156" s="2041"/>
      <c r="N156" s="2041"/>
      <c r="O156" s="2041"/>
      <c r="P156" s="2041"/>
      <c r="Q156" s="2041"/>
      <c r="R156" s="2041"/>
      <c r="S156" s="2041"/>
      <c r="T156" s="927">
        <v>312.05998678194601</v>
      </c>
      <c r="U156" s="927">
        <v>383.11370747273207</v>
      </c>
      <c r="V156" s="927">
        <v>16.792073179622324</v>
      </c>
      <c r="W156" s="927">
        <v>0</v>
      </c>
      <c r="X156" s="927">
        <v>0</v>
      </c>
      <c r="Y156" s="927">
        <v>0</v>
      </c>
      <c r="Z156" s="823">
        <f t="shared" si="8"/>
        <v>1.4214284774653305</v>
      </c>
      <c r="AA156" s="930">
        <v>2.5000000000000001E-3</v>
      </c>
      <c r="AB156" s="930">
        <v>2.5000000000000001E-3</v>
      </c>
      <c r="AC156" s="930">
        <v>2.5000000000000001E-3</v>
      </c>
      <c r="AD156" s="1916"/>
      <c r="AE156" s="900"/>
      <c r="AF156" s="900"/>
      <c r="AG156" s="900"/>
      <c r="AH156" s="900"/>
      <c r="AI156" s="900"/>
      <c r="AJ156" s="900"/>
      <c r="AK156" s="900"/>
      <c r="AL156" s="900"/>
      <c r="AM156" s="2053"/>
    </row>
    <row r="157" spans="1:39">
      <c r="A157" s="2047"/>
      <c r="B157" s="2037"/>
      <c r="C157" s="2037"/>
      <c r="D157" s="2037"/>
      <c r="E157" s="900" t="s">
        <v>2084</v>
      </c>
      <c r="F157" s="2034"/>
      <c r="G157" s="2056"/>
      <c r="H157" s="899">
        <v>3000</v>
      </c>
      <c r="I157" s="2041"/>
      <c r="J157" s="2041"/>
      <c r="K157" s="2041"/>
      <c r="L157" s="2041"/>
      <c r="M157" s="2041"/>
      <c r="N157" s="2041"/>
      <c r="O157" s="2041"/>
      <c r="P157" s="2041"/>
      <c r="Q157" s="2041"/>
      <c r="R157" s="2041"/>
      <c r="S157" s="2041"/>
      <c r="T157" s="927">
        <v>341.77730108183994</v>
      </c>
      <c r="U157" s="927">
        <v>413.98289071912228</v>
      </c>
      <c r="V157" s="927">
        <v>17.386419465620204</v>
      </c>
      <c r="W157" s="927">
        <v>0</v>
      </c>
      <c r="X157" s="927">
        <v>0</v>
      </c>
      <c r="Y157" s="927">
        <v>0</v>
      </c>
      <c r="Z157" s="823">
        <f t="shared" si="8"/>
        <v>0.12419486721573668</v>
      </c>
      <c r="AA157" s="930">
        <v>2.5000000000000001E-3</v>
      </c>
      <c r="AB157" s="930">
        <v>2.5000000000000001E-3</v>
      </c>
      <c r="AC157" s="930">
        <v>2.5000000000000001E-3</v>
      </c>
      <c r="AD157" s="1916"/>
      <c r="AE157" s="900"/>
      <c r="AF157" s="900"/>
      <c r="AG157" s="900"/>
      <c r="AH157" s="900"/>
      <c r="AI157" s="900"/>
      <c r="AJ157" s="900"/>
      <c r="AK157" s="900"/>
      <c r="AL157" s="900"/>
      <c r="AM157" s="2053"/>
    </row>
    <row r="158" spans="1:39" ht="16.5" thickBot="1">
      <c r="A158" s="2048"/>
      <c r="B158" s="2038"/>
      <c r="C158" s="2038"/>
      <c r="D158" s="2038"/>
      <c r="E158" s="902" t="s">
        <v>2085</v>
      </c>
      <c r="F158" s="2035"/>
      <c r="G158" s="2057"/>
      <c r="H158" s="901">
        <v>3000</v>
      </c>
      <c r="I158" s="2042"/>
      <c r="J158" s="2042"/>
      <c r="K158" s="2042"/>
      <c r="L158" s="2042"/>
      <c r="M158" s="2042"/>
      <c r="N158" s="2042"/>
      <c r="O158" s="2042"/>
      <c r="P158" s="2042"/>
      <c r="Q158" s="2042"/>
      <c r="R158" s="2042"/>
      <c r="S158" s="2042"/>
      <c r="T158" s="928">
        <v>341.96834258183992</v>
      </c>
      <c r="U158" s="928">
        <v>414.19031867162221</v>
      </c>
      <c r="V158" s="928">
        <v>17.390240295620202</v>
      </c>
      <c r="W158" s="928">
        <v>0</v>
      </c>
      <c r="X158" s="928">
        <v>0</v>
      </c>
      <c r="Y158" s="928">
        <v>0</v>
      </c>
      <c r="Z158" s="824">
        <f t="shared" si="8"/>
        <v>0.12425709560148666</v>
      </c>
      <c r="AA158" s="931">
        <v>2.5000000000000001E-3</v>
      </c>
      <c r="AB158" s="931">
        <v>2.5000000000000001E-3</v>
      </c>
      <c r="AC158" s="931">
        <v>2.5000000000000001E-3</v>
      </c>
      <c r="AD158" s="1917"/>
      <c r="AE158" s="902"/>
      <c r="AF158" s="902"/>
      <c r="AG158" s="902"/>
      <c r="AH158" s="902"/>
      <c r="AI158" s="902"/>
      <c r="AJ158" s="902"/>
      <c r="AK158" s="902"/>
      <c r="AL158" s="902"/>
      <c r="AM158" s="2054"/>
    </row>
    <row r="159" spans="1:39" ht="16.5" thickBot="1">
      <c r="A159" s="1885">
        <v>79</v>
      </c>
      <c r="B159" s="1882" t="s">
        <v>1850</v>
      </c>
      <c r="C159" s="1882" t="s">
        <v>29</v>
      </c>
      <c r="D159" s="1882" t="s">
        <v>2168</v>
      </c>
      <c r="E159" s="938" t="s">
        <v>2154</v>
      </c>
      <c r="F159" s="1888" t="s">
        <v>2155</v>
      </c>
      <c r="G159" s="2059" t="s">
        <v>452</v>
      </c>
      <c r="H159" s="937">
        <v>157410</v>
      </c>
      <c r="I159" s="1879" t="s">
        <v>34</v>
      </c>
      <c r="J159" s="1879" t="s">
        <v>34</v>
      </c>
      <c r="K159" s="1879" t="s">
        <v>48</v>
      </c>
      <c r="L159" s="1879" t="s">
        <v>35</v>
      </c>
      <c r="M159" s="1879" t="s">
        <v>36</v>
      </c>
      <c r="N159" s="1896">
        <v>45062</v>
      </c>
      <c r="O159" s="1896">
        <v>45084</v>
      </c>
      <c r="P159" s="1896">
        <v>45114</v>
      </c>
      <c r="Q159" s="1896">
        <v>45062</v>
      </c>
      <c r="R159" s="1896">
        <v>45064</v>
      </c>
      <c r="S159" s="1879" t="s">
        <v>1216</v>
      </c>
      <c r="T159" s="939">
        <v>327.85136978039998</v>
      </c>
      <c r="U159" s="939">
        <v>419.24634516051293</v>
      </c>
      <c r="V159" s="939">
        <v>19.781887040933313</v>
      </c>
      <c r="W159" s="939">
        <v>225.71635438274998</v>
      </c>
      <c r="X159" s="939">
        <v>50</v>
      </c>
      <c r="Y159" s="939">
        <v>70.556882399999992</v>
      </c>
      <c r="Z159" s="840">
        <f t="shared" si="8"/>
        <v>6.5993567191716345</v>
      </c>
      <c r="AA159" s="940">
        <v>2.5000000000000001E-3</v>
      </c>
      <c r="AB159" s="940">
        <v>2.5000000000000001E-3</v>
      </c>
      <c r="AC159" s="940">
        <v>2.5000000000000001E-3</v>
      </c>
      <c r="AD159" s="938" t="s">
        <v>2176</v>
      </c>
      <c r="AE159" s="841" t="s">
        <v>2298</v>
      </c>
      <c r="AF159" s="941">
        <v>415.76752076804888</v>
      </c>
      <c r="AG159" s="1045">
        <v>202.63173640347134</v>
      </c>
      <c r="AH159" s="1045">
        <v>58.51586654050233</v>
      </c>
      <c r="AI159" s="1045">
        <v>20.476951319529011</v>
      </c>
      <c r="AJ159" s="978">
        <v>-7.9</v>
      </c>
      <c r="AK159" s="978">
        <v>-7.75</v>
      </c>
      <c r="AL159" s="978">
        <v>-5.6</v>
      </c>
      <c r="AM159" s="1864">
        <v>45809</v>
      </c>
    </row>
    <row r="160" spans="1:39">
      <c r="A160" s="2045"/>
      <c r="B160" s="2028"/>
      <c r="C160" s="2028"/>
      <c r="D160" s="2028"/>
      <c r="E160" s="943" t="s">
        <v>2156</v>
      </c>
      <c r="F160" s="2031"/>
      <c r="G160" s="2060"/>
      <c r="H160" s="942">
        <v>37102</v>
      </c>
      <c r="I160" s="2062"/>
      <c r="J160" s="2062"/>
      <c r="K160" s="2062"/>
      <c r="L160" s="2062"/>
      <c r="M160" s="2062"/>
      <c r="N160" s="2062"/>
      <c r="O160" s="2062"/>
      <c r="P160" s="2062"/>
      <c r="Q160" s="2062"/>
      <c r="R160" s="2062"/>
      <c r="S160" s="2062"/>
      <c r="T160" s="944">
        <v>327.52837178039999</v>
      </c>
      <c r="U160" s="944">
        <v>418.89564223051298</v>
      </c>
      <c r="V160" s="944">
        <v>19.775427080933312</v>
      </c>
      <c r="W160" s="944">
        <v>78.717954643453112</v>
      </c>
      <c r="X160" s="944">
        <v>6</v>
      </c>
      <c r="Y160" s="944">
        <v>0</v>
      </c>
      <c r="Z160" s="838">
        <f t="shared" si="8"/>
        <v>1.5541866118036491</v>
      </c>
      <c r="AA160" s="945">
        <v>2.5000000000000001E-3</v>
      </c>
      <c r="AB160" s="945">
        <v>2.5000000000000001E-3</v>
      </c>
      <c r="AC160" s="945">
        <v>2.5000000000000001E-3</v>
      </c>
      <c r="AD160" s="943" t="s">
        <v>2176</v>
      </c>
      <c r="AE160" s="943" t="s">
        <v>2298</v>
      </c>
      <c r="AF160" s="946">
        <v>441.15814932749885</v>
      </c>
      <c r="AG160" s="1046">
        <v>0</v>
      </c>
      <c r="AH160" s="1046">
        <v>0</v>
      </c>
      <c r="AI160" s="1046">
        <v>0</v>
      </c>
      <c r="AJ160" s="983">
        <v>-8.3800000000000008</v>
      </c>
      <c r="AK160" s="983">
        <v>-8.2200000000000006</v>
      </c>
      <c r="AL160" s="984">
        <v>-5.94</v>
      </c>
      <c r="AM160" s="2050"/>
    </row>
    <row r="161" spans="1:39">
      <c r="A161" s="2045"/>
      <c r="B161" s="2028"/>
      <c r="C161" s="2028"/>
      <c r="D161" s="2028"/>
      <c r="E161" s="943" t="s">
        <v>2157</v>
      </c>
      <c r="F161" s="2031"/>
      <c r="G161" s="2060"/>
      <c r="H161" s="942">
        <v>3000</v>
      </c>
      <c r="I161" s="2062"/>
      <c r="J161" s="2062"/>
      <c r="K161" s="2062"/>
      <c r="L161" s="2062"/>
      <c r="M161" s="2062"/>
      <c r="N161" s="2062"/>
      <c r="O161" s="2062"/>
      <c r="P161" s="2062"/>
      <c r="Q161" s="2062"/>
      <c r="R161" s="2062"/>
      <c r="S161" s="2062"/>
      <c r="T161" s="944">
        <v>352.38337805039987</v>
      </c>
      <c r="U161" s="944">
        <v>444.63697371996284</v>
      </c>
      <c r="V161" s="944">
        <v>20.272527206333312</v>
      </c>
      <c r="W161" s="944">
        <v>0</v>
      </c>
      <c r="X161" s="944">
        <v>0</v>
      </c>
      <c r="Y161" s="944">
        <v>0</v>
      </c>
      <c r="Z161" s="838">
        <f t="shared" si="8"/>
        <v>0.13339109211598887</v>
      </c>
      <c r="AA161" s="945">
        <v>2.5000000000000001E-3</v>
      </c>
      <c r="AB161" s="945">
        <v>2.5000000000000001E-3</v>
      </c>
      <c r="AC161" s="945">
        <v>2.5000000000000001E-3</v>
      </c>
      <c r="AD161" s="943" t="s">
        <v>2176</v>
      </c>
      <c r="AE161" s="943" t="s">
        <v>2298</v>
      </c>
      <c r="AF161" s="947">
        <v>415.41681783804893</v>
      </c>
      <c r="AG161" s="1046">
        <v>74.146404982277261</v>
      </c>
      <c r="AH161" s="1046">
        <v>5.6515496611758529</v>
      </c>
      <c r="AI161" s="1046">
        <v>0</v>
      </c>
      <c r="AJ161" s="983">
        <v>-7.89</v>
      </c>
      <c r="AK161" s="983">
        <v>-7.74</v>
      </c>
      <c r="AL161" s="984">
        <v>-5.6</v>
      </c>
      <c r="AM161" s="2050"/>
    </row>
    <row r="162" spans="1:39" ht="16.5" thickBot="1">
      <c r="A162" s="1887"/>
      <c r="B162" s="2029"/>
      <c r="C162" s="2029"/>
      <c r="D162" s="2029"/>
      <c r="E162" s="949" t="s">
        <v>2158</v>
      </c>
      <c r="F162" s="2032"/>
      <c r="G162" s="2061"/>
      <c r="H162" s="948">
        <v>3000</v>
      </c>
      <c r="I162" s="2063"/>
      <c r="J162" s="2063"/>
      <c r="K162" s="2063"/>
      <c r="L162" s="2063"/>
      <c r="M162" s="2063"/>
      <c r="N162" s="2063"/>
      <c r="O162" s="2063"/>
      <c r="P162" s="2063"/>
      <c r="Q162" s="2063"/>
      <c r="R162" s="2063"/>
      <c r="S162" s="2063"/>
      <c r="T162" s="950">
        <v>352.06038005039989</v>
      </c>
      <c r="U162" s="950">
        <v>444.28627078996283</v>
      </c>
      <c r="V162" s="950">
        <v>20.266067246333311</v>
      </c>
      <c r="W162" s="950">
        <v>0</v>
      </c>
      <c r="X162" s="950">
        <v>0</v>
      </c>
      <c r="Y162" s="950">
        <v>0</v>
      </c>
      <c r="Z162" s="842">
        <f t="shared" si="8"/>
        <v>0.13328588123698884</v>
      </c>
      <c r="AA162" s="951">
        <v>2.5000000000000001E-3</v>
      </c>
      <c r="AB162" s="951">
        <v>2.5000000000000001E-3</v>
      </c>
      <c r="AC162" s="951">
        <v>2.5000000000000001E-3</v>
      </c>
      <c r="AD162" s="949" t="s">
        <v>2176</v>
      </c>
      <c r="AE162" s="949" t="s">
        <v>2298</v>
      </c>
      <c r="AF162" s="952">
        <v>440.80744639749889</v>
      </c>
      <c r="AG162" s="1047">
        <v>0</v>
      </c>
      <c r="AH162" s="1047">
        <v>0</v>
      </c>
      <c r="AI162" s="1047">
        <v>0</v>
      </c>
      <c r="AJ162" s="983">
        <v>-8.3800000000000008</v>
      </c>
      <c r="AK162" s="983">
        <v>-8.2200000000000006</v>
      </c>
      <c r="AL162" s="984">
        <v>-5.94</v>
      </c>
      <c r="AM162" s="2051"/>
    </row>
    <row r="163" spans="1:39">
      <c r="A163" s="2044">
        <v>80</v>
      </c>
      <c r="B163" s="2027" t="s">
        <v>1850</v>
      </c>
      <c r="C163" s="2027" t="s">
        <v>29</v>
      </c>
      <c r="D163" s="2027" t="s">
        <v>2169</v>
      </c>
      <c r="E163" s="954" t="s">
        <v>2159</v>
      </c>
      <c r="F163" s="2030" t="s">
        <v>125</v>
      </c>
      <c r="G163" s="2027" t="s">
        <v>452</v>
      </c>
      <c r="H163" s="953">
        <v>194512</v>
      </c>
      <c r="I163" s="2064" t="s">
        <v>34</v>
      </c>
      <c r="J163" s="2064" t="s">
        <v>34</v>
      </c>
      <c r="K163" s="2064" t="s">
        <v>48</v>
      </c>
      <c r="L163" s="2064" t="s">
        <v>35</v>
      </c>
      <c r="M163" s="2064" t="s">
        <v>36</v>
      </c>
      <c r="N163" s="2065">
        <v>45062</v>
      </c>
      <c r="O163" s="2065">
        <v>45084</v>
      </c>
      <c r="P163" s="2065">
        <v>45114</v>
      </c>
      <c r="Q163" s="2065">
        <v>45062</v>
      </c>
      <c r="R163" s="2065">
        <v>45064</v>
      </c>
      <c r="S163" s="2064" t="s">
        <v>1216</v>
      </c>
      <c r="T163" s="955">
        <v>140.34809663351999</v>
      </c>
      <c r="U163" s="955">
        <v>215.81698673715974</v>
      </c>
      <c r="V163" s="955">
        <v>13.829601050072934</v>
      </c>
      <c r="W163" s="955">
        <v>215.12962839493125</v>
      </c>
      <c r="X163" s="955">
        <v>62.125</v>
      </c>
      <c r="Y163" s="955">
        <v>21.739925868571429</v>
      </c>
      <c r="Z163" s="956">
        <f t="shared" si="8"/>
        <v>4.1978993724218414</v>
      </c>
      <c r="AA163" s="957">
        <v>2.5000000000000001E-3</v>
      </c>
      <c r="AB163" s="957">
        <v>2.5000000000000001E-3</v>
      </c>
      <c r="AC163" s="957">
        <v>2.5000000000000001E-3</v>
      </c>
      <c r="AD163" s="943" t="s">
        <v>2176</v>
      </c>
      <c r="AE163" s="943" t="s">
        <v>2298</v>
      </c>
      <c r="AF163" s="958">
        <v>210.57742660793474</v>
      </c>
      <c r="AG163" s="1048">
        <f>215.13*94.51%</f>
        <v>203.31936300000001</v>
      </c>
      <c r="AH163" s="1048">
        <f>62.13*94.51%</f>
        <v>58.719063000000006</v>
      </c>
      <c r="AI163" s="1048">
        <f>21.74*94.51%</f>
        <v>20.546474</v>
      </c>
      <c r="AJ163" s="978">
        <v>-4</v>
      </c>
      <c r="AK163" s="978">
        <v>-3.93</v>
      </c>
      <c r="AL163" s="978">
        <v>-2.84</v>
      </c>
      <c r="AM163" s="2049">
        <v>45809</v>
      </c>
    </row>
    <row r="164" spans="1:39">
      <c r="A164" s="2045"/>
      <c r="B164" s="2028"/>
      <c r="C164" s="2028"/>
      <c r="D164" s="2028"/>
      <c r="E164" s="943" t="s">
        <v>2160</v>
      </c>
      <c r="F164" s="2031"/>
      <c r="G164" s="2028"/>
      <c r="H164" s="942">
        <v>6000</v>
      </c>
      <c r="I164" s="2062"/>
      <c r="J164" s="2062"/>
      <c r="K164" s="2062"/>
      <c r="L164" s="2062"/>
      <c r="M164" s="2062"/>
      <c r="N164" s="2062"/>
      <c r="O164" s="2062"/>
      <c r="P164" s="2062"/>
      <c r="Q164" s="2062"/>
      <c r="R164" s="2062"/>
      <c r="S164" s="2062"/>
      <c r="T164" s="944">
        <v>151.93320028056002</v>
      </c>
      <c r="U164" s="944">
        <v>227.80756901184614</v>
      </c>
      <c r="V164" s="944">
        <v>14.061303123013733</v>
      </c>
      <c r="W164" s="944">
        <v>0</v>
      </c>
      <c r="X164" s="944">
        <v>0</v>
      </c>
      <c r="Y164" s="944">
        <v>0</v>
      </c>
      <c r="Z164" s="838">
        <f t="shared" si="8"/>
        <v>0.13668454140710767</v>
      </c>
      <c r="AA164" s="945">
        <v>2.5000000000000001E-3</v>
      </c>
      <c r="AB164" s="945">
        <v>2.5000000000000001E-3</v>
      </c>
      <c r="AC164" s="945">
        <v>2.5000000000000001E-3</v>
      </c>
      <c r="AD164" s="943" t="s">
        <v>2176</v>
      </c>
      <c r="AE164" s="943" t="s">
        <v>2298</v>
      </c>
      <c r="AF164" s="946">
        <v>222.56800888262117</v>
      </c>
      <c r="AG164" s="943">
        <v>0</v>
      </c>
      <c r="AH164" s="943">
        <v>0</v>
      </c>
      <c r="AI164" s="943">
        <v>0</v>
      </c>
      <c r="AJ164" s="983">
        <v>-4.2300000000000004</v>
      </c>
      <c r="AK164" s="983">
        <v>-4.1500000000000004</v>
      </c>
      <c r="AL164" s="984">
        <v>-3</v>
      </c>
      <c r="AM164" s="2050"/>
    </row>
    <row r="165" spans="1:39">
      <c r="A165" s="2045"/>
      <c r="B165" s="2028"/>
      <c r="C165" s="2028"/>
      <c r="D165" s="2028"/>
      <c r="E165" s="943" t="s">
        <v>2161</v>
      </c>
      <c r="F165" s="2031" t="s">
        <v>2162</v>
      </c>
      <c r="G165" s="2028"/>
      <c r="H165" s="942">
        <v>144384</v>
      </c>
      <c r="I165" s="2062"/>
      <c r="J165" s="2062"/>
      <c r="K165" s="2062"/>
      <c r="L165" s="2062"/>
      <c r="M165" s="2062"/>
      <c r="N165" s="2062"/>
      <c r="O165" s="2062"/>
      <c r="P165" s="2062"/>
      <c r="Q165" s="2062"/>
      <c r="R165" s="2062"/>
      <c r="S165" s="2062"/>
      <c r="T165" s="944">
        <v>177.00228289286997</v>
      </c>
      <c r="U165" s="944">
        <v>277.91876066869196</v>
      </c>
      <c r="V165" s="944">
        <v>19.387711111674452</v>
      </c>
      <c r="W165" s="944">
        <v>242.84710135310624</v>
      </c>
      <c r="X165" s="944">
        <v>68.125</v>
      </c>
      <c r="Y165" s="944">
        <v>21.739925868571429</v>
      </c>
      <c r="Z165" s="838">
        <f t="shared" si="8"/>
        <v>4.0127022340388416</v>
      </c>
      <c r="AA165" s="945">
        <v>2.5000000000000001E-3</v>
      </c>
      <c r="AB165" s="945">
        <v>2.5000000000000001E-3</v>
      </c>
      <c r="AC165" s="945">
        <v>2.5000000000000001E-3</v>
      </c>
      <c r="AD165" s="943" t="s">
        <v>2176</v>
      </c>
      <c r="AE165" s="943" t="s">
        <v>2298</v>
      </c>
      <c r="AF165" s="946">
        <v>271.9814641421475</v>
      </c>
      <c r="AG165" s="1044">
        <v>229.51280003061206</v>
      </c>
      <c r="AH165" s="1044">
        <v>64.384377721482139</v>
      </c>
      <c r="AI165" s="1044">
        <v>20.546225302886217</v>
      </c>
      <c r="AJ165" s="983">
        <v>-5.17</v>
      </c>
      <c r="AK165" s="983">
        <v>-5.07</v>
      </c>
      <c r="AL165" s="984">
        <v>-3.66</v>
      </c>
      <c r="AM165" s="2050"/>
    </row>
    <row r="166" spans="1:39">
      <c r="A166" s="2045"/>
      <c r="B166" s="2028"/>
      <c r="C166" s="2028"/>
      <c r="D166" s="2028"/>
      <c r="E166" s="943" t="s">
        <v>2163</v>
      </c>
      <c r="F166" s="2031"/>
      <c r="G166" s="2028"/>
      <c r="H166" s="942">
        <v>50128</v>
      </c>
      <c r="I166" s="2062"/>
      <c r="J166" s="2062"/>
      <c r="K166" s="2062"/>
      <c r="L166" s="2062"/>
      <c r="M166" s="2062"/>
      <c r="N166" s="2062"/>
      <c r="O166" s="2062"/>
      <c r="P166" s="2062"/>
      <c r="Q166" s="2062"/>
      <c r="R166" s="2062"/>
      <c r="S166" s="2062"/>
      <c r="T166" s="944">
        <v>176.83763269286996</v>
      </c>
      <c r="U166" s="944">
        <v>278.26853771169198</v>
      </c>
      <c r="V166" s="944">
        <v>19.492918107674452</v>
      </c>
      <c r="W166" s="944">
        <v>6.2910466368749995</v>
      </c>
      <c r="X166" s="944">
        <v>2</v>
      </c>
      <c r="Y166" s="944">
        <v>0</v>
      </c>
      <c r="Z166" s="838">
        <f t="shared" si="8"/>
        <v>1.3949045258411696</v>
      </c>
      <c r="AA166" s="945">
        <v>2.5000000000000001E-3</v>
      </c>
      <c r="AB166" s="945">
        <v>2.5000000000000001E-3</v>
      </c>
      <c r="AC166" s="945">
        <v>2.5000000000000001E-3</v>
      </c>
      <c r="AD166" s="943" t="s">
        <v>2176</v>
      </c>
      <c r="AE166" s="943" t="s">
        <v>2298</v>
      </c>
      <c r="AF166" s="946">
        <v>272.33124118514752</v>
      </c>
      <c r="AG166" s="1044">
        <v>5.9260754137149991</v>
      </c>
      <c r="AH166" s="1044">
        <v>1.8839712231600001</v>
      </c>
      <c r="AI166" s="1044">
        <v>0</v>
      </c>
      <c r="AJ166" s="983">
        <v>-5.17</v>
      </c>
      <c r="AK166" s="983">
        <v>-5.08</v>
      </c>
      <c r="AL166" s="984">
        <v>-3.67</v>
      </c>
      <c r="AM166" s="2050"/>
    </row>
    <row r="167" spans="1:39" ht="16.5" thickBot="1">
      <c r="A167" s="1887"/>
      <c r="B167" s="2029"/>
      <c r="C167" s="2029"/>
      <c r="D167" s="2029"/>
      <c r="E167" s="949" t="s">
        <v>2164</v>
      </c>
      <c r="F167" s="2032"/>
      <c r="G167" s="2029"/>
      <c r="H167" s="948">
        <v>6000</v>
      </c>
      <c r="I167" s="2063"/>
      <c r="J167" s="2063"/>
      <c r="K167" s="2063"/>
      <c r="L167" s="2063"/>
      <c r="M167" s="2063"/>
      <c r="N167" s="2063"/>
      <c r="O167" s="2063"/>
      <c r="P167" s="2063"/>
      <c r="Q167" s="2063"/>
      <c r="R167" s="2063"/>
      <c r="S167" s="2063"/>
      <c r="T167" s="950">
        <v>191.11460974611001</v>
      </c>
      <c r="U167" s="950">
        <v>292.52501896179541</v>
      </c>
      <c r="V167" s="950">
        <v>19.669957648739253</v>
      </c>
      <c r="W167" s="950">
        <v>0</v>
      </c>
      <c r="X167" s="950">
        <v>0</v>
      </c>
      <c r="Y167" s="950">
        <v>0</v>
      </c>
      <c r="Z167" s="838">
        <f t="shared" si="8"/>
        <v>0.17551501137707726</v>
      </c>
      <c r="AA167" s="951">
        <v>2.5000000000000001E-3</v>
      </c>
      <c r="AB167" s="951">
        <v>2.5000000000000001E-3</v>
      </c>
      <c r="AC167" s="951">
        <v>2.5000000000000001E-3</v>
      </c>
      <c r="AD167" s="949" t="s">
        <v>2176</v>
      </c>
      <c r="AE167" s="949" t="s">
        <v>2298</v>
      </c>
      <c r="AF167" s="952">
        <v>286.54778845023691</v>
      </c>
      <c r="AG167" s="949">
        <v>0</v>
      </c>
      <c r="AH167" s="949">
        <v>0</v>
      </c>
      <c r="AI167" s="949">
        <v>0</v>
      </c>
      <c r="AJ167" s="985">
        <v>-5.44</v>
      </c>
      <c r="AK167" s="985">
        <v>-5.34</v>
      </c>
      <c r="AL167" s="986">
        <v>-3.86</v>
      </c>
      <c r="AM167" s="2051"/>
    </row>
    <row r="168" spans="1:39">
      <c r="A168" s="2066">
        <v>81</v>
      </c>
      <c r="B168" s="2068" t="s">
        <v>1850</v>
      </c>
      <c r="C168" s="2068" t="s">
        <v>29</v>
      </c>
      <c r="D168" s="2068"/>
      <c r="E168" s="1039" t="s">
        <v>1875</v>
      </c>
      <c r="F168" s="1033" t="s">
        <v>569</v>
      </c>
      <c r="G168" s="2074"/>
      <c r="H168" s="1039">
        <v>188185</v>
      </c>
      <c r="I168" s="2068" t="s">
        <v>34</v>
      </c>
      <c r="J168" s="2068" t="s">
        <v>34</v>
      </c>
      <c r="K168" s="2068" t="s">
        <v>34</v>
      </c>
      <c r="L168" s="2068" t="s">
        <v>35</v>
      </c>
      <c r="M168" s="2068" t="s">
        <v>36</v>
      </c>
      <c r="N168" s="2068"/>
      <c r="O168" s="2068"/>
      <c r="P168" s="2068"/>
      <c r="Q168" s="2068"/>
      <c r="R168" s="2068"/>
      <c r="S168" s="2068" t="s">
        <v>1216</v>
      </c>
      <c r="T168" s="1037">
        <v>635.78904218529397</v>
      </c>
      <c r="U168" s="1037">
        <v>968.74179405156792</v>
      </c>
      <c r="V168" s="1037">
        <v>66.980843094601425</v>
      </c>
      <c r="W168" s="1037">
        <v>2171.0621409159376</v>
      </c>
      <c r="X168" s="1037">
        <v>108.25</v>
      </c>
      <c r="Y168" s="1037">
        <v>284.94275000000005</v>
      </c>
      <c r="Z168" s="1043">
        <f t="shared" si="8"/>
        <v>18.230267451359431</v>
      </c>
      <c r="AA168" s="1039"/>
      <c r="AB168" s="1039"/>
      <c r="AC168" s="1039"/>
      <c r="AD168" s="1039"/>
      <c r="AE168" s="1039" t="s">
        <v>2192</v>
      </c>
      <c r="AF168" s="1039"/>
      <c r="AG168" s="1039"/>
      <c r="AH168" s="1039"/>
      <c r="AI168" s="1039"/>
      <c r="AJ168" s="1039"/>
      <c r="AK168" s="1039"/>
      <c r="AL168" s="1039"/>
      <c r="AM168" s="2071">
        <v>45839</v>
      </c>
    </row>
    <row r="169" spans="1:39">
      <c r="A169" s="2067"/>
      <c r="B169" s="2069"/>
      <c r="C169" s="2069"/>
      <c r="D169" s="2069"/>
      <c r="E169" s="1038" t="s">
        <v>1877</v>
      </c>
      <c r="F169" s="1036" t="s">
        <v>572</v>
      </c>
      <c r="G169" s="1862"/>
      <c r="H169" s="1038">
        <v>188185</v>
      </c>
      <c r="I169" s="2069"/>
      <c r="J169" s="2069"/>
      <c r="K169" s="2069"/>
      <c r="L169" s="2069"/>
      <c r="M169" s="2069"/>
      <c r="N169" s="2069"/>
      <c r="O169" s="2069"/>
      <c r="P169" s="2069"/>
      <c r="Q169" s="2069"/>
      <c r="R169" s="2069"/>
      <c r="S169" s="2069"/>
      <c r="T169" s="1041">
        <v>645.16816958529409</v>
      </c>
      <c r="U169" s="1041">
        <v>990.31423644746906</v>
      </c>
      <c r="V169" s="1041">
        <v>69.427956925672575</v>
      </c>
      <c r="W169" s="1041">
        <v>1867.9075951333878</v>
      </c>
      <c r="X169" s="1041">
        <v>108.25</v>
      </c>
      <c r="Y169" s="1041">
        <v>284.94275000000005</v>
      </c>
      <c r="Z169" s="1042">
        <f t="shared" si="8"/>
        <v>18.636228458586697</v>
      </c>
      <c r="AA169" s="1038"/>
      <c r="AB169" s="1038"/>
      <c r="AC169" s="1038"/>
      <c r="AD169" s="1038"/>
      <c r="AE169" s="1038" t="s">
        <v>2192</v>
      </c>
      <c r="AF169" s="1038"/>
      <c r="AG169" s="1038"/>
      <c r="AH169" s="1038"/>
      <c r="AI169" s="1038"/>
      <c r="AJ169" s="1038"/>
      <c r="AK169" s="1038"/>
      <c r="AL169" s="1038"/>
      <c r="AM169" s="2072"/>
    </row>
    <row r="170" spans="1:39">
      <c r="A170" s="2067"/>
      <c r="B170" s="2069"/>
      <c r="C170" s="2069"/>
      <c r="D170" s="2069"/>
      <c r="E170" s="1038" t="s">
        <v>1875</v>
      </c>
      <c r="F170" s="1036" t="s">
        <v>569</v>
      </c>
      <c r="G170" s="1862"/>
      <c r="H170" s="1038">
        <v>12327</v>
      </c>
      <c r="I170" s="2069"/>
      <c r="J170" s="2069"/>
      <c r="K170" s="2069"/>
      <c r="L170" s="2069"/>
      <c r="M170" s="2069"/>
      <c r="N170" s="2069"/>
      <c r="O170" s="2069"/>
      <c r="P170" s="2069"/>
      <c r="Q170" s="2069"/>
      <c r="R170" s="2069"/>
      <c r="S170" s="2069"/>
      <c r="T170" s="1041">
        <v>645.12877958529396</v>
      </c>
      <c r="U170" s="1041">
        <v>990.27075877746881</v>
      </c>
      <c r="V170" s="1041">
        <v>69.427169125672563</v>
      </c>
      <c r="W170" s="1041"/>
      <c r="X170" s="1041"/>
      <c r="Y170" s="1041"/>
      <c r="Z170" s="1041"/>
      <c r="AA170" s="1038"/>
      <c r="AB170" s="1038"/>
      <c r="AC170" s="1038"/>
      <c r="AD170" s="1038"/>
      <c r="AE170" s="1038" t="s">
        <v>2192</v>
      </c>
      <c r="AF170" s="1038"/>
      <c r="AG170" s="1038"/>
      <c r="AH170" s="1038"/>
      <c r="AI170" s="1038"/>
      <c r="AJ170" s="1038"/>
      <c r="AK170" s="1038"/>
      <c r="AL170" s="1038"/>
      <c r="AM170" s="2072"/>
    </row>
    <row r="171" spans="1:39" ht="16.5" thickBot="1">
      <c r="A171" s="1920"/>
      <c r="B171" s="2070"/>
      <c r="C171" s="2070"/>
      <c r="D171" s="2070"/>
      <c r="E171" s="1034" t="s">
        <v>1877</v>
      </c>
      <c r="F171" s="1040" t="s">
        <v>572</v>
      </c>
      <c r="G171" s="1914"/>
      <c r="H171" s="1034">
        <v>12327</v>
      </c>
      <c r="I171" s="2070"/>
      <c r="J171" s="2070"/>
      <c r="K171" s="2070"/>
      <c r="L171" s="2070"/>
      <c r="M171" s="2070"/>
      <c r="N171" s="2070"/>
      <c r="O171" s="2070"/>
      <c r="P171" s="2070"/>
      <c r="Q171" s="2070"/>
      <c r="R171" s="2070"/>
      <c r="S171" s="2070"/>
      <c r="T171" s="1035">
        <v>635.8284321852941</v>
      </c>
      <c r="U171" s="1035">
        <v>968.78527172156817</v>
      </c>
      <c r="V171" s="1035">
        <v>66.981630894601437</v>
      </c>
      <c r="W171" s="1035"/>
      <c r="X171" s="1035"/>
      <c r="Y171" s="1035"/>
      <c r="Z171" s="1035"/>
      <c r="AA171" s="1034"/>
      <c r="AB171" s="1034"/>
      <c r="AC171" s="1034"/>
      <c r="AD171" s="1034"/>
      <c r="AE171" s="1034" t="s">
        <v>2192</v>
      </c>
      <c r="AF171" s="1034"/>
      <c r="AG171" s="1034"/>
      <c r="AH171" s="1034"/>
      <c r="AI171" s="1034"/>
      <c r="AJ171" s="1034"/>
      <c r="AK171" s="1034"/>
      <c r="AL171" s="1034"/>
      <c r="AM171" s="2073"/>
    </row>
    <row r="177" spans="2:3">
      <c r="B177" s="987"/>
      <c r="C177" s="988" t="s">
        <v>1633</v>
      </c>
    </row>
    <row r="178" spans="2:3">
      <c r="B178" s="989"/>
      <c r="C178" s="988" t="s">
        <v>342</v>
      </c>
    </row>
  </sheetData>
  <autoFilter ref="A2:AM172"/>
  <mergeCells count="503">
    <mergeCell ref="A168:A171"/>
    <mergeCell ref="B168:B171"/>
    <mergeCell ref="C168:C171"/>
    <mergeCell ref="D168:D171"/>
    <mergeCell ref="AM168:AM171"/>
    <mergeCell ref="G168:G171"/>
    <mergeCell ref="R168:R171"/>
    <mergeCell ref="S168:S171"/>
    <mergeCell ref="I168:I171"/>
    <mergeCell ref="J168:J171"/>
    <mergeCell ref="K168:K171"/>
    <mergeCell ref="L168:L171"/>
    <mergeCell ref="M168:M171"/>
    <mergeCell ref="N168:N171"/>
    <mergeCell ref="O168:O171"/>
    <mergeCell ref="P168:P171"/>
    <mergeCell ref="Q168:Q171"/>
    <mergeCell ref="L163:L167"/>
    <mergeCell ref="M163:M167"/>
    <mergeCell ref="N163:N167"/>
    <mergeCell ref="O163:O167"/>
    <mergeCell ref="P163:P167"/>
    <mergeCell ref="Q163:Q167"/>
    <mergeCell ref="R163:R167"/>
    <mergeCell ref="S163:S167"/>
    <mergeCell ref="AM163:AM167"/>
    <mergeCell ref="A163:A167"/>
    <mergeCell ref="B163:B167"/>
    <mergeCell ref="C163:C167"/>
    <mergeCell ref="D163:D167"/>
    <mergeCell ref="F163:F164"/>
    <mergeCell ref="G163:G167"/>
    <mergeCell ref="I163:I167"/>
    <mergeCell ref="J163:J167"/>
    <mergeCell ref="K163:K167"/>
    <mergeCell ref="F165:F167"/>
    <mergeCell ref="L159:L162"/>
    <mergeCell ref="M159:M162"/>
    <mergeCell ref="N159:N162"/>
    <mergeCell ref="O159:O162"/>
    <mergeCell ref="P159:P162"/>
    <mergeCell ref="Q159:Q162"/>
    <mergeCell ref="R159:R162"/>
    <mergeCell ref="S159:S162"/>
    <mergeCell ref="AM159:AM162"/>
    <mergeCell ref="A159:A162"/>
    <mergeCell ref="B159:B162"/>
    <mergeCell ref="C159:C162"/>
    <mergeCell ref="D159:D162"/>
    <mergeCell ref="G159:G162"/>
    <mergeCell ref="I159:I162"/>
    <mergeCell ref="J159:J162"/>
    <mergeCell ref="K159:K162"/>
    <mergeCell ref="F159:F162"/>
    <mergeCell ref="AM143:AM147"/>
    <mergeCell ref="AM148:AM152"/>
    <mergeCell ref="AM153:AM158"/>
    <mergeCell ref="G143:G147"/>
    <mergeCell ref="G148:G152"/>
    <mergeCell ref="G153:G158"/>
    <mergeCell ref="P153:P158"/>
    <mergeCell ref="Q153:Q158"/>
    <mergeCell ref="R153:R158"/>
    <mergeCell ref="S153:S158"/>
    <mergeCell ref="P143:P147"/>
    <mergeCell ref="Q143:Q147"/>
    <mergeCell ref="R143:R147"/>
    <mergeCell ref="S143:S147"/>
    <mergeCell ref="I148:I152"/>
    <mergeCell ref="J148:J152"/>
    <mergeCell ref="K148:K152"/>
    <mergeCell ref="L148:L152"/>
    <mergeCell ref="M148:M152"/>
    <mergeCell ref="N148:N152"/>
    <mergeCell ref="O148:O152"/>
    <mergeCell ref="P148:P152"/>
    <mergeCell ref="Q148:Q152"/>
    <mergeCell ref="R148:R152"/>
    <mergeCell ref="A143:A147"/>
    <mergeCell ref="B143:B147"/>
    <mergeCell ref="C143:C147"/>
    <mergeCell ref="A148:A152"/>
    <mergeCell ref="B148:B152"/>
    <mergeCell ref="C148:C152"/>
    <mergeCell ref="A153:A158"/>
    <mergeCell ref="B153:B158"/>
    <mergeCell ref="C153:C158"/>
    <mergeCell ref="S148:S152"/>
    <mergeCell ref="F143:F147"/>
    <mergeCell ref="F148:F152"/>
    <mergeCell ref="F153:F154"/>
    <mergeCell ref="F155:F158"/>
    <mergeCell ref="D143:D147"/>
    <mergeCell ref="D148:D152"/>
    <mergeCell ref="D153:D158"/>
    <mergeCell ref="I143:I147"/>
    <mergeCell ref="J143:J147"/>
    <mergeCell ref="K143:K147"/>
    <mergeCell ref="L143:L147"/>
    <mergeCell ref="M143:M147"/>
    <mergeCell ref="N143:N147"/>
    <mergeCell ref="O143:O147"/>
    <mergeCell ref="I153:I158"/>
    <mergeCell ref="J153:J158"/>
    <mergeCell ref="K153:K158"/>
    <mergeCell ref="L153:L158"/>
    <mergeCell ref="M153:M158"/>
    <mergeCell ref="N153:N158"/>
    <mergeCell ref="O153:O158"/>
    <mergeCell ref="D135:D136"/>
    <mergeCell ref="H135:H136"/>
    <mergeCell ref="I135:I136"/>
    <mergeCell ref="J135:J136"/>
    <mergeCell ref="K135:K136"/>
    <mergeCell ref="L135:L136"/>
    <mergeCell ref="M135:M136"/>
    <mergeCell ref="G135:G136"/>
    <mergeCell ref="AM78:AM85"/>
    <mergeCell ref="AM86:AM99"/>
    <mergeCell ref="AM100:AM113"/>
    <mergeCell ref="N135:N136"/>
    <mergeCell ref="O135:O136"/>
    <mergeCell ref="P135:P136"/>
    <mergeCell ref="Q135:Q136"/>
    <mergeCell ref="R135:R136"/>
    <mergeCell ref="S135:S136"/>
    <mergeCell ref="R125:R129"/>
    <mergeCell ref="S125:S129"/>
    <mergeCell ref="M131:M133"/>
    <mergeCell ref="N131:N133"/>
    <mergeCell ref="O131:O133"/>
    <mergeCell ref="P131:P133"/>
    <mergeCell ref="Q131:Q133"/>
    <mergeCell ref="A131:A133"/>
    <mergeCell ref="B131:B133"/>
    <mergeCell ref="C131:C133"/>
    <mergeCell ref="D131:D133"/>
    <mergeCell ref="G131:G133"/>
    <mergeCell ref="I131:I133"/>
    <mergeCell ref="J131:J133"/>
    <mergeCell ref="K131:K133"/>
    <mergeCell ref="L131:L133"/>
    <mergeCell ref="R131:R133"/>
    <mergeCell ref="S131:S133"/>
    <mergeCell ref="I125:I129"/>
    <mergeCell ref="J125:J129"/>
    <mergeCell ref="K125:K129"/>
    <mergeCell ref="L125:L129"/>
    <mergeCell ref="M125:M129"/>
    <mergeCell ref="N125:N129"/>
    <mergeCell ref="O125:O129"/>
    <mergeCell ref="P125:P129"/>
    <mergeCell ref="Q125:Q129"/>
    <mergeCell ref="G121:G122"/>
    <mergeCell ref="A121:A122"/>
    <mergeCell ref="B121:B122"/>
    <mergeCell ref="C121:C122"/>
    <mergeCell ref="D121:D122"/>
    <mergeCell ref="A125:A129"/>
    <mergeCell ref="B125:B129"/>
    <mergeCell ref="C125:C129"/>
    <mergeCell ref="D125:D129"/>
    <mergeCell ref="G125:G129"/>
    <mergeCell ref="M119:M120"/>
    <mergeCell ref="N119:N120"/>
    <mergeCell ref="O119:O120"/>
    <mergeCell ref="P119:P120"/>
    <mergeCell ref="Q119:Q120"/>
    <mergeCell ref="R119:R120"/>
    <mergeCell ref="S119:S120"/>
    <mergeCell ref="I121:I122"/>
    <mergeCell ref="J121:J122"/>
    <mergeCell ref="K121:K122"/>
    <mergeCell ref="L121:L122"/>
    <mergeCell ref="M121:M122"/>
    <mergeCell ref="N121:N122"/>
    <mergeCell ref="O121:O122"/>
    <mergeCell ref="P121:P122"/>
    <mergeCell ref="Q121:Q122"/>
    <mergeCell ref="R121:R122"/>
    <mergeCell ref="S121:S122"/>
    <mergeCell ref="A119:A120"/>
    <mergeCell ref="B119:B120"/>
    <mergeCell ref="C119:C120"/>
    <mergeCell ref="D119:D120"/>
    <mergeCell ref="G119:G120"/>
    <mergeCell ref="I119:I120"/>
    <mergeCell ref="J119:J120"/>
    <mergeCell ref="K119:K120"/>
    <mergeCell ref="L119:L120"/>
    <mergeCell ref="A135:A136"/>
    <mergeCell ref="B135:B136"/>
    <mergeCell ref="C135:C136"/>
    <mergeCell ref="AD69:AD70"/>
    <mergeCell ref="AD73:AD74"/>
    <mergeCell ref="AD75:AD76"/>
    <mergeCell ref="G78:G85"/>
    <mergeCell ref="A59:A64"/>
    <mergeCell ref="B59:B64"/>
    <mergeCell ref="C59:C64"/>
    <mergeCell ref="D59:D64"/>
    <mergeCell ref="D65:D67"/>
    <mergeCell ref="D69:D70"/>
    <mergeCell ref="D71:D72"/>
    <mergeCell ref="D73:D74"/>
    <mergeCell ref="D75:D76"/>
    <mergeCell ref="M65:M67"/>
    <mergeCell ref="M69:M70"/>
    <mergeCell ref="M71:M72"/>
    <mergeCell ref="M73:M74"/>
    <mergeCell ref="M75:M76"/>
    <mergeCell ref="G65:G67"/>
    <mergeCell ref="G69:G70"/>
    <mergeCell ref="G71:G72"/>
    <mergeCell ref="H29:H32"/>
    <mergeCell ref="Z29:Z32"/>
    <mergeCell ref="W29:W32"/>
    <mergeCell ref="X29:X32"/>
    <mergeCell ref="Y29:Y32"/>
    <mergeCell ref="AD29:AD32"/>
    <mergeCell ref="N59:N64"/>
    <mergeCell ref="O59:O64"/>
    <mergeCell ref="F26:F28"/>
    <mergeCell ref="J26:J28"/>
    <mergeCell ref="AD26:AD28"/>
    <mergeCell ref="R59:R64"/>
    <mergeCell ref="S59:S64"/>
    <mergeCell ref="G59:G64"/>
    <mergeCell ref="P59:P64"/>
    <mergeCell ref="Q59:Q64"/>
    <mergeCell ref="M59:M64"/>
    <mergeCell ref="N26:N28"/>
    <mergeCell ref="O26:O28"/>
    <mergeCell ref="P26:P28"/>
    <mergeCell ref="Q26:Q28"/>
    <mergeCell ref="R26:R28"/>
    <mergeCell ref="S26:S28"/>
    <mergeCell ref="A26:A28"/>
    <mergeCell ref="B26:B28"/>
    <mergeCell ref="C26:C28"/>
    <mergeCell ref="D26:D28"/>
    <mergeCell ref="I26:I28"/>
    <mergeCell ref="G26:G28"/>
    <mergeCell ref="K26:K28"/>
    <mergeCell ref="L26:L28"/>
    <mergeCell ref="M26:M28"/>
    <mergeCell ref="A18:A19"/>
    <mergeCell ref="B18:B19"/>
    <mergeCell ref="C18:C19"/>
    <mergeCell ref="D18:D19"/>
    <mergeCell ref="AE18:AE19"/>
    <mergeCell ref="AM18:AM19"/>
    <mergeCell ref="AD18:AD19"/>
    <mergeCell ref="S18:S19"/>
    <mergeCell ref="Q18:Q19"/>
    <mergeCell ref="P18:P19"/>
    <mergeCell ref="O18:O19"/>
    <mergeCell ref="N18:N19"/>
    <mergeCell ref="M18:M19"/>
    <mergeCell ref="L18:L19"/>
    <mergeCell ref="M22:M23"/>
    <mergeCell ref="N22:N23"/>
    <mergeCell ref="O22:O23"/>
    <mergeCell ref="P22:P23"/>
    <mergeCell ref="Q22:Q23"/>
    <mergeCell ref="R22:R23"/>
    <mergeCell ref="S22:S23"/>
    <mergeCell ref="AE22:AE23"/>
    <mergeCell ref="AM22:AM23"/>
    <mergeCell ref="AD22:AD23"/>
    <mergeCell ref="A22:A23"/>
    <mergeCell ref="B22:B23"/>
    <mergeCell ref="C22:C23"/>
    <mergeCell ref="D22:D23"/>
    <mergeCell ref="G22:G23"/>
    <mergeCell ref="I22:I23"/>
    <mergeCell ref="J22:J23"/>
    <mergeCell ref="K22:K23"/>
    <mergeCell ref="L22:L23"/>
    <mergeCell ref="B4:B5"/>
    <mergeCell ref="M4:M5"/>
    <mergeCell ref="G4:G5"/>
    <mergeCell ref="A11:A16"/>
    <mergeCell ref="B11:B16"/>
    <mergeCell ref="C11:C16"/>
    <mergeCell ref="D11:D16"/>
    <mergeCell ref="G11:G16"/>
    <mergeCell ref="K11:K16"/>
    <mergeCell ref="M11:M16"/>
    <mergeCell ref="I11:I16"/>
    <mergeCell ref="J11:J16"/>
    <mergeCell ref="L11:L16"/>
    <mergeCell ref="M8:M9"/>
    <mergeCell ref="B8:B9"/>
    <mergeCell ref="C8:C9"/>
    <mergeCell ref="D8:D9"/>
    <mergeCell ref="G8:G9"/>
    <mergeCell ref="I8:I9"/>
    <mergeCell ref="J8:J9"/>
    <mergeCell ref="K8:K9"/>
    <mergeCell ref="L8:L9"/>
    <mergeCell ref="AM6:AM7"/>
    <mergeCell ref="A6:A7"/>
    <mergeCell ref="B6:B7"/>
    <mergeCell ref="C6:C7"/>
    <mergeCell ref="D6:D7"/>
    <mergeCell ref="G6:G7"/>
    <mergeCell ref="AD6:AD7"/>
    <mergeCell ref="N6:N7"/>
    <mergeCell ref="AE6:AE7"/>
    <mergeCell ref="I6:I7"/>
    <mergeCell ref="J6:J7"/>
    <mergeCell ref="K6:K7"/>
    <mergeCell ref="L6:L7"/>
    <mergeCell ref="M6:M7"/>
    <mergeCell ref="O6:O7"/>
    <mergeCell ref="P6:P7"/>
    <mergeCell ref="Q6:Q7"/>
    <mergeCell ref="R6:R7"/>
    <mergeCell ref="S6:S7"/>
    <mergeCell ref="AM4:AM5"/>
    <mergeCell ref="D4:D5"/>
    <mergeCell ref="N4:N5"/>
    <mergeCell ref="AM1:AM2"/>
    <mergeCell ref="R1:R2"/>
    <mergeCell ref="S1:S2"/>
    <mergeCell ref="T1:Y1"/>
    <mergeCell ref="AA1:AA2"/>
    <mergeCell ref="AB1:AB2"/>
    <mergeCell ref="AC1:AC2"/>
    <mergeCell ref="K4:K5"/>
    <mergeCell ref="L4:L5"/>
    <mergeCell ref="I4:I5"/>
    <mergeCell ref="J4:J5"/>
    <mergeCell ref="AF1:AL1"/>
    <mergeCell ref="AD1:AD2"/>
    <mergeCell ref="AE1:AE2"/>
    <mergeCell ref="O4:O5"/>
    <mergeCell ref="P4:P5"/>
    <mergeCell ref="Q4:Q5"/>
    <mergeCell ref="R4:R5"/>
    <mergeCell ref="S4:S5"/>
    <mergeCell ref="AD4:AD5"/>
    <mergeCell ref="S8:S9"/>
    <mergeCell ref="AD8:AD9"/>
    <mergeCell ref="AE8:AE9"/>
    <mergeCell ref="A1:A2"/>
    <mergeCell ref="B1:B2"/>
    <mergeCell ref="C1:C2"/>
    <mergeCell ref="D1:D2"/>
    <mergeCell ref="E1:E2"/>
    <mergeCell ref="Q1:Q2"/>
    <mergeCell ref="P1:P2"/>
    <mergeCell ref="F1:F2"/>
    <mergeCell ref="G1:G2"/>
    <mergeCell ref="H1:H2"/>
    <mergeCell ref="I1:I2"/>
    <mergeCell ref="J1:J2"/>
    <mergeCell ref="K1:K2"/>
    <mergeCell ref="L1:L2"/>
    <mergeCell ref="M1:M2"/>
    <mergeCell ref="N1:N2"/>
    <mergeCell ref="O1:O2"/>
    <mergeCell ref="AE4:AE5"/>
    <mergeCell ref="A4:A5"/>
    <mergeCell ref="C4:C5"/>
    <mergeCell ref="A8:A9"/>
    <mergeCell ref="N75:N76"/>
    <mergeCell ref="O65:O67"/>
    <mergeCell ref="O69:O70"/>
    <mergeCell ref="O71:O72"/>
    <mergeCell ref="O73:O74"/>
    <mergeCell ref="O75:O76"/>
    <mergeCell ref="AM8:AM9"/>
    <mergeCell ref="N8:N9"/>
    <mergeCell ref="O8:O9"/>
    <mergeCell ref="P8:P9"/>
    <mergeCell ref="Q8:Q9"/>
    <mergeCell ref="R8:R9"/>
    <mergeCell ref="S11:S16"/>
    <mergeCell ref="AD11:AD16"/>
    <mergeCell ref="AE11:AE16"/>
    <mergeCell ref="AM11:AM16"/>
    <mergeCell ref="N11:N16"/>
    <mergeCell ref="O11:O16"/>
    <mergeCell ref="P11:P16"/>
    <mergeCell ref="Q11:Q16"/>
    <mergeCell ref="R11:R16"/>
    <mergeCell ref="AE26:AE28"/>
    <mergeCell ref="AM26:AM28"/>
    <mergeCell ref="AE29:AE32"/>
    <mergeCell ref="S71:S72"/>
    <mergeCell ref="A65:A67"/>
    <mergeCell ref="A69:A70"/>
    <mergeCell ref="A71:A72"/>
    <mergeCell ref="A73:A74"/>
    <mergeCell ref="A75:A76"/>
    <mergeCell ref="B65:B67"/>
    <mergeCell ref="C65:C67"/>
    <mergeCell ref="B69:B70"/>
    <mergeCell ref="C69:C70"/>
    <mergeCell ref="B71:B72"/>
    <mergeCell ref="C71:C72"/>
    <mergeCell ref="B73:B74"/>
    <mergeCell ref="C73:C74"/>
    <mergeCell ref="B75:B76"/>
    <mergeCell ref="C75:C76"/>
    <mergeCell ref="G73:G74"/>
    <mergeCell ref="G75:G76"/>
    <mergeCell ref="S73:S74"/>
    <mergeCell ref="S75:S76"/>
    <mergeCell ref="N65:N67"/>
    <mergeCell ref="N69:N70"/>
    <mergeCell ref="N71:N72"/>
    <mergeCell ref="N73:N74"/>
    <mergeCell ref="A78:A85"/>
    <mergeCell ref="B78:B85"/>
    <mergeCell ref="C78:C85"/>
    <mergeCell ref="AM59:AM64"/>
    <mergeCell ref="AM65:AM67"/>
    <mergeCell ref="AM69:AM70"/>
    <mergeCell ref="AM71:AM72"/>
    <mergeCell ref="AM73:AM74"/>
    <mergeCell ref="AM75:AM76"/>
    <mergeCell ref="P65:P67"/>
    <mergeCell ref="Q65:Q67"/>
    <mergeCell ref="P69:P70"/>
    <mergeCell ref="Q69:Q70"/>
    <mergeCell ref="P71:P72"/>
    <mergeCell ref="Q71:Q72"/>
    <mergeCell ref="P73:P74"/>
    <mergeCell ref="Q73:Q74"/>
    <mergeCell ref="P75:P76"/>
    <mergeCell ref="Q75:Q76"/>
    <mergeCell ref="R65:R67"/>
    <mergeCell ref="R69:R70"/>
    <mergeCell ref="R71:R72"/>
    <mergeCell ref="R73:R74"/>
    <mergeCell ref="R75:R76"/>
    <mergeCell ref="D78:D85"/>
    <mergeCell ref="W86:W99"/>
    <mergeCell ref="X86:X99"/>
    <mergeCell ref="Y86:Y99"/>
    <mergeCell ref="X78:X85"/>
    <mergeCell ref="I78:I85"/>
    <mergeCell ref="J78:J85"/>
    <mergeCell ref="K78:K85"/>
    <mergeCell ref="L78:L85"/>
    <mergeCell ref="M78:M85"/>
    <mergeCell ref="N78:N85"/>
    <mergeCell ref="O78:O85"/>
    <mergeCell ref="P78:P85"/>
    <mergeCell ref="Q78:Q85"/>
    <mergeCell ref="R78:R85"/>
    <mergeCell ref="S78:S85"/>
    <mergeCell ref="AE34:AE58"/>
    <mergeCell ref="Y100:Y113"/>
    <mergeCell ref="M100:M113"/>
    <mergeCell ref="N100:N113"/>
    <mergeCell ref="O100:O113"/>
    <mergeCell ref="P100:P113"/>
    <mergeCell ref="Q100:Q113"/>
    <mergeCell ref="R100:R113"/>
    <mergeCell ref="S100:S113"/>
    <mergeCell ref="W100:W113"/>
    <mergeCell ref="X100:X113"/>
    <mergeCell ref="AE78:AE85"/>
    <mergeCell ref="R86:R99"/>
    <mergeCell ref="S86:S99"/>
    <mergeCell ref="W78:W85"/>
    <mergeCell ref="Y78:Y85"/>
    <mergeCell ref="AD78:AD85"/>
    <mergeCell ref="M86:M99"/>
    <mergeCell ref="N86:N99"/>
    <mergeCell ref="O86:O99"/>
    <mergeCell ref="P86:P99"/>
    <mergeCell ref="Q86:Q99"/>
    <mergeCell ref="S65:S67"/>
    <mergeCell ref="S69:S70"/>
    <mergeCell ref="AE139:AE142"/>
    <mergeCell ref="AD86:AD99"/>
    <mergeCell ref="AD100:AD113"/>
    <mergeCell ref="AD119:AD120"/>
    <mergeCell ref="AD121:AD122"/>
    <mergeCell ref="AD153:AD158"/>
    <mergeCell ref="A100:A113"/>
    <mergeCell ref="B100:B113"/>
    <mergeCell ref="C100:C113"/>
    <mergeCell ref="D100:D113"/>
    <mergeCell ref="G100:G113"/>
    <mergeCell ref="I100:I113"/>
    <mergeCell ref="J100:J113"/>
    <mergeCell ref="K100:K113"/>
    <mergeCell ref="L100:L113"/>
    <mergeCell ref="I86:I99"/>
    <mergeCell ref="J86:J99"/>
    <mergeCell ref="K86:K99"/>
    <mergeCell ref="L86:L99"/>
    <mergeCell ref="A86:A99"/>
    <mergeCell ref="B86:B99"/>
    <mergeCell ref="C86:C99"/>
    <mergeCell ref="D86:D99"/>
    <mergeCell ref="G86:G99"/>
  </mergeCells>
  <phoneticPr fontId="155"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Q234"/>
  <sheetViews>
    <sheetView showGridLines="0" zoomScale="70" zoomScaleNormal="70" workbookViewId="0">
      <pane xSplit="5" ySplit="2" topLeftCell="F3" activePane="bottomRight" state="frozen"/>
      <selection activeCell="S37" sqref="S37:S43"/>
      <selection pane="topRight" activeCell="S37" sqref="S37:S43"/>
      <selection pane="bottomLeft" activeCell="S37" sqref="S37:S43"/>
      <selection pane="bottomRight" activeCell="S36" sqref="S36:S49"/>
    </sheetView>
  </sheetViews>
  <sheetFormatPr defaultColWidth="9.140625" defaultRowHeight="15"/>
  <cols>
    <col min="1" max="1" width="5.5703125" style="506" bestFit="1" customWidth="1"/>
    <col min="2" max="2" width="10.140625" style="506" bestFit="1" customWidth="1"/>
    <col min="3" max="3" width="20.28515625" style="506" bestFit="1" customWidth="1"/>
    <col min="4" max="4" width="33.5703125" style="506" bestFit="1" customWidth="1"/>
    <col min="5" max="5" width="30.7109375" style="506" bestFit="1" customWidth="1"/>
    <col min="6" max="6" width="46" style="540" bestFit="1" customWidth="1"/>
    <col min="7" max="7" width="21.5703125" style="506" customWidth="1"/>
    <col min="8" max="8" width="14.28515625" style="506" customWidth="1"/>
    <col min="9" max="9" width="8.85546875" style="506" hidden="1" customWidth="1"/>
    <col min="10" max="10" width="7.42578125" style="506" hidden="1" customWidth="1"/>
    <col min="11" max="11" width="13" style="506" hidden="1" customWidth="1"/>
    <col min="12" max="12" width="8.5703125" style="506" hidden="1" customWidth="1"/>
    <col min="13" max="13" width="12.140625" style="506" hidden="1" customWidth="1"/>
    <col min="14" max="14" width="15.7109375" style="538" hidden="1" customWidth="1"/>
    <col min="15" max="15" width="42.42578125" style="506" hidden="1" customWidth="1"/>
    <col min="16" max="16" width="27.7109375" style="506" hidden="1" customWidth="1"/>
    <col min="17" max="17" width="16" style="506" hidden="1" customWidth="1"/>
    <col min="18" max="18" width="39.5703125" style="506" hidden="1" customWidth="1"/>
    <col min="19" max="19" width="17.140625" style="506" hidden="1" customWidth="1"/>
    <col min="20" max="20" width="18" style="498" hidden="1" customWidth="1"/>
    <col min="21" max="21" width="20.140625" style="506" customWidth="1"/>
    <col min="22" max="23" width="14.42578125" style="506" customWidth="1"/>
    <col min="24" max="24" width="22.7109375" style="506" customWidth="1"/>
    <col min="25" max="25" width="13.140625" style="506" customWidth="1"/>
    <col min="26" max="26" width="18.140625" style="506" customWidth="1"/>
    <col min="27" max="29" width="15.85546875" style="506" customWidth="1"/>
    <col min="30" max="30" width="41.7109375" style="506" customWidth="1"/>
    <col min="31" max="31" width="82.42578125" style="540" bestFit="1" customWidth="1"/>
    <col min="32" max="32" width="14.140625" style="506" customWidth="1"/>
    <col min="33" max="33" width="13.7109375" style="506" customWidth="1"/>
    <col min="34" max="34" width="14.5703125" style="506" customWidth="1"/>
    <col min="35" max="38" width="13.140625" style="506" customWidth="1"/>
    <col min="39" max="39" width="9.85546875" style="506" bestFit="1" customWidth="1"/>
    <col min="40" max="16384" width="9.140625" style="506"/>
  </cols>
  <sheetData>
    <row r="1" spans="1:39" s="680" customFormat="1" ht="15.75">
      <c r="A1" s="1904" t="s">
        <v>0</v>
      </c>
      <c r="B1" s="1891" t="s">
        <v>1</v>
      </c>
      <c r="C1" s="1891" t="s">
        <v>1665</v>
      </c>
      <c r="D1" s="1891" t="s">
        <v>5</v>
      </c>
      <c r="E1" s="1891" t="s">
        <v>3</v>
      </c>
      <c r="F1" s="2118" t="s">
        <v>4</v>
      </c>
      <c r="G1" s="1891" t="s">
        <v>6</v>
      </c>
      <c r="H1" s="1891" t="s">
        <v>7</v>
      </c>
      <c r="I1" s="1891" t="s">
        <v>8</v>
      </c>
      <c r="J1" s="1891" t="s">
        <v>9</v>
      </c>
      <c r="K1" s="1891" t="s">
        <v>10</v>
      </c>
      <c r="L1" s="1891" t="s">
        <v>11</v>
      </c>
      <c r="M1" s="1891" t="s">
        <v>12</v>
      </c>
      <c r="N1" s="2112" t="s">
        <v>55</v>
      </c>
      <c r="O1" s="1891" t="s">
        <v>116</v>
      </c>
      <c r="P1" s="1891" t="s">
        <v>1239</v>
      </c>
      <c r="Q1" s="1891" t="s">
        <v>15</v>
      </c>
      <c r="R1" s="1891" t="s">
        <v>1174</v>
      </c>
      <c r="S1" s="1891" t="s">
        <v>1215</v>
      </c>
      <c r="T1" s="1901" t="s">
        <v>349</v>
      </c>
      <c r="U1" s="1901"/>
      <c r="V1" s="1901"/>
      <c r="W1" s="1901"/>
      <c r="X1" s="1901"/>
      <c r="Y1" s="1901"/>
      <c r="Z1" s="679"/>
      <c r="AA1" s="1891" t="s">
        <v>24</v>
      </c>
      <c r="AB1" s="1891" t="s">
        <v>25</v>
      </c>
      <c r="AC1" s="1891" t="s">
        <v>26</v>
      </c>
      <c r="AD1" s="1891" t="s">
        <v>1554</v>
      </c>
      <c r="AE1" s="1891" t="s">
        <v>27</v>
      </c>
      <c r="AF1" s="2115" t="s">
        <v>1583</v>
      </c>
      <c r="AG1" s="2116"/>
      <c r="AH1" s="2116"/>
      <c r="AI1" s="2116"/>
      <c r="AJ1" s="2116"/>
      <c r="AK1" s="2116"/>
      <c r="AL1" s="2117"/>
      <c r="AM1" s="1899" t="s">
        <v>23</v>
      </c>
    </row>
    <row r="2" spans="1:39" s="680" customFormat="1" ht="79.5" thickBot="1">
      <c r="A2" s="1968"/>
      <c r="B2" s="1969"/>
      <c r="C2" s="1969"/>
      <c r="D2" s="1969"/>
      <c r="E2" s="1969"/>
      <c r="F2" s="2119"/>
      <c r="G2" s="1969"/>
      <c r="H2" s="1969"/>
      <c r="I2" s="1969"/>
      <c r="J2" s="1969"/>
      <c r="K2" s="1969"/>
      <c r="L2" s="1969"/>
      <c r="M2" s="1969"/>
      <c r="N2" s="2113"/>
      <c r="O2" s="1969"/>
      <c r="P2" s="1969"/>
      <c r="Q2" s="1969"/>
      <c r="R2" s="1969"/>
      <c r="S2" s="1969"/>
      <c r="T2" s="682" t="s">
        <v>856</v>
      </c>
      <c r="U2" s="682" t="s">
        <v>1240</v>
      </c>
      <c r="V2" s="681" t="s">
        <v>249</v>
      </c>
      <c r="W2" s="682" t="s">
        <v>168</v>
      </c>
      <c r="X2" s="682" t="s">
        <v>1598</v>
      </c>
      <c r="Y2" s="682" t="s">
        <v>350</v>
      </c>
      <c r="Z2" s="681" t="s">
        <v>19</v>
      </c>
      <c r="AA2" s="1969"/>
      <c r="AB2" s="1969"/>
      <c r="AC2" s="1969"/>
      <c r="AD2" s="1969"/>
      <c r="AE2" s="1969"/>
      <c r="AF2" s="681" t="s">
        <v>1582</v>
      </c>
      <c r="AG2" s="682" t="s">
        <v>168</v>
      </c>
      <c r="AH2" s="682" t="s">
        <v>169</v>
      </c>
      <c r="AI2" s="682" t="s">
        <v>350</v>
      </c>
      <c r="AJ2" s="752" t="s">
        <v>24</v>
      </c>
      <c r="AK2" s="752" t="s">
        <v>25</v>
      </c>
      <c r="AL2" s="752" t="s">
        <v>26</v>
      </c>
      <c r="AM2" s="1980"/>
    </row>
    <row r="3" spans="1:39" s="683" customFormat="1" ht="15.75">
      <c r="A3" s="556">
        <v>1</v>
      </c>
      <c r="B3" s="557" t="s">
        <v>1445</v>
      </c>
      <c r="C3" s="558" t="s">
        <v>29</v>
      </c>
      <c r="D3" s="543" t="s">
        <v>1448</v>
      </c>
      <c r="E3" s="543" t="s">
        <v>1459</v>
      </c>
      <c r="F3" s="543" t="s">
        <v>1471</v>
      </c>
      <c r="G3" s="558" t="s">
        <v>1475</v>
      </c>
      <c r="H3" s="543">
        <v>30500</v>
      </c>
      <c r="I3" s="558" t="s">
        <v>34</v>
      </c>
      <c r="J3" s="558" t="s">
        <v>34</v>
      </c>
      <c r="K3" s="558"/>
      <c r="L3" s="558" t="s">
        <v>35</v>
      </c>
      <c r="M3" s="558" t="s">
        <v>36</v>
      </c>
      <c r="N3" s="559">
        <v>44362</v>
      </c>
      <c r="O3" s="558" t="s">
        <v>1564</v>
      </c>
      <c r="P3" s="558" t="s">
        <v>1565</v>
      </c>
      <c r="Q3" s="558"/>
      <c r="R3" s="558"/>
      <c r="S3" s="558" t="s">
        <v>1216</v>
      </c>
      <c r="T3" s="558">
        <v>158.13999999999999</v>
      </c>
      <c r="U3" s="558">
        <v>362.3</v>
      </c>
      <c r="V3" s="558">
        <v>17.649999999999999</v>
      </c>
      <c r="W3" s="558"/>
      <c r="X3" s="558"/>
      <c r="Y3" s="2079">
        <v>10</v>
      </c>
      <c r="Z3" s="560">
        <f t="shared" ref="Z3:Z30" si="0">H3*U3/10^7</f>
        <v>1.1050150000000001</v>
      </c>
      <c r="AA3" s="558"/>
      <c r="AB3" s="558"/>
      <c r="AC3" s="558"/>
      <c r="AD3" s="634" t="s">
        <v>1580</v>
      </c>
      <c r="AE3" s="551" t="s">
        <v>1735</v>
      </c>
      <c r="AF3" s="558"/>
      <c r="AG3" s="558"/>
      <c r="AH3" s="558"/>
      <c r="AI3" s="558"/>
      <c r="AJ3" s="771"/>
      <c r="AK3" s="771"/>
      <c r="AL3" s="771"/>
      <c r="AM3" s="561"/>
    </row>
    <row r="4" spans="1:39" s="683" customFormat="1" ht="15.75">
      <c r="A4" s="562">
        <f t="shared" ref="A4:A30" si="1">A3+1</f>
        <v>2</v>
      </c>
      <c r="B4" s="544" t="s">
        <v>1446</v>
      </c>
      <c r="C4" s="548" t="s">
        <v>29</v>
      </c>
      <c r="D4" s="544" t="s">
        <v>1449</v>
      </c>
      <c r="E4" s="544" t="s">
        <v>1460</v>
      </c>
      <c r="F4" s="544" t="s">
        <v>1472</v>
      </c>
      <c r="G4" s="548" t="s">
        <v>1475</v>
      </c>
      <c r="H4" s="544">
        <v>3000</v>
      </c>
      <c r="I4" s="548" t="s">
        <v>34</v>
      </c>
      <c r="J4" s="548" t="s">
        <v>34</v>
      </c>
      <c r="K4" s="548"/>
      <c r="L4" s="548" t="s">
        <v>35</v>
      </c>
      <c r="M4" s="548" t="s">
        <v>36</v>
      </c>
      <c r="N4" s="563">
        <v>44362</v>
      </c>
      <c r="O4" s="548" t="s">
        <v>1564</v>
      </c>
      <c r="P4" s="548" t="s">
        <v>1565</v>
      </c>
      <c r="Q4" s="548"/>
      <c r="R4" s="548"/>
      <c r="S4" s="548" t="s">
        <v>1216</v>
      </c>
      <c r="T4" s="548">
        <v>329.64</v>
      </c>
      <c r="U4" s="548">
        <v>542.1</v>
      </c>
      <c r="V4" s="548">
        <v>21.08</v>
      </c>
      <c r="W4" s="548"/>
      <c r="X4" s="548"/>
      <c r="Y4" s="2092"/>
      <c r="Z4" s="564">
        <f t="shared" si="0"/>
        <v>0.16263</v>
      </c>
      <c r="AA4" s="548"/>
      <c r="AB4" s="548"/>
      <c r="AC4" s="548"/>
      <c r="AD4" s="616" t="s">
        <v>1580</v>
      </c>
      <c r="AE4" s="547" t="s">
        <v>1735</v>
      </c>
      <c r="AF4" s="548"/>
      <c r="AG4" s="548"/>
      <c r="AH4" s="548"/>
      <c r="AI4" s="548"/>
      <c r="AJ4" s="772"/>
      <c r="AK4" s="772"/>
      <c r="AL4" s="772"/>
      <c r="AM4" s="565"/>
    </row>
    <row r="5" spans="1:39" s="683" customFormat="1" ht="15.75">
      <c r="A5" s="562">
        <f t="shared" si="1"/>
        <v>3</v>
      </c>
      <c r="B5" s="544" t="s">
        <v>1447</v>
      </c>
      <c r="C5" s="548" t="s">
        <v>29</v>
      </c>
      <c r="D5" s="544" t="s">
        <v>1520</v>
      </c>
      <c r="E5" s="544" t="s">
        <v>1461</v>
      </c>
      <c r="F5" s="544" t="s">
        <v>1472</v>
      </c>
      <c r="G5" s="548" t="s">
        <v>1475</v>
      </c>
      <c r="H5" s="544">
        <v>6000</v>
      </c>
      <c r="I5" s="548" t="s">
        <v>34</v>
      </c>
      <c r="J5" s="548" t="s">
        <v>34</v>
      </c>
      <c r="K5" s="548"/>
      <c r="L5" s="548" t="s">
        <v>35</v>
      </c>
      <c r="M5" s="548" t="s">
        <v>36</v>
      </c>
      <c r="N5" s="563">
        <v>44362</v>
      </c>
      <c r="O5" s="548" t="s">
        <v>1564</v>
      </c>
      <c r="P5" s="548" t="s">
        <v>1565</v>
      </c>
      <c r="Q5" s="548"/>
      <c r="R5" s="548"/>
      <c r="S5" s="548" t="s">
        <v>1216</v>
      </c>
      <c r="T5" s="548">
        <v>329.64</v>
      </c>
      <c r="U5" s="548">
        <v>540.47</v>
      </c>
      <c r="V5" s="548">
        <v>21.08</v>
      </c>
      <c r="W5" s="548"/>
      <c r="X5" s="548"/>
      <c r="Y5" s="2092"/>
      <c r="Z5" s="564">
        <f t="shared" si="0"/>
        <v>0.32428200000000001</v>
      </c>
      <c r="AA5" s="548"/>
      <c r="AB5" s="548"/>
      <c r="AC5" s="548"/>
      <c r="AD5" s="616" t="s">
        <v>1580</v>
      </c>
      <c r="AE5" s="547" t="s">
        <v>1735</v>
      </c>
      <c r="AF5" s="548"/>
      <c r="AG5" s="548"/>
      <c r="AH5" s="548"/>
      <c r="AI5" s="548"/>
      <c r="AJ5" s="772"/>
      <c r="AK5" s="772"/>
      <c r="AL5" s="772"/>
      <c r="AM5" s="565" t="s">
        <v>1666</v>
      </c>
    </row>
    <row r="6" spans="1:39" s="683" customFormat="1" ht="15.75">
      <c r="A6" s="566">
        <f t="shared" si="1"/>
        <v>4</v>
      </c>
      <c r="B6" s="545" t="s">
        <v>1447</v>
      </c>
      <c r="C6" s="547" t="s">
        <v>29</v>
      </c>
      <c r="D6" s="545" t="s">
        <v>1451</v>
      </c>
      <c r="E6" s="545" t="s">
        <v>1462</v>
      </c>
      <c r="F6" s="545" t="s">
        <v>1472</v>
      </c>
      <c r="G6" s="547" t="s">
        <v>1475</v>
      </c>
      <c r="H6" s="545">
        <v>196000</v>
      </c>
      <c r="I6" s="548" t="s">
        <v>34</v>
      </c>
      <c r="J6" s="548" t="s">
        <v>34</v>
      </c>
      <c r="K6" s="547"/>
      <c r="L6" s="547" t="s">
        <v>35</v>
      </c>
      <c r="M6" s="547" t="s">
        <v>36</v>
      </c>
      <c r="N6" s="567">
        <v>44336</v>
      </c>
      <c r="O6" s="548" t="s">
        <v>1564</v>
      </c>
      <c r="P6" s="548" t="s">
        <v>1565</v>
      </c>
      <c r="Q6" s="547"/>
      <c r="R6" s="547"/>
      <c r="S6" s="547" t="s">
        <v>1216</v>
      </c>
      <c r="T6" s="548">
        <v>329.64</v>
      </c>
      <c r="U6" s="547">
        <v>539.53</v>
      </c>
      <c r="V6" s="547">
        <v>21.08</v>
      </c>
      <c r="W6" s="547"/>
      <c r="X6" s="547"/>
      <c r="Y6" s="2092"/>
      <c r="Z6" s="564">
        <f t="shared" si="0"/>
        <v>10.574788</v>
      </c>
      <c r="AA6" s="547"/>
      <c r="AB6" s="547"/>
      <c r="AC6" s="547"/>
      <c r="AD6" s="616" t="s">
        <v>1580</v>
      </c>
      <c r="AE6" s="547" t="s">
        <v>1735</v>
      </c>
      <c r="AF6" s="547"/>
      <c r="AG6" s="547"/>
      <c r="AH6" s="547"/>
      <c r="AI6" s="547"/>
      <c r="AJ6" s="773"/>
      <c r="AK6" s="773"/>
      <c r="AL6" s="773"/>
      <c r="AM6" s="565" t="s">
        <v>1666</v>
      </c>
    </row>
    <row r="7" spans="1:39" s="683" customFormat="1" ht="15.75">
      <c r="A7" s="566">
        <f t="shared" si="1"/>
        <v>5</v>
      </c>
      <c r="B7" s="545" t="s">
        <v>1447</v>
      </c>
      <c r="C7" s="547" t="s">
        <v>29</v>
      </c>
      <c r="D7" s="545" t="s">
        <v>1452</v>
      </c>
      <c r="E7" s="545" t="s">
        <v>1463</v>
      </c>
      <c r="F7" s="545" t="s">
        <v>1473</v>
      </c>
      <c r="G7" s="547" t="s">
        <v>1475</v>
      </c>
      <c r="H7" s="545">
        <v>28000</v>
      </c>
      <c r="I7" s="548" t="s">
        <v>34</v>
      </c>
      <c r="J7" s="548" t="s">
        <v>34</v>
      </c>
      <c r="K7" s="547"/>
      <c r="L7" s="547" t="s">
        <v>35</v>
      </c>
      <c r="M7" s="547" t="s">
        <v>36</v>
      </c>
      <c r="N7" s="567">
        <v>44336</v>
      </c>
      <c r="O7" s="548" t="s">
        <v>1564</v>
      </c>
      <c r="P7" s="548" t="s">
        <v>1565</v>
      </c>
      <c r="Q7" s="547"/>
      <c r="R7" s="547"/>
      <c r="S7" s="547" t="s">
        <v>1216</v>
      </c>
      <c r="T7" s="548">
        <v>329.64</v>
      </c>
      <c r="U7" s="547">
        <v>539.53</v>
      </c>
      <c r="V7" s="547">
        <v>21.08</v>
      </c>
      <c r="W7" s="547"/>
      <c r="X7" s="547"/>
      <c r="Y7" s="2092"/>
      <c r="Z7" s="564">
        <f t="shared" si="0"/>
        <v>1.5106839999999999</v>
      </c>
      <c r="AA7" s="547"/>
      <c r="AB7" s="547"/>
      <c r="AC7" s="547"/>
      <c r="AD7" s="616" t="s">
        <v>1580</v>
      </c>
      <c r="AE7" s="547" t="s">
        <v>1735</v>
      </c>
      <c r="AF7" s="547"/>
      <c r="AG7" s="547"/>
      <c r="AH7" s="547"/>
      <c r="AI7" s="547"/>
      <c r="AJ7" s="773"/>
      <c r="AK7" s="773"/>
      <c r="AL7" s="773"/>
      <c r="AM7" s="565" t="s">
        <v>1666</v>
      </c>
    </row>
    <row r="8" spans="1:39" s="683" customFormat="1" ht="15.75">
      <c r="A8" s="566">
        <f t="shared" si="1"/>
        <v>6</v>
      </c>
      <c r="B8" s="545" t="s">
        <v>1447</v>
      </c>
      <c r="C8" s="547" t="s">
        <v>29</v>
      </c>
      <c r="D8" s="545" t="s">
        <v>1450</v>
      </c>
      <c r="E8" s="545" t="s">
        <v>1464</v>
      </c>
      <c r="F8" s="545" t="s">
        <v>1472</v>
      </c>
      <c r="G8" s="547" t="s">
        <v>1475</v>
      </c>
      <c r="H8" s="545">
        <v>28000</v>
      </c>
      <c r="I8" s="548" t="s">
        <v>34</v>
      </c>
      <c r="J8" s="548" t="s">
        <v>34</v>
      </c>
      <c r="K8" s="547"/>
      <c r="L8" s="547" t="s">
        <v>35</v>
      </c>
      <c r="M8" s="547" t="s">
        <v>36</v>
      </c>
      <c r="N8" s="567">
        <v>44336</v>
      </c>
      <c r="O8" s="548" t="s">
        <v>1564</v>
      </c>
      <c r="P8" s="548" t="s">
        <v>1565</v>
      </c>
      <c r="Q8" s="547"/>
      <c r="R8" s="547"/>
      <c r="S8" s="547" t="s">
        <v>1216</v>
      </c>
      <c r="T8" s="548">
        <v>329.64</v>
      </c>
      <c r="U8" s="547">
        <v>539.53</v>
      </c>
      <c r="V8" s="547">
        <v>21.08</v>
      </c>
      <c r="W8" s="547"/>
      <c r="X8" s="547"/>
      <c r="Y8" s="2092"/>
      <c r="Z8" s="564">
        <f t="shared" si="0"/>
        <v>1.5106839999999999</v>
      </c>
      <c r="AA8" s="547"/>
      <c r="AB8" s="547"/>
      <c r="AC8" s="547"/>
      <c r="AD8" s="616" t="s">
        <v>1580</v>
      </c>
      <c r="AE8" s="547" t="s">
        <v>1735</v>
      </c>
      <c r="AF8" s="547"/>
      <c r="AG8" s="547"/>
      <c r="AH8" s="547"/>
      <c r="AI8" s="547"/>
      <c r="AJ8" s="773"/>
      <c r="AK8" s="773"/>
      <c r="AL8" s="773"/>
      <c r="AM8" s="565" t="s">
        <v>1666</v>
      </c>
    </row>
    <row r="9" spans="1:39" s="683" customFormat="1" ht="15.75">
      <c r="A9" s="566">
        <f t="shared" si="1"/>
        <v>7</v>
      </c>
      <c r="B9" s="545" t="s">
        <v>1447</v>
      </c>
      <c r="C9" s="547" t="s">
        <v>29</v>
      </c>
      <c r="D9" s="545" t="s">
        <v>1453</v>
      </c>
      <c r="E9" s="545" t="s">
        <v>1465</v>
      </c>
      <c r="F9" s="545" t="s">
        <v>1472</v>
      </c>
      <c r="G9" s="547" t="s">
        <v>1475</v>
      </c>
      <c r="H9" s="545">
        <v>28000</v>
      </c>
      <c r="I9" s="548" t="s">
        <v>34</v>
      </c>
      <c r="J9" s="548" t="s">
        <v>34</v>
      </c>
      <c r="K9" s="547"/>
      <c r="L9" s="547" t="s">
        <v>35</v>
      </c>
      <c r="M9" s="547" t="s">
        <v>36</v>
      </c>
      <c r="N9" s="567">
        <v>44336</v>
      </c>
      <c r="O9" s="548" t="s">
        <v>1564</v>
      </c>
      <c r="P9" s="548" t="s">
        <v>1565</v>
      </c>
      <c r="Q9" s="547"/>
      <c r="R9" s="547"/>
      <c r="S9" s="547" t="s">
        <v>1216</v>
      </c>
      <c r="T9" s="548">
        <v>329.64</v>
      </c>
      <c r="U9" s="547">
        <v>539.53</v>
      </c>
      <c r="V9" s="547">
        <v>21.08</v>
      </c>
      <c r="W9" s="547"/>
      <c r="X9" s="547"/>
      <c r="Y9" s="2092"/>
      <c r="Z9" s="564">
        <f t="shared" si="0"/>
        <v>1.5106839999999999</v>
      </c>
      <c r="AA9" s="547"/>
      <c r="AB9" s="547"/>
      <c r="AC9" s="547"/>
      <c r="AD9" s="616" t="s">
        <v>1580</v>
      </c>
      <c r="AE9" s="547" t="s">
        <v>1735</v>
      </c>
      <c r="AF9" s="547"/>
      <c r="AG9" s="547"/>
      <c r="AH9" s="547"/>
      <c r="AI9" s="547"/>
      <c r="AJ9" s="773"/>
      <c r="AK9" s="773"/>
      <c r="AL9" s="773"/>
      <c r="AM9" s="565" t="s">
        <v>1666</v>
      </c>
    </row>
    <row r="10" spans="1:39" s="683" customFormat="1" ht="15.75">
      <c r="A10" s="566">
        <f t="shared" si="1"/>
        <v>8</v>
      </c>
      <c r="B10" s="545" t="s">
        <v>1447</v>
      </c>
      <c r="C10" s="547" t="s">
        <v>29</v>
      </c>
      <c r="D10" s="545" t="s">
        <v>1454</v>
      </c>
      <c r="E10" s="545" t="s">
        <v>1466</v>
      </c>
      <c r="F10" s="545" t="s">
        <v>1473</v>
      </c>
      <c r="G10" s="547" t="s">
        <v>1475</v>
      </c>
      <c r="H10" s="545">
        <v>28000</v>
      </c>
      <c r="I10" s="548" t="s">
        <v>34</v>
      </c>
      <c r="J10" s="548" t="s">
        <v>34</v>
      </c>
      <c r="K10" s="547"/>
      <c r="L10" s="547" t="s">
        <v>35</v>
      </c>
      <c r="M10" s="547" t="s">
        <v>36</v>
      </c>
      <c r="N10" s="567">
        <v>44337</v>
      </c>
      <c r="O10" s="548" t="s">
        <v>1564</v>
      </c>
      <c r="P10" s="548" t="s">
        <v>1565</v>
      </c>
      <c r="Q10" s="547"/>
      <c r="R10" s="547"/>
      <c r="S10" s="547" t="s">
        <v>1216</v>
      </c>
      <c r="T10" s="548">
        <v>329.64</v>
      </c>
      <c r="U10" s="547">
        <v>539.53</v>
      </c>
      <c r="V10" s="547">
        <v>21.08</v>
      </c>
      <c r="W10" s="547"/>
      <c r="X10" s="547"/>
      <c r="Y10" s="2092"/>
      <c r="Z10" s="564">
        <f t="shared" si="0"/>
        <v>1.5106839999999999</v>
      </c>
      <c r="AA10" s="547"/>
      <c r="AB10" s="547"/>
      <c r="AC10" s="547"/>
      <c r="AD10" s="616" t="s">
        <v>1580</v>
      </c>
      <c r="AE10" s="547" t="s">
        <v>1735</v>
      </c>
      <c r="AF10" s="547"/>
      <c r="AG10" s="547"/>
      <c r="AH10" s="547"/>
      <c r="AI10" s="547"/>
      <c r="AJ10" s="773"/>
      <c r="AK10" s="773"/>
      <c r="AL10" s="773"/>
      <c r="AM10" s="565" t="s">
        <v>1666</v>
      </c>
    </row>
    <row r="11" spans="1:39" s="683" customFormat="1" ht="15.75">
      <c r="A11" s="566">
        <f t="shared" si="1"/>
        <v>9</v>
      </c>
      <c r="B11" s="545" t="s">
        <v>1447</v>
      </c>
      <c r="C11" s="547" t="s">
        <v>29</v>
      </c>
      <c r="D11" s="545" t="s">
        <v>1455</v>
      </c>
      <c r="E11" s="545" t="s">
        <v>1467</v>
      </c>
      <c r="F11" s="545" t="s">
        <v>1473</v>
      </c>
      <c r="G11" s="547" t="s">
        <v>1475</v>
      </c>
      <c r="H11" s="545">
        <v>28000</v>
      </c>
      <c r="I11" s="548" t="s">
        <v>34</v>
      </c>
      <c r="J11" s="548" t="s">
        <v>34</v>
      </c>
      <c r="K11" s="547"/>
      <c r="L11" s="547" t="s">
        <v>35</v>
      </c>
      <c r="M11" s="547" t="s">
        <v>36</v>
      </c>
      <c r="N11" s="567">
        <v>44337</v>
      </c>
      <c r="O11" s="548" t="s">
        <v>1564</v>
      </c>
      <c r="P11" s="548" t="s">
        <v>1565</v>
      </c>
      <c r="Q11" s="547"/>
      <c r="R11" s="547"/>
      <c r="S11" s="547" t="s">
        <v>1216</v>
      </c>
      <c r="T11" s="548">
        <v>329.64</v>
      </c>
      <c r="U11" s="547">
        <v>539.53</v>
      </c>
      <c r="V11" s="547">
        <v>21.08</v>
      </c>
      <c r="W11" s="547"/>
      <c r="X11" s="547"/>
      <c r="Y11" s="2092"/>
      <c r="Z11" s="564">
        <f t="shared" si="0"/>
        <v>1.5106839999999999</v>
      </c>
      <c r="AA11" s="547"/>
      <c r="AB11" s="547"/>
      <c r="AC11" s="547"/>
      <c r="AD11" s="616" t="s">
        <v>1580</v>
      </c>
      <c r="AE11" s="547" t="s">
        <v>1735</v>
      </c>
      <c r="AF11" s="547"/>
      <c r="AG11" s="547"/>
      <c r="AH11" s="547"/>
      <c r="AI11" s="547"/>
      <c r="AJ11" s="773"/>
      <c r="AK11" s="773"/>
      <c r="AL11" s="773"/>
      <c r="AM11" s="565" t="s">
        <v>1666</v>
      </c>
    </row>
    <row r="12" spans="1:39" s="683" customFormat="1" ht="15.75">
      <c r="A12" s="566">
        <f t="shared" si="1"/>
        <v>10</v>
      </c>
      <c r="B12" s="545" t="s">
        <v>1447</v>
      </c>
      <c r="C12" s="547" t="s">
        <v>29</v>
      </c>
      <c r="D12" s="545" t="s">
        <v>1456</v>
      </c>
      <c r="E12" s="545" t="s">
        <v>1468</v>
      </c>
      <c r="F12" s="545" t="s">
        <v>1473</v>
      </c>
      <c r="G12" s="547" t="s">
        <v>1475</v>
      </c>
      <c r="H12" s="545">
        <v>28000</v>
      </c>
      <c r="I12" s="548" t="s">
        <v>34</v>
      </c>
      <c r="J12" s="548" t="s">
        <v>34</v>
      </c>
      <c r="K12" s="547"/>
      <c r="L12" s="547" t="s">
        <v>35</v>
      </c>
      <c r="M12" s="547" t="s">
        <v>36</v>
      </c>
      <c r="N12" s="567">
        <v>44337</v>
      </c>
      <c r="O12" s="548" t="s">
        <v>1564</v>
      </c>
      <c r="P12" s="548" t="s">
        <v>1565</v>
      </c>
      <c r="Q12" s="547"/>
      <c r="R12" s="547"/>
      <c r="S12" s="547" t="s">
        <v>1216</v>
      </c>
      <c r="T12" s="548">
        <v>329.64</v>
      </c>
      <c r="U12" s="547">
        <v>539.53</v>
      </c>
      <c r="V12" s="547">
        <v>21.08</v>
      </c>
      <c r="W12" s="547"/>
      <c r="X12" s="547"/>
      <c r="Y12" s="2092"/>
      <c r="Z12" s="564">
        <f t="shared" si="0"/>
        <v>1.5106839999999999</v>
      </c>
      <c r="AA12" s="547"/>
      <c r="AB12" s="547"/>
      <c r="AC12" s="547"/>
      <c r="AD12" s="616" t="s">
        <v>1580</v>
      </c>
      <c r="AE12" s="547" t="s">
        <v>1735</v>
      </c>
      <c r="AF12" s="547"/>
      <c r="AG12" s="547"/>
      <c r="AH12" s="547"/>
      <c r="AI12" s="547"/>
      <c r="AJ12" s="773"/>
      <c r="AK12" s="773"/>
      <c r="AL12" s="773"/>
      <c r="AM12" s="565" t="s">
        <v>1666</v>
      </c>
    </row>
    <row r="13" spans="1:39" s="683" customFormat="1" ht="15.75">
      <c r="A13" s="566">
        <f t="shared" si="1"/>
        <v>11</v>
      </c>
      <c r="B13" s="545" t="s">
        <v>1447</v>
      </c>
      <c r="C13" s="547" t="s">
        <v>29</v>
      </c>
      <c r="D13" s="545" t="s">
        <v>1457</v>
      </c>
      <c r="E13" s="545" t="s">
        <v>1469</v>
      </c>
      <c r="F13" s="545" t="s">
        <v>1473</v>
      </c>
      <c r="G13" s="547" t="s">
        <v>1475</v>
      </c>
      <c r="H13" s="545">
        <v>28000</v>
      </c>
      <c r="I13" s="548" t="s">
        <v>34</v>
      </c>
      <c r="J13" s="548" t="s">
        <v>34</v>
      </c>
      <c r="K13" s="547"/>
      <c r="L13" s="547" t="s">
        <v>35</v>
      </c>
      <c r="M13" s="547" t="s">
        <v>36</v>
      </c>
      <c r="N13" s="567">
        <v>44337</v>
      </c>
      <c r="O13" s="548" t="s">
        <v>1564</v>
      </c>
      <c r="P13" s="548" t="s">
        <v>1565</v>
      </c>
      <c r="Q13" s="547"/>
      <c r="R13" s="547"/>
      <c r="S13" s="547" t="s">
        <v>1216</v>
      </c>
      <c r="T13" s="548">
        <v>329.64</v>
      </c>
      <c r="U13" s="547">
        <v>539.53</v>
      </c>
      <c r="V13" s="547">
        <v>21.08</v>
      </c>
      <c r="W13" s="547"/>
      <c r="X13" s="547"/>
      <c r="Y13" s="2092"/>
      <c r="Z13" s="564">
        <f t="shared" si="0"/>
        <v>1.5106839999999999</v>
      </c>
      <c r="AA13" s="547"/>
      <c r="AB13" s="547"/>
      <c r="AC13" s="547"/>
      <c r="AD13" s="616" t="s">
        <v>1580</v>
      </c>
      <c r="AE13" s="547" t="s">
        <v>1735</v>
      </c>
      <c r="AF13" s="547"/>
      <c r="AG13" s="547"/>
      <c r="AH13" s="547"/>
      <c r="AI13" s="547"/>
      <c r="AJ13" s="773"/>
      <c r="AK13" s="773"/>
      <c r="AL13" s="773"/>
      <c r="AM13" s="565" t="s">
        <v>1666</v>
      </c>
    </row>
    <row r="14" spans="1:39" s="683" customFormat="1" ht="15.75">
      <c r="A14" s="566">
        <f t="shared" si="1"/>
        <v>12</v>
      </c>
      <c r="B14" s="545" t="s">
        <v>1447</v>
      </c>
      <c r="C14" s="547" t="s">
        <v>29</v>
      </c>
      <c r="D14" s="545" t="s">
        <v>1458</v>
      </c>
      <c r="E14" s="545" t="s">
        <v>1470</v>
      </c>
      <c r="F14" s="545" t="s">
        <v>1474</v>
      </c>
      <c r="G14" s="547" t="s">
        <v>1475</v>
      </c>
      <c r="H14" s="545">
        <v>42000</v>
      </c>
      <c r="I14" s="548" t="s">
        <v>34</v>
      </c>
      <c r="J14" s="548" t="s">
        <v>34</v>
      </c>
      <c r="K14" s="547"/>
      <c r="L14" s="547" t="s">
        <v>35</v>
      </c>
      <c r="M14" s="547" t="s">
        <v>36</v>
      </c>
      <c r="N14" s="567">
        <v>44337</v>
      </c>
      <c r="O14" s="548" t="s">
        <v>1564</v>
      </c>
      <c r="P14" s="548" t="s">
        <v>1565</v>
      </c>
      <c r="Q14" s="547"/>
      <c r="R14" s="547"/>
      <c r="S14" s="547" t="s">
        <v>1216</v>
      </c>
      <c r="T14" s="548">
        <v>475.34</v>
      </c>
      <c r="U14" s="547">
        <v>763.66</v>
      </c>
      <c r="V14" s="547">
        <v>31.29</v>
      </c>
      <c r="W14" s="547"/>
      <c r="X14" s="547"/>
      <c r="Y14" s="2092"/>
      <c r="Z14" s="564">
        <f t="shared" si="0"/>
        <v>3.2073719999999999</v>
      </c>
      <c r="AA14" s="547"/>
      <c r="AB14" s="547"/>
      <c r="AC14" s="547"/>
      <c r="AD14" s="616" t="s">
        <v>1580</v>
      </c>
      <c r="AE14" s="547" t="s">
        <v>1735</v>
      </c>
      <c r="AF14" s="547"/>
      <c r="AG14" s="547"/>
      <c r="AH14" s="547"/>
      <c r="AI14" s="547"/>
      <c r="AJ14" s="773"/>
      <c r="AK14" s="773"/>
      <c r="AL14" s="773"/>
      <c r="AM14" s="565" t="s">
        <v>1666</v>
      </c>
    </row>
    <row r="15" spans="1:39" s="683" customFormat="1" ht="15.75">
      <c r="A15" s="566">
        <f t="shared" si="1"/>
        <v>13</v>
      </c>
      <c r="B15" s="545" t="s">
        <v>1030</v>
      </c>
      <c r="C15" s="547" t="s">
        <v>29</v>
      </c>
      <c r="D15" s="545" t="s">
        <v>1477</v>
      </c>
      <c r="E15" s="545" t="s">
        <v>1478</v>
      </c>
      <c r="F15" s="545" t="s">
        <v>1497</v>
      </c>
      <c r="G15" s="547" t="s">
        <v>300</v>
      </c>
      <c r="H15" s="545">
        <v>75000</v>
      </c>
      <c r="I15" s="548" t="s">
        <v>34</v>
      </c>
      <c r="J15" s="548" t="s">
        <v>34</v>
      </c>
      <c r="K15" s="547"/>
      <c r="L15" s="547" t="s">
        <v>35</v>
      </c>
      <c r="M15" s="547" t="s">
        <v>36</v>
      </c>
      <c r="N15" s="567">
        <v>44372</v>
      </c>
      <c r="O15" s="547" t="s">
        <v>1566</v>
      </c>
      <c r="P15" s="547" t="s">
        <v>1566</v>
      </c>
      <c r="Q15" s="547"/>
      <c r="R15" s="547"/>
      <c r="S15" s="547" t="s">
        <v>1216</v>
      </c>
      <c r="T15" s="548">
        <v>53.89</v>
      </c>
      <c r="U15" s="547">
        <v>89.19</v>
      </c>
      <c r="V15" s="547">
        <v>5.97</v>
      </c>
      <c r="W15" s="547">
        <v>21.06</v>
      </c>
      <c r="X15" s="547">
        <v>9</v>
      </c>
      <c r="Y15" s="547">
        <v>11.81</v>
      </c>
      <c r="Z15" s="564">
        <f t="shared" si="0"/>
        <v>0.66892499999999999</v>
      </c>
      <c r="AA15" s="568">
        <v>5.0000000000000001E-3</v>
      </c>
      <c r="AB15" s="569">
        <v>5.0000000000000001E-3</v>
      </c>
      <c r="AC15" s="569">
        <v>5.0000000000000001E-3</v>
      </c>
      <c r="AD15" s="616" t="s">
        <v>1580</v>
      </c>
      <c r="AE15" s="547"/>
      <c r="AF15" s="547"/>
      <c r="AG15" s="547"/>
      <c r="AH15" s="547"/>
      <c r="AI15" s="547"/>
      <c r="AJ15" s="773"/>
      <c r="AK15" s="773"/>
      <c r="AL15" s="773"/>
      <c r="AM15" s="570" t="s">
        <v>1668</v>
      </c>
    </row>
    <row r="16" spans="1:39" s="683" customFormat="1" ht="15.75">
      <c r="A16" s="571">
        <f t="shared" si="1"/>
        <v>14</v>
      </c>
      <c r="B16" s="546" t="s">
        <v>1030</v>
      </c>
      <c r="C16" s="572" t="s">
        <v>29</v>
      </c>
      <c r="D16" s="546" t="s">
        <v>1479</v>
      </c>
      <c r="E16" s="546" t="s">
        <v>1480</v>
      </c>
      <c r="F16" s="546" t="s">
        <v>1498</v>
      </c>
      <c r="G16" s="572" t="s">
        <v>300</v>
      </c>
      <c r="H16" s="546">
        <v>75000</v>
      </c>
      <c r="I16" s="572" t="s">
        <v>34</v>
      </c>
      <c r="J16" s="572" t="s">
        <v>34</v>
      </c>
      <c r="K16" s="572"/>
      <c r="L16" s="572" t="s">
        <v>35</v>
      </c>
      <c r="M16" s="572" t="s">
        <v>36</v>
      </c>
      <c r="N16" s="573">
        <v>44372</v>
      </c>
      <c r="O16" s="572" t="s">
        <v>1566</v>
      </c>
      <c r="P16" s="572" t="s">
        <v>1566</v>
      </c>
      <c r="Q16" s="572"/>
      <c r="R16" s="572"/>
      <c r="S16" s="572" t="s">
        <v>1216</v>
      </c>
      <c r="T16" s="572">
        <v>63.73</v>
      </c>
      <c r="U16" s="572">
        <v>101</v>
      </c>
      <c r="V16" s="572">
        <v>5.16</v>
      </c>
      <c r="W16" s="572">
        <v>19.47</v>
      </c>
      <c r="X16" s="572">
        <v>1.5</v>
      </c>
      <c r="Y16" s="572">
        <v>14.49</v>
      </c>
      <c r="Z16" s="574">
        <f t="shared" si="0"/>
        <v>0.75749999999999995</v>
      </c>
      <c r="AA16" s="575">
        <v>5.0000000000000001E-3</v>
      </c>
      <c r="AB16" s="575">
        <v>5.0000000000000001E-3</v>
      </c>
      <c r="AC16" s="575">
        <v>5.0000000000000001E-3</v>
      </c>
      <c r="AD16" s="635" t="s">
        <v>1567</v>
      </c>
      <c r="AE16" s="572"/>
      <c r="AF16" s="572">
        <v>97.97</v>
      </c>
      <c r="AG16" s="2114">
        <f>15.16+12.84+1.5+1</f>
        <v>30.5</v>
      </c>
      <c r="AH16" s="2114"/>
      <c r="AI16" s="2114"/>
      <c r="AJ16" s="774"/>
      <c r="AK16" s="774"/>
      <c r="AL16" s="774"/>
      <c r="AM16" s="576" t="s">
        <v>1668</v>
      </c>
    </row>
    <row r="17" spans="1:39" s="683" customFormat="1" ht="15.75">
      <c r="A17" s="566">
        <f t="shared" si="1"/>
        <v>15</v>
      </c>
      <c r="B17" s="545" t="s">
        <v>1030</v>
      </c>
      <c r="C17" s="547" t="s">
        <v>29</v>
      </c>
      <c r="D17" s="545" t="s">
        <v>1481</v>
      </c>
      <c r="E17" s="545" t="s">
        <v>1482</v>
      </c>
      <c r="F17" s="545" t="s">
        <v>1499</v>
      </c>
      <c r="G17" s="547" t="s">
        <v>300</v>
      </c>
      <c r="H17" s="545">
        <v>75000</v>
      </c>
      <c r="I17" s="548" t="s">
        <v>34</v>
      </c>
      <c r="J17" s="548" t="s">
        <v>34</v>
      </c>
      <c r="K17" s="547"/>
      <c r="L17" s="547" t="s">
        <v>35</v>
      </c>
      <c r="M17" s="547" t="s">
        <v>36</v>
      </c>
      <c r="N17" s="567">
        <v>44372</v>
      </c>
      <c r="O17" s="547" t="s">
        <v>1566</v>
      </c>
      <c r="P17" s="547" t="s">
        <v>1566</v>
      </c>
      <c r="Q17" s="547"/>
      <c r="R17" s="547"/>
      <c r="S17" s="547" t="s">
        <v>1216</v>
      </c>
      <c r="T17" s="548">
        <v>58.63</v>
      </c>
      <c r="U17" s="547">
        <v>172.62</v>
      </c>
      <c r="V17" s="547">
        <v>22.14</v>
      </c>
      <c r="W17" s="547">
        <v>29.61</v>
      </c>
      <c r="X17" s="547">
        <v>46.5</v>
      </c>
      <c r="Y17" s="547">
        <v>16.22</v>
      </c>
      <c r="Z17" s="564">
        <f t="shared" si="0"/>
        <v>1.2946500000000001</v>
      </c>
      <c r="AA17" s="568">
        <v>0.01</v>
      </c>
      <c r="AB17" s="568">
        <v>0.01</v>
      </c>
      <c r="AC17" s="568">
        <v>0.01</v>
      </c>
      <c r="AD17" s="616" t="s">
        <v>1580</v>
      </c>
      <c r="AE17" s="547"/>
      <c r="AF17" s="547"/>
      <c r="AG17" s="547"/>
      <c r="AH17" s="547"/>
      <c r="AI17" s="547"/>
      <c r="AJ17" s="773"/>
      <c r="AK17" s="773"/>
      <c r="AL17" s="773"/>
      <c r="AM17" s="570" t="s">
        <v>1668</v>
      </c>
    </row>
    <row r="18" spans="1:39" s="683" customFormat="1" ht="15.75">
      <c r="A18" s="566">
        <f t="shared" si="1"/>
        <v>16</v>
      </c>
      <c r="B18" s="545" t="s">
        <v>1030</v>
      </c>
      <c r="C18" s="547" t="s">
        <v>29</v>
      </c>
      <c r="D18" s="545" t="s">
        <v>1483</v>
      </c>
      <c r="E18" s="545" t="s">
        <v>1484</v>
      </c>
      <c r="F18" s="545" t="s">
        <v>1500</v>
      </c>
      <c r="G18" s="547" t="s">
        <v>300</v>
      </c>
      <c r="H18" s="545">
        <v>75000</v>
      </c>
      <c r="I18" s="548" t="s">
        <v>34</v>
      </c>
      <c r="J18" s="548" t="s">
        <v>34</v>
      </c>
      <c r="K18" s="547"/>
      <c r="L18" s="547" t="s">
        <v>35</v>
      </c>
      <c r="M18" s="547" t="s">
        <v>36</v>
      </c>
      <c r="N18" s="567">
        <v>44372</v>
      </c>
      <c r="O18" s="547" t="s">
        <v>1566</v>
      </c>
      <c r="P18" s="547" t="s">
        <v>1566</v>
      </c>
      <c r="Q18" s="547"/>
      <c r="R18" s="547"/>
      <c r="S18" s="547" t="s">
        <v>1216</v>
      </c>
      <c r="T18" s="548">
        <v>58.24</v>
      </c>
      <c r="U18" s="547">
        <v>155.72</v>
      </c>
      <c r="V18" s="547">
        <v>18.850000000000001</v>
      </c>
      <c r="W18" s="547">
        <v>29.61</v>
      </c>
      <c r="X18" s="547">
        <v>30</v>
      </c>
      <c r="Y18" s="547">
        <v>16.18</v>
      </c>
      <c r="Z18" s="564">
        <f t="shared" si="0"/>
        <v>1.1678999999999999</v>
      </c>
      <c r="AA18" s="568">
        <v>0.01</v>
      </c>
      <c r="AB18" s="568">
        <v>0.01</v>
      </c>
      <c r="AC18" s="568">
        <v>0.01</v>
      </c>
      <c r="AD18" s="616" t="s">
        <v>1580</v>
      </c>
      <c r="AE18" s="547"/>
      <c r="AF18" s="547"/>
      <c r="AG18" s="547"/>
      <c r="AH18" s="547"/>
      <c r="AI18" s="547"/>
      <c r="AJ18" s="773"/>
      <c r="AK18" s="773"/>
      <c r="AL18" s="773"/>
      <c r="AM18" s="570" t="s">
        <v>1668</v>
      </c>
    </row>
    <row r="19" spans="1:39" s="683" customFormat="1" ht="15.75">
      <c r="A19" s="566">
        <f t="shared" si="1"/>
        <v>17</v>
      </c>
      <c r="B19" s="545" t="s">
        <v>1030</v>
      </c>
      <c r="C19" s="547" t="s">
        <v>29</v>
      </c>
      <c r="D19" s="545" t="s">
        <v>1485</v>
      </c>
      <c r="E19" s="545" t="s">
        <v>1486</v>
      </c>
      <c r="F19" s="545" t="s">
        <v>1501</v>
      </c>
      <c r="G19" s="547" t="s">
        <v>300</v>
      </c>
      <c r="H19" s="545">
        <v>75000</v>
      </c>
      <c r="I19" s="548" t="s">
        <v>34</v>
      </c>
      <c r="J19" s="548" t="s">
        <v>34</v>
      </c>
      <c r="K19" s="547"/>
      <c r="L19" s="547" t="s">
        <v>35</v>
      </c>
      <c r="M19" s="547" t="s">
        <v>36</v>
      </c>
      <c r="N19" s="567">
        <v>44372</v>
      </c>
      <c r="O19" s="547" t="s">
        <v>1566</v>
      </c>
      <c r="P19" s="547" t="s">
        <v>1566</v>
      </c>
      <c r="Q19" s="547"/>
      <c r="R19" s="547"/>
      <c r="S19" s="547" t="s">
        <v>1216</v>
      </c>
      <c r="T19" s="548">
        <v>77.67</v>
      </c>
      <c r="U19" s="547">
        <v>158.27000000000001</v>
      </c>
      <c r="V19" s="547">
        <v>13.86</v>
      </c>
      <c r="W19" s="547">
        <v>27.82</v>
      </c>
      <c r="X19" s="547">
        <v>27</v>
      </c>
      <c r="Y19" s="547">
        <v>17.87</v>
      </c>
      <c r="Z19" s="564">
        <f t="shared" si="0"/>
        <v>1.187025</v>
      </c>
      <c r="AA19" s="568">
        <v>0.01</v>
      </c>
      <c r="AB19" s="568">
        <v>0.01</v>
      </c>
      <c r="AC19" s="568">
        <v>0.01</v>
      </c>
      <c r="AD19" s="616" t="s">
        <v>1580</v>
      </c>
      <c r="AE19" s="547"/>
      <c r="AF19" s="547"/>
      <c r="AG19" s="547"/>
      <c r="AH19" s="547"/>
      <c r="AI19" s="547"/>
      <c r="AJ19" s="773"/>
      <c r="AK19" s="773"/>
      <c r="AL19" s="773"/>
      <c r="AM19" s="570" t="s">
        <v>1668</v>
      </c>
    </row>
    <row r="20" spans="1:39" s="683" customFormat="1" ht="15.75">
      <c r="A20" s="562">
        <f t="shared" si="1"/>
        <v>18</v>
      </c>
      <c r="B20" s="544" t="s">
        <v>439</v>
      </c>
      <c r="C20" s="548" t="s">
        <v>29</v>
      </c>
      <c r="D20" s="544" t="s">
        <v>1487</v>
      </c>
      <c r="E20" s="544" t="s">
        <v>1488</v>
      </c>
      <c r="F20" s="544" t="s">
        <v>1502</v>
      </c>
      <c r="G20" s="548" t="s">
        <v>1475</v>
      </c>
      <c r="H20" s="544">
        <v>121917</v>
      </c>
      <c r="I20" s="548" t="s">
        <v>34</v>
      </c>
      <c r="J20" s="548" t="s">
        <v>34</v>
      </c>
      <c r="K20" s="548"/>
      <c r="L20" s="548" t="s">
        <v>35</v>
      </c>
      <c r="M20" s="548" t="s">
        <v>36</v>
      </c>
      <c r="N20" s="563">
        <v>44362</v>
      </c>
      <c r="O20" s="548" t="s">
        <v>1517</v>
      </c>
      <c r="P20" s="548" t="s">
        <v>1529</v>
      </c>
      <c r="Q20" s="548" t="s">
        <v>1518</v>
      </c>
      <c r="R20" s="548" t="s">
        <v>1519</v>
      </c>
      <c r="S20" s="547" t="s">
        <v>1216</v>
      </c>
      <c r="T20" s="548">
        <v>243.82</v>
      </c>
      <c r="U20" s="548">
        <v>408.96</v>
      </c>
      <c r="V20" s="548">
        <v>33.56</v>
      </c>
      <c r="W20" s="548">
        <v>3.49</v>
      </c>
      <c r="X20" s="548">
        <f>7.55+36</f>
        <v>43.55</v>
      </c>
      <c r="Y20" s="548">
        <v>3.49</v>
      </c>
      <c r="Z20" s="564">
        <f t="shared" si="0"/>
        <v>4.9859176319999996</v>
      </c>
      <c r="AA20" s="548"/>
      <c r="AB20" s="548"/>
      <c r="AC20" s="548"/>
      <c r="AD20" s="616" t="s">
        <v>1580</v>
      </c>
      <c r="AE20" s="547"/>
      <c r="AF20" s="548"/>
      <c r="AG20" s="548"/>
      <c r="AH20" s="548"/>
      <c r="AI20" s="548"/>
      <c r="AJ20" s="772"/>
      <c r="AK20" s="772"/>
      <c r="AL20" s="772"/>
      <c r="AM20" s="565" t="s">
        <v>1670</v>
      </c>
    </row>
    <row r="21" spans="1:39" s="683" customFormat="1" ht="15.75">
      <c r="A21" s="562">
        <f t="shared" si="1"/>
        <v>19</v>
      </c>
      <c r="B21" s="544" t="s">
        <v>439</v>
      </c>
      <c r="C21" s="548" t="s">
        <v>29</v>
      </c>
      <c r="D21" s="544" t="s">
        <v>1489</v>
      </c>
      <c r="E21" s="544" t="s">
        <v>1490</v>
      </c>
      <c r="F21" s="544" t="s">
        <v>1503</v>
      </c>
      <c r="G21" s="548" t="s">
        <v>1475</v>
      </c>
      <c r="H21" s="544">
        <v>121917</v>
      </c>
      <c r="I21" s="548" t="s">
        <v>34</v>
      </c>
      <c r="J21" s="548" t="s">
        <v>34</v>
      </c>
      <c r="K21" s="548"/>
      <c r="L21" s="548" t="s">
        <v>35</v>
      </c>
      <c r="M21" s="548" t="s">
        <v>36</v>
      </c>
      <c r="N21" s="563">
        <v>44362</v>
      </c>
      <c r="O21" s="548" t="s">
        <v>1517</v>
      </c>
      <c r="P21" s="548" t="s">
        <v>1529</v>
      </c>
      <c r="Q21" s="548" t="s">
        <v>1518</v>
      </c>
      <c r="R21" s="548" t="s">
        <v>1519</v>
      </c>
      <c r="S21" s="547" t="s">
        <v>1216</v>
      </c>
      <c r="T21" s="548">
        <v>243.41</v>
      </c>
      <c r="U21" s="548">
        <v>421.4</v>
      </c>
      <c r="V21" s="548">
        <v>33.89</v>
      </c>
      <c r="W21" s="548">
        <v>3.49</v>
      </c>
      <c r="X21" s="548">
        <v>43.55</v>
      </c>
      <c r="Y21" s="548">
        <v>3.49</v>
      </c>
      <c r="Z21" s="564">
        <f t="shared" si="0"/>
        <v>5.1375823799999996</v>
      </c>
      <c r="AA21" s="548"/>
      <c r="AB21" s="548"/>
      <c r="AC21" s="548"/>
      <c r="AD21" s="616" t="s">
        <v>1580</v>
      </c>
      <c r="AE21" s="547"/>
      <c r="AF21" s="548"/>
      <c r="AG21" s="548"/>
      <c r="AH21" s="548"/>
      <c r="AI21" s="548"/>
      <c r="AJ21" s="772"/>
      <c r="AK21" s="772"/>
      <c r="AL21" s="772"/>
      <c r="AM21" s="565" t="s">
        <v>1670</v>
      </c>
    </row>
    <row r="22" spans="1:39" s="683" customFormat="1" ht="15.75">
      <c r="A22" s="562">
        <f t="shared" si="1"/>
        <v>20</v>
      </c>
      <c r="B22" s="544" t="s">
        <v>439</v>
      </c>
      <c r="C22" s="548" t="s">
        <v>29</v>
      </c>
      <c r="D22" s="544" t="s">
        <v>1491</v>
      </c>
      <c r="E22" s="544" t="s">
        <v>1492</v>
      </c>
      <c r="F22" s="544" t="s">
        <v>1502</v>
      </c>
      <c r="G22" s="548" t="s">
        <v>1475</v>
      </c>
      <c r="H22" s="544">
        <v>121917</v>
      </c>
      <c r="I22" s="548" t="s">
        <v>34</v>
      </c>
      <c r="J22" s="548" t="s">
        <v>34</v>
      </c>
      <c r="K22" s="548"/>
      <c r="L22" s="548" t="s">
        <v>35</v>
      </c>
      <c r="M22" s="548" t="s">
        <v>36</v>
      </c>
      <c r="N22" s="563">
        <v>44362</v>
      </c>
      <c r="O22" s="548" t="s">
        <v>1517</v>
      </c>
      <c r="P22" s="548" t="s">
        <v>1529</v>
      </c>
      <c r="Q22" s="548" t="s">
        <v>1518</v>
      </c>
      <c r="R22" s="548" t="s">
        <v>1519</v>
      </c>
      <c r="S22" s="547" t="s">
        <v>1216</v>
      </c>
      <c r="T22" s="548">
        <v>237.58</v>
      </c>
      <c r="U22" s="548">
        <v>401.86</v>
      </c>
      <c r="V22" s="548">
        <v>33.33</v>
      </c>
      <c r="W22" s="548">
        <v>3.49</v>
      </c>
      <c r="X22" s="548">
        <v>43.55</v>
      </c>
      <c r="Y22" s="548">
        <v>3.49</v>
      </c>
      <c r="Z22" s="564">
        <f t="shared" si="0"/>
        <v>4.8993565620000004</v>
      </c>
      <c r="AA22" s="548"/>
      <c r="AB22" s="548"/>
      <c r="AC22" s="548"/>
      <c r="AD22" s="616" t="s">
        <v>1580</v>
      </c>
      <c r="AE22" s="547"/>
      <c r="AF22" s="548"/>
      <c r="AG22" s="548"/>
      <c r="AH22" s="548"/>
      <c r="AI22" s="548"/>
      <c r="AJ22" s="772"/>
      <c r="AK22" s="772"/>
      <c r="AL22" s="772"/>
      <c r="AM22" s="565" t="s">
        <v>1670</v>
      </c>
    </row>
    <row r="23" spans="1:39" s="683" customFormat="1" ht="15.75">
      <c r="A23" s="562">
        <f t="shared" si="1"/>
        <v>21</v>
      </c>
      <c r="B23" s="544" t="s">
        <v>439</v>
      </c>
      <c r="C23" s="548" t="s">
        <v>29</v>
      </c>
      <c r="D23" s="544" t="s">
        <v>1493</v>
      </c>
      <c r="E23" s="544" t="s">
        <v>1494</v>
      </c>
      <c r="F23" s="544" t="s">
        <v>1504</v>
      </c>
      <c r="G23" s="548" t="s">
        <v>1475</v>
      </c>
      <c r="H23" s="544">
        <v>121917</v>
      </c>
      <c r="I23" s="548" t="s">
        <v>34</v>
      </c>
      <c r="J23" s="548" t="s">
        <v>34</v>
      </c>
      <c r="K23" s="548"/>
      <c r="L23" s="548" t="s">
        <v>35</v>
      </c>
      <c r="M23" s="548" t="s">
        <v>36</v>
      </c>
      <c r="N23" s="563">
        <v>44362</v>
      </c>
      <c r="O23" s="548" t="s">
        <v>1517</v>
      </c>
      <c r="P23" s="548" t="s">
        <v>1529</v>
      </c>
      <c r="Q23" s="548" t="s">
        <v>1518</v>
      </c>
      <c r="R23" s="548" t="s">
        <v>1519</v>
      </c>
      <c r="S23" s="547" t="s">
        <v>1216</v>
      </c>
      <c r="T23" s="548">
        <v>237.58</v>
      </c>
      <c r="U23" s="548">
        <v>413.52</v>
      </c>
      <c r="V23" s="548">
        <v>33.78</v>
      </c>
      <c r="W23" s="548">
        <v>3.49</v>
      </c>
      <c r="X23" s="548">
        <v>43.55</v>
      </c>
      <c r="Y23" s="548">
        <v>3.49</v>
      </c>
      <c r="Z23" s="564">
        <f t="shared" si="0"/>
        <v>5.0415117839999999</v>
      </c>
      <c r="AA23" s="548"/>
      <c r="AB23" s="548"/>
      <c r="AC23" s="548"/>
      <c r="AD23" s="616" t="s">
        <v>1580</v>
      </c>
      <c r="AE23" s="547"/>
      <c r="AF23" s="548"/>
      <c r="AG23" s="548"/>
      <c r="AH23" s="548"/>
      <c r="AI23" s="548"/>
      <c r="AJ23" s="772"/>
      <c r="AK23" s="772"/>
      <c r="AL23" s="772"/>
      <c r="AM23" s="565" t="s">
        <v>1670</v>
      </c>
    </row>
    <row r="24" spans="1:39" s="683" customFormat="1" ht="15.75">
      <c r="A24" s="566">
        <f t="shared" si="1"/>
        <v>22</v>
      </c>
      <c r="B24" s="545" t="s">
        <v>1476</v>
      </c>
      <c r="C24" s="547" t="s">
        <v>29</v>
      </c>
      <c r="D24" s="545" t="s">
        <v>1495</v>
      </c>
      <c r="E24" s="545" t="s">
        <v>1496</v>
      </c>
      <c r="F24" s="545" t="s">
        <v>1505</v>
      </c>
      <c r="G24" s="547" t="s">
        <v>1475</v>
      </c>
      <c r="H24" s="545">
        <v>6200</v>
      </c>
      <c r="I24" s="547" t="s">
        <v>34</v>
      </c>
      <c r="J24" s="547" t="s">
        <v>34</v>
      </c>
      <c r="K24" s="547"/>
      <c r="L24" s="547" t="s">
        <v>35</v>
      </c>
      <c r="M24" s="547" t="s">
        <v>36</v>
      </c>
      <c r="N24" s="567">
        <v>44362</v>
      </c>
      <c r="O24" s="547" t="s">
        <v>1517</v>
      </c>
      <c r="P24" s="547" t="s">
        <v>1517</v>
      </c>
      <c r="Q24" s="547" t="s">
        <v>1518</v>
      </c>
      <c r="R24" s="547" t="s">
        <v>1519</v>
      </c>
      <c r="S24" s="547" t="s">
        <v>1216</v>
      </c>
      <c r="T24" s="548">
        <v>188.74</v>
      </c>
      <c r="U24" s="547">
        <v>294.48</v>
      </c>
      <c r="V24" s="547">
        <v>23.3</v>
      </c>
      <c r="W24" s="547"/>
      <c r="X24" s="547"/>
      <c r="Y24" s="547">
        <v>7.87</v>
      </c>
      <c r="Z24" s="564">
        <f t="shared" si="0"/>
        <v>0.18257760000000001</v>
      </c>
      <c r="AA24" s="547"/>
      <c r="AB24" s="547"/>
      <c r="AC24" s="547"/>
      <c r="AD24" s="616" t="s">
        <v>1580</v>
      </c>
      <c r="AE24" s="547"/>
      <c r="AF24" s="547"/>
      <c r="AG24" s="547"/>
      <c r="AH24" s="547"/>
      <c r="AI24" s="547"/>
      <c r="AJ24" s="773"/>
      <c r="AK24" s="773"/>
      <c r="AL24" s="773"/>
      <c r="AM24" s="577"/>
    </row>
    <row r="25" spans="1:39" s="683" customFormat="1" ht="15.75">
      <c r="A25" s="566">
        <f t="shared" si="1"/>
        <v>23</v>
      </c>
      <c r="B25" s="547" t="s">
        <v>1506</v>
      </c>
      <c r="C25" s="547" t="s">
        <v>29</v>
      </c>
      <c r="D25" s="545" t="s">
        <v>1507</v>
      </c>
      <c r="E25" s="547" t="s">
        <v>1509</v>
      </c>
      <c r="F25" s="547" t="s">
        <v>1512</v>
      </c>
      <c r="G25" s="547" t="s">
        <v>1475</v>
      </c>
      <c r="H25" s="547">
        <v>367000</v>
      </c>
      <c r="I25" s="547" t="s">
        <v>34</v>
      </c>
      <c r="J25" s="547" t="s">
        <v>34</v>
      </c>
      <c r="K25" s="547"/>
      <c r="L25" s="547" t="s">
        <v>35</v>
      </c>
      <c r="M25" s="547" t="s">
        <v>36</v>
      </c>
      <c r="N25" s="567">
        <v>44386</v>
      </c>
      <c r="O25" s="547" t="s">
        <v>1517</v>
      </c>
      <c r="P25" s="547" t="s">
        <v>1517</v>
      </c>
      <c r="Q25" s="547" t="s">
        <v>1515</v>
      </c>
      <c r="R25" s="547" t="s">
        <v>1516</v>
      </c>
      <c r="S25" s="547" t="s">
        <v>1216</v>
      </c>
      <c r="T25" s="548">
        <v>282.04000000000002</v>
      </c>
      <c r="U25" s="547">
        <v>376.59</v>
      </c>
      <c r="V25" s="547">
        <v>20.309999999999999</v>
      </c>
      <c r="W25" s="547"/>
      <c r="X25" s="547"/>
      <c r="Y25" s="547">
        <v>7.13</v>
      </c>
      <c r="Z25" s="564">
        <f t="shared" si="0"/>
        <v>13.820853</v>
      </c>
      <c r="AA25" s="547"/>
      <c r="AB25" s="547"/>
      <c r="AC25" s="547"/>
      <c r="AD25" s="616" t="s">
        <v>1580</v>
      </c>
      <c r="AE25" s="547"/>
      <c r="AF25" s="547"/>
      <c r="AG25" s="547"/>
      <c r="AH25" s="547"/>
      <c r="AI25" s="547"/>
      <c r="AJ25" s="773"/>
      <c r="AK25" s="773"/>
      <c r="AL25" s="773"/>
      <c r="AM25" s="577" t="s">
        <v>1670</v>
      </c>
    </row>
    <row r="26" spans="1:39" s="683" customFormat="1" ht="15.75">
      <c r="A26" s="566">
        <f t="shared" si="1"/>
        <v>24</v>
      </c>
      <c r="B26" s="547" t="s">
        <v>1506</v>
      </c>
      <c r="C26" s="547" t="s">
        <v>29</v>
      </c>
      <c r="D26" s="545" t="s">
        <v>1508</v>
      </c>
      <c r="E26" s="547" t="s">
        <v>1510</v>
      </c>
      <c r="F26" s="547" t="s">
        <v>1513</v>
      </c>
      <c r="G26" s="547" t="s">
        <v>1475</v>
      </c>
      <c r="H26" s="547">
        <v>367000</v>
      </c>
      <c r="I26" s="547" t="s">
        <v>34</v>
      </c>
      <c r="J26" s="547" t="s">
        <v>34</v>
      </c>
      <c r="K26" s="547"/>
      <c r="L26" s="547" t="s">
        <v>35</v>
      </c>
      <c r="M26" s="547" t="s">
        <v>36</v>
      </c>
      <c r="N26" s="567">
        <v>44386</v>
      </c>
      <c r="O26" s="547" t="s">
        <v>1517</v>
      </c>
      <c r="P26" s="547" t="s">
        <v>1517</v>
      </c>
      <c r="Q26" s="547" t="s">
        <v>1515</v>
      </c>
      <c r="R26" s="547" t="s">
        <v>1516</v>
      </c>
      <c r="S26" s="547" t="s">
        <v>1216</v>
      </c>
      <c r="T26" s="548">
        <v>282.04000000000002</v>
      </c>
      <c r="U26" s="547">
        <v>376.59</v>
      </c>
      <c r="V26" s="547">
        <v>20.309999999999999</v>
      </c>
      <c r="W26" s="547"/>
      <c r="X26" s="547"/>
      <c r="Y26" s="547">
        <v>7.13</v>
      </c>
      <c r="Z26" s="564">
        <f t="shared" si="0"/>
        <v>13.820853</v>
      </c>
      <c r="AA26" s="547"/>
      <c r="AB26" s="547"/>
      <c r="AC26" s="547"/>
      <c r="AD26" s="616" t="s">
        <v>1580</v>
      </c>
      <c r="AE26" s="547"/>
      <c r="AF26" s="547"/>
      <c r="AG26" s="547"/>
      <c r="AH26" s="547"/>
      <c r="AI26" s="547"/>
      <c r="AJ26" s="773"/>
      <c r="AK26" s="773"/>
      <c r="AL26" s="773"/>
      <c r="AM26" s="577" t="s">
        <v>1670</v>
      </c>
    </row>
    <row r="27" spans="1:39" s="683" customFormat="1" ht="15.75">
      <c r="A27" s="566">
        <f t="shared" si="1"/>
        <v>25</v>
      </c>
      <c r="B27" s="547" t="s">
        <v>1506</v>
      </c>
      <c r="C27" s="547" t="s">
        <v>29</v>
      </c>
      <c r="D27" s="545" t="s">
        <v>1508</v>
      </c>
      <c r="E27" s="547" t="s">
        <v>1511</v>
      </c>
      <c r="F27" s="547" t="s">
        <v>1514</v>
      </c>
      <c r="G27" s="547" t="s">
        <v>1475</v>
      </c>
      <c r="H27" s="547">
        <v>367000</v>
      </c>
      <c r="I27" s="547" t="s">
        <v>34</v>
      </c>
      <c r="J27" s="547" t="s">
        <v>34</v>
      </c>
      <c r="K27" s="547"/>
      <c r="L27" s="547" t="s">
        <v>35</v>
      </c>
      <c r="M27" s="547" t="s">
        <v>36</v>
      </c>
      <c r="N27" s="567">
        <v>44386</v>
      </c>
      <c r="O27" s="547" t="s">
        <v>1517</v>
      </c>
      <c r="P27" s="547" t="s">
        <v>1517</v>
      </c>
      <c r="Q27" s="547" t="s">
        <v>1515</v>
      </c>
      <c r="R27" s="547" t="s">
        <v>1516</v>
      </c>
      <c r="S27" s="547" t="s">
        <v>1216</v>
      </c>
      <c r="T27" s="548">
        <v>167.38</v>
      </c>
      <c r="U27" s="547">
        <v>245.6</v>
      </c>
      <c r="V27" s="547">
        <v>17.12</v>
      </c>
      <c r="W27" s="547"/>
      <c r="X27" s="547"/>
      <c r="Y27" s="547">
        <v>7.13</v>
      </c>
      <c r="Z27" s="564">
        <f t="shared" si="0"/>
        <v>9.0135199999999998</v>
      </c>
      <c r="AA27" s="547"/>
      <c r="AB27" s="547"/>
      <c r="AC27" s="547"/>
      <c r="AD27" s="616" t="s">
        <v>1580</v>
      </c>
      <c r="AE27" s="547"/>
      <c r="AF27" s="547"/>
      <c r="AG27" s="547"/>
      <c r="AH27" s="547"/>
      <c r="AI27" s="547"/>
      <c r="AJ27" s="773"/>
      <c r="AK27" s="773"/>
      <c r="AL27" s="773"/>
      <c r="AM27" s="577" t="s">
        <v>1670</v>
      </c>
    </row>
    <row r="28" spans="1:39" s="683" customFormat="1" ht="15.75">
      <c r="A28" s="566">
        <f t="shared" si="1"/>
        <v>26</v>
      </c>
      <c r="B28" s="548" t="s">
        <v>1030</v>
      </c>
      <c r="C28" s="548" t="s">
        <v>29</v>
      </c>
      <c r="D28" s="548" t="s">
        <v>1521</v>
      </c>
      <c r="E28" s="548" t="s">
        <v>1526</v>
      </c>
      <c r="F28" s="548" t="s">
        <v>1524</v>
      </c>
      <c r="G28" s="548" t="s">
        <v>1250</v>
      </c>
      <c r="H28" s="548">
        <v>152480</v>
      </c>
      <c r="I28" s="548" t="s">
        <v>48</v>
      </c>
      <c r="J28" s="548" t="s">
        <v>34</v>
      </c>
      <c r="K28" s="548"/>
      <c r="L28" s="548" t="s">
        <v>1047</v>
      </c>
      <c r="M28" s="548" t="s">
        <v>237</v>
      </c>
      <c r="N28" s="563">
        <v>44403</v>
      </c>
      <c r="O28" s="548" t="s">
        <v>1534</v>
      </c>
      <c r="P28" s="548" t="s">
        <v>1534</v>
      </c>
      <c r="Q28" s="548" t="s">
        <v>1523</v>
      </c>
      <c r="R28" s="548" t="s">
        <v>1528</v>
      </c>
      <c r="S28" s="547" t="s">
        <v>1216</v>
      </c>
      <c r="T28" s="548">
        <v>0.5</v>
      </c>
      <c r="U28" s="548">
        <v>198.81</v>
      </c>
      <c r="V28" s="548">
        <v>29.71</v>
      </c>
      <c r="W28" s="548"/>
      <c r="X28" s="548">
        <v>18</v>
      </c>
      <c r="Y28" s="548">
        <v>25.76</v>
      </c>
      <c r="Z28" s="564">
        <f t="shared" si="0"/>
        <v>3.0314548800000001</v>
      </c>
      <c r="AA28" s="569">
        <v>5.0000000000000001E-3</v>
      </c>
      <c r="AB28" s="569">
        <v>5.0000000000000001E-3</v>
      </c>
      <c r="AC28" s="569">
        <v>5.0000000000000001E-3</v>
      </c>
      <c r="AD28" s="616" t="s">
        <v>1580</v>
      </c>
      <c r="AE28" s="547" t="s">
        <v>1653</v>
      </c>
      <c r="AF28" s="548"/>
      <c r="AG28" s="548"/>
      <c r="AH28" s="548"/>
      <c r="AI28" s="548"/>
      <c r="AJ28" s="772"/>
      <c r="AK28" s="772"/>
      <c r="AL28" s="772"/>
      <c r="AM28" s="570" t="s">
        <v>1668</v>
      </c>
    </row>
    <row r="29" spans="1:39" s="683" customFormat="1" ht="16.5" thickBot="1">
      <c r="A29" s="578">
        <f t="shared" si="1"/>
        <v>27</v>
      </c>
      <c r="B29" s="549" t="s">
        <v>1030</v>
      </c>
      <c r="C29" s="549" t="s">
        <v>29</v>
      </c>
      <c r="D29" s="549" t="s">
        <v>1522</v>
      </c>
      <c r="E29" s="549" t="s">
        <v>1527</v>
      </c>
      <c r="F29" s="549" t="s">
        <v>1525</v>
      </c>
      <c r="G29" s="549" t="s">
        <v>1250</v>
      </c>
      <c r="H29" s="549">
        <v>152480</v>
      </c>
      <c r="I29" s="549" t="s">
        <v>48</v>
      </c>
      <c r="J29" s="549" t="s">
        <v>34</v>
      </c>
      <c r="K29" s="549"/>
      <c r="L29" s="549" t="s">
        <v>1047</v>
      </c>
      <c r="M29" s="549" t="s">
        <v>237</v>
      </c>
      <c r="N29" s="579">
        <v>44403</v>
      </c>
      <c r="O29" s="549" t="s">
        <v>1534</v>
      </c>
      <c r="P29" s="549" t="s">
        <v>1534</v>
      </c>
      <c r="Q29" s="549" t="s">
        <v>1523</v>
      </c>
      <c r="R29" s="549" t="s">
        <v>1528</v>
      </c>
      <c r="S29" s="580" t="s">
        <v>1216</v>
      </c>
      <c r="T29" s="549">
        <v>0.5</v>
      </c>
      <c r="U29" s="549">
        <v>198.81</v>
      </c>
      <c r="V29" s="549">
        <v>29.71</v>
      </c>
      <c r="W29" s="549"/>
      <c r="X29" s="549">
        <v>18</v>
      </c>
      <c r="Y29" s="549">
        <v>25.76</v>
      </c>
      <c r="Z29" s="581">
        <f t="shared" si="0"/>
        <v>3.0314548800000001</v>
      </c>
      <c r="AA29" s="582">
        <v>5.0000000000000001E-3</v>
      </c>
      <c r="AB29" s="582">
        <v>5.0000000000000001E-3</v>
      </c>
      <c r="AC29" s="582">
        <v>5.0000000000000001E-3</v>
      </c>
      <c r="AD29" s="636" t="s">
        <v>1580</v>
      </c>
      <c r="AE29" s="547" t="s">
        <v>1653</v>
      </c>
      <c r="AF29" s="549"/>
      <c r="AG29" s="549"/>
      <c r="AH29" s="549"/>
      <c r="AI29" s="549"/>
      <c r="AJ29" s="775"/>
      <c r="AK29" s="775"/>
      <c r="AL29" s="775"/>
      <c r="AM29" s="583" t="s">
        <v>1668</v>
      </c>
    </row>
    <row r="30" spans="1:39" s="683" customFormat="1" ht="16.5" thickBot="1">
      <c r="A30" s="584">
        <f t="shared" si="1"/>
        <v>28</v>
      </c>
      <c r="B30" s="550" t="s">
        <v>1030</v>
      </c>
      <c r="C30" s="550" t="s">
        <v>29</v>
      </c>
      <c r="D30" s="550" t="s">
        <v>1530</v>
      </c>
      <c r="E30" s="550" t="s">
        <v>1531</v>
      </c>
      <c r="F30" s="550" t="s">
        <v>1532</v>
      </c>
      <c r="G30" s="550" t="s">
        <v>300</v>
      </c>
      <c r="H30" s="550">
        <v>76029</v>
      </c>
      <c r="I30" s="550" t="s">
        <v>34</v>
      </c>
      <c r="J30" s="550" t="s">
        <v>34</v>
      </c>
      <c r="K30" s="550"/>
      <c r="L30" s="550" t="s">
        <v>1544</v>
      </c>
      <c r="M30" s="550" t="s">
        <v>36</v>
      </c>
      <c r="N30" s="585">
        <v>44411</v>
      </c>
      <c r="O30" s="550" t="s">
        <v>1543</v>
      </c>
      <c r="P30" s="550" t="s">
        <v>1543</v>
      </c>
      <c r="Q30" s="550" t="s">
        <v>1533</v>
      </c>
      <c r="R30" s="550" t="s">
        <v>1542</v>
      </c>
      <c r="S30" s="550" t="s">
        <v>1216</v>
      </c>
      <c r="T30" s="550">
        <v>223.78</v>
      </c>
      <c r="U30" s="550">
        <v>491.49</v>
      </c>
      <c r="V30" s="550">
        <v>33.4</v>
      </c>
      <c r="W30" s="550">
        <v>273.61423609905</v>
      </c>
      <c r="X30" s="550">
        <v>38</v>
      </c>
      <c r="Y30" s="550">
        <v>23.84</v>
      </c>
      <c r="Z30" s="586">
        <f t="shared" si="0"/>
        <v>3.736749321</v>
      </c>
      <c r="AA30" s="587">
        <v>0.01</v>
      </c>
      <c r="AB30" s="587">
        <v>0.01</v>
      </c>
      <c r="AC30" s="587">
        <v>0.01</v>
      </c>
      <c r="AD30" s="637" t="s">
        <v>1580</v>
      </c>
      <c r="AE30" s="550" t="s">
        <v>1659</v>
      </c>
      <c r="AF30" s="550"/>
      <c r="AG30" s="550"/>
      <c r="AH30" s="550"/>
      <c r="AI30" s="550"/>
      <c r="AJ30" s="776"/>
      <c r="AK30" s="776"/>
      <c r="AL30" s="776"/>
      <c r="AM30" s="588" t="s">
        <v>1668</v>
      </c>
    </row>
    <row r="31" spans="1:39" s="683" customFormat="1" ht="15.75">
      <c r="A31" s="2087">
        <f>A30+1</f>
        <v>29</v>
      </c>
      <c r="B31" s="2079" t="s">
        <v>1536</v>
      </c>
      <c r="C31" s="2079" t="s">
        <v>1402</v>
      </c>
      <c r="D31" s="2079"/>
      <c r="E31" s="551" t="s">
        <v>1540</v>
      </c>
      <c r="F31" s="2084" t="s">
        <v>1535</v>
      </c>
      <c r="G31" s="2079" t="s">
        <v>1537</v>
      </c>
      <c r="H31" s="551">
        <v>48500</v>
      </c>
      <c r="I31" s="2079" t="s">
        <v>34</v>
      </c>
      <c r="J31" s="551"/>
      <c r="K31" s="551"/>
      <c r="L31" s="551"/>
      <c r="M31" s="551"/>
      <c r="N31" s="2077">
        <v>44413</v>
      </c>
      <c r="O31" s="589"/>
      <c r="P31" s="551"/>
      <c r="Q31" s="2079" t="s">
        <v>1541</v>
      </c>
      <c r="R31" s="2079" t="s">
        <v>1542</v>
      </c>
      <c r="S31" s="2079" t="s">
        <v>1555</v>
      </c>
      <c r="T31" s="551"/>
      <c r="U31" s="551"/>
      <c r="V31" s="551"/>
      <c r="W31" s="551"/>
      <c r="X31" s="551"/>
      <c r="Y31" s="551"/>
      <c r="Z31" s="551"/>
      <c r="AA31" s="551"/>
      <c r="AB31" s="551"/>
      <c r="AC31" s="551"/>
      <c r="AD31" s="1990" t="s">
        <v>1555</v>
      </c>
      <c r="AE31" s="2084"/>
      <c r="AF31" s="551"/>
      <c r="AG31" s="551"/>
      <c r="AH31" s="551"/>
      <c r="AI31" s="551"/>
      <c r="AJ31" s="777"/>
      <c r="AK31" s="777"/>
      <c r="AL31" s="777"/>
      <c r="AM31" s="615"/>
    </row>
    <row r="32" spans="1:39" s="683" customFormat="1" ht="15.75">
      <c r="A32" s="2091"/>
      <c r="B32" s="2092"/>
      <c r="C32" s="2092"/>
      <c r="D32" s="2092"/>
      <c r="E32" s="547" t="s">
        <v>1538</v>
      </c>
      <c r="F32" s="2085"/>
      <c r="G32" s="2092"/>
      <c r="H32" s="547">
        <v>48500</v>
      </c>
      <c r="I32" s="2092"/>
      <c r="J32" s="547"/>
      <c r="K32" s="547"/>
      <c r="L32" s="547"/>
      <c r="M32" s="547"/>
      <c r="N32" s="2092"/>
      <c r="O32" s="567"/>
      <c r="P32" s="547"/>
      <c r="Q32" s="2092"/>
      <c r="R32" s="2092"/>
      <c r="S32" s="2092"/>
      <c r="T32" s="547"/>
      <c r="U32" s="547"/>
      <c r="V32" s="547"/>
      <c r="W32" s="547"/>
      <c r="X32" s="547"/>
      <c r="Y32" s="547"/>
      <c r="Z32" s="547"/>
      <c r="AA32" s="547"/>
      <c r="AB32" s="547"/>
      <c r="AC32" s="547"/>
      <c r="AD32" s="2104"/>
      <c r="AE32" s="2085"/>
      <c r="AF32" s="547"/>
      <c r="AG32" s="547"/>
      <c r="AH32" s="547"/>
      <c r="AI32" s="547"/>
      <c r="AJ32" s="773"/>
      <c r="AK32" s="773"/>
      <c r="AL32" s="773"/>
      <c r="AM32" s="577"/>
    </row>
    <row r="33" spans="1:39" s="683" customFormat="1" ht="16.5" thickBot="1">
      <c r="A33" s="2088"/>
      <c r="B33" s="2076"/>
      <c r="C33" s="2076"/>
      <c r="D33" s="2076"/>
      <c r="E33" s="552" t="s">
        <v>1539</v>
      </c>
      <c r="F33" s="2086"/>
      <c r="G33" s="2076"/>
      <c r="H33" s="552">
        <v>48500</v>
      </c>
      <c r="I33" s="2076"/>
      <c r="J33" s="552"/>
      <c r="K33" s="552"/>
      <c r="L33" s="552"/>
      <c r="M33" s="552"/>
      <c r="N33" s="2076"/>
      <c r="O33" s="590"/>
      <c r="P33" s="552"/>
      <c r="Q33" s="2076"/>
      <c r="R33" s="2076"/>
      <c r="S33" s="2076"/>
      <c r="T33" s="552"/>
      <c r="U33" s="552"/>
      <c r="V33" s="552"/>
      <c r="W33" s="552"/>
      <c r="X33" s="552"/>
      <c r="Y33" s="552"/>
      <c r="Z33" s="552"/>
      <c r="AA33" s="552"/>
      <c r="AB33" s="552"/>
      <c r="AC33" s="552"/>
      <c r="AD33" s="2105"/>
      <c r="AE33" s="2086"/>
      <c r="AF33" s="552"/>
      <c r="AG33" s="552"/>
      <c r="AH33" s="552"/>
      <c r="AI33" s="552"/>
      <c r="AJ33" s="778"/>
      <c r="AK33" s="778"/>
      <c r="AL33" s="778"/>
      <c r="AM33" s="591"/>
    </row>
    <row r="34" spans="1:39" s="683" customFormat="1" ht="15.75">
      <c r="A34" s="2082">
        <f>A31+1</f>
        <v>30</v>
      </c>
      <c r="B34" s="2084" t="s">
        <v>1550</v>
      </c>
      <c r="C34" s="2084" t="s">
        <v>29</v>
      </c>
      <c r="D34" s="2084" t="s">
        <v>1551</v>
      </c>
      <c r="E34" s="551" t="s">
        <v>1599</v>
      </c>
      <c r="F34" s="551" t="s">
        <v>1601</v>
      </c>
      <c r="G34" s="2084" t="s">
        <v>452</v>
      </c>
      <c r="H34" s="551">
        <v>183041</v>
      </c>
      <c r="I34" s="2084" t="s">
        <v>34</v>
      </c>
      <c r="J34" s="2084" t="s">
        <v>34</v>
      </c>
      <c r="K34" s="2084" t="s">
        <v>48</v>
      </c>
      <c r="L34" s="2084" t="s">
        <v>35</v>
      </c>
      <c r="M34" s="2084" t="s">
        <v>36</v>
      </c>
      <c r="N34" s="2106">
        <v>44488</v>
      </c>
      <c r="O34" s="2106">
        <v>44527</v>
      </c>
      <c r="P34" s="2106">
        <v>44526</v>
      </c>
      <c r="Q34" s="2084" t="s">
        <v>1552</v>
      </c>
      <c r="R34" s="2084" t="s">
        <v>1553</v>
      </c>
      <c r="S34" s="2084" t="s">
        <v>1216</v>
      </c>
      <c r="T34" s="551">
        <v>282.02</v>
      </c>
      <c r="U34" s="592">
        <v>430.92</v>
      </c>
      <c r="V34" s="551">
        <v>30.44</v>
      </c>
      <c r="W34" s="551">
        <v>430.6</v>
      </c>
      <c r="X34" s="551">
        <v>36</v>
      </c>
      <c r="Y34" s="551">
        <v>37.270000000000003</v>
      </c>
      <c r="Z34" s="592">
        <f t="shared" ref="Z34:Z81" si="2">H34*U34/10^7</f>
        <v>7.8876027720000002</v>
      </c>
      <c r="AA34" s="593">
        <v>1.4999999999999999E-2</v>
      </c>
      <c r="AB34" s="593">
        <v>1.4999999999999999E-2</v>
      </c>
      <c r="AC34" s="593">
        <v>1.4999999999999999E-2</v>
      </c>
      <c r="AD34" s="1911" t="s">
        <v>1655</v>
      </c>
      <c r="AE34" s="2084" t="s">
        <v>1672</v>
      </c>
      <c r="AF34" s="551"/>
      <c r="AG34" s="551"/>
      <c r="AH34" s="551"/>
      <c r="AI34" s="551"/>
      <c r="AJ34" s="779"/>
      <c r="AK34" s="779"/>
      <c r="AL34" s="779"/>
      <c r="AM34" s="2096" t="s">
        <v>1669</v>
      </c>
    </row>
    <row r="35" spans="1:39" s="683" customFormat="1" ht="16.5" thickBot="1">
      <c r="A35" s="2090"/>
      <c r="B35" s="2086"/>
      <c r="C35" s="2086"/>
      <c r="D35" s="2086"/>
      <c r="E35" s="552" t="s">
        <v>1600</v>
      </c>
      <c r="F35" s="552" t="s">
        <v>1602</v>
      </c>
      <c r="G35" s="2086"/>
      <c r="H35" s="552">
        <v>183041</v>
      </c>
      <c r="I35" s="2086"/>
      <c r="J35" s="2086"/>
      <c r="K35" s="2086"/>
      <c r="L35" s="2086"/>
      <c r="M35" s="2086"/>
      <c r="N35" s="2086"/>
      <c r="O35" s="2094"/>
      <c r="P35" s="2094"/>
      <c r="Q35" s="2086"/>
      <c r="R35" s="2086"/>
      <c r="S35" s="2086"/>
      <c r="T35" s="552">
        <v>282.02</v>
      </c>
      <c r="U35" s="594">
        <v>430.92</v>
      </c>
      <c r="V35" s="552">
        <v>30.44</v>
      </c>
      <c r="W35" s="552">
        <v>370.67</v>
      </c>
      <c r="X35" s="552">
        <v>36</v>
      </c>
      <c r="Y35" s="552">
        <v>37.270000000000003</v>
      </c>
      <c r="Z35" s="594">
        <f t="shared" si="2"/>
        <v>7.8876027720000002</v>
      </c>
      <c r="AA35" s="595">
        <v>1.4999999999999999E-2</v>
      </c>
      <c r="AB35" s="595">
        <v>1.4999999999999999E-2</v>
      </c>
      <c r="AC35" s="595">
        <v>1.4999999999999999E-2</v>
      </c>
      <c r="AD35" s="1981"/>
      <c r="AE35" s="2086"/>
      <c r="AF35" s="552"/>
      <c r="AG35" s="552"/>
      <c r="AH35" s="552"/>
      <c r="AI35" s="552"/>
      <c r="AJ35" s="780"/>
      <c r="AK35" s="780"/>
      <c r="AL35" s="780"/>
      <c r="AM35" s="2098"/>
    </row>
    <row r="36" spans="1:39" s="683" customFormat="1" ht="15.75">
      <c r="A36" s="2082">
        <f>A34+1</f>
        <v>31</v>
      </c>
      <c r="B36" s="2084" t="s">
        <v>1550</v>
      </c>
      <c r="C36" s="2084" t="s">
        <v>29</v>
      </c>
      <c r="D36" s="2084" t="s">
        <v>1563</v>
      </c>
      <c r="E36" s="553" t="s">
        <v>1594</v>
      </c>
      <c r="F36" s="547" t="s">
        <v>1625</v>
      </c>
      <c r="G36" s="2084" t="s">
        <v>452</v>
      </c>
      <c r="H36" s="553">
        <v>142241</v>
      </c>
      <c r="I36" s="2084" t="s">
        <v>34</v>
      </c>
      <c r="J36" s="2084" t="s">
        <v>34</v>
      </c>
      <c r="K36" s="2084" t="s">
        <v>48</v>
      </c>
      <c r="L36" s="2084" t="s">
        <v>35</v>
      </c>
      <c r="M36" s="2084" t="s">
        <v>36</v>
      </c>
      <c r="N36" s="2106">
        <v>44498</v>
      </c>
      <c r="O36" s="2106">
        <v>44536</v>
      </c>
      <c r="P36" s="2106">
        <v>44536</v>
      </c>
      <c r="Q36" s="2084" t="s">
        <v>1558</v>
      </c>
      <c r="R36" s="2084" t="s">
        <v>1561</v>
      </c>
      <c r="S36" s="2084" t="s">
        <v>1216</v>
      </c>
      <c r="T36" s="553">
        <v>491.7</v>
      </c>
      <c r="U36" s="596">
        <v>743.32</v>
      </c>
      <c r="V36" s="553">
        <v>55.18</v>
      </c>
      <c r="W36" s="596">
        <v>656.03828660803129</v>
      </c>
      <c r="X36" s="553">
        <v>79</v>
      </c>
      <c r="Y36" s="553">
        <v>87.3</v>
      </c>
      <c r="Z36" s="596">
        <f t="shared" si="2"/>
        <v>10.573058012000001</v>
      </c>
      <c r="AA36" s="597">
        <v>1.4999999999999999E-2</v>
      </c>
      <c r="AB36" s="597">
        <v>1.4999999999999999E-2</v>
      </c>
      <c r="AC36" s="597">
        <v>1.4999999999999999E-2</v>
      </c>
      <c r="AD36" s="1911" t="s">
        <v>1580</v>
      </c>
      <c r="AE36" s="2084" t="s">
        <v>1674</v>
      </c>
      <c r="AF36" s="553"/>
      <c r="AG36" s="553"/>
      <c r="AH36" s="553"/>
      <c r="AI36" s="553"/>
      <c r="AJ36" s="781"/>
      <c r="AK36" s="781"/>
      <c r="AL36" s="781"/>
      <c r="AM36" s="2096" t="s">
        <v>1669</v>
      </c>
    </row>
    <row r="37" spans="1:39" s="683" customFormat="1" ht="15.75">
      <c r="A37" s="2083"/>
      <c r="B37" s="2085"/>
      <c r="C37" s="2085"/>
      <c r="D37" s="2085"/>
      <c r="E37" s="547" t="s">
        <v>1595</v>
      </c>
      <c r="F37" s="547" t="s">
        <v>1625</v>
      </c>
      <c r="G37" s="2085"/>
      <c r="H37" s="547">
        <v>40800</v>
      </c>
      <c r="I37" s="2085"/>
      <c r="J37" s="2085"/>
      <c r="K37" s="2085"/>
      <c r="L37" s="2085"/>
      <c r="M37" s="2085"/>
      <c r="N37" s="2085"/>
      <c r="O37" s="2093"/>
      <c r="P37" s="2093"/>
      <c r="Q37" s="2085"/>
      <c r="R37" s="2085"/>
      <c r="S37" s="2108"/>
      <c r="T37" s="547">
        <v>505.99</v>
      </c>
      <c r="U37" s="598">
        <v>782.54</v>
      </c>
      <c r="V37" s="547">
        <v>60.53</v>
      </c>
      <c r="W37" s="598">
        <v>11.53218579541875</v>
      </c>
      <c r="X37" s="547">
        <v>1.5</v>
      </c>
      <c r="Y37" s="547">
        <v>0</v>
      </c>
      <c r="Z37" s="598">
        <f t="shared" si="2"/>
        <v>3.1927631999999999</v>
      </c>
      <c r="AA37" s="568">
        <v>1.4999999999999999E-2</v>
      </c>
      <c r="AB37" s="568">
        <v>1.4999999999999999E-2</v>
      </c>
      <c r="AC37" s="568">
        <v>1.4999999999999999E-2</v>
      </c>
      <c r="AD37" s="1912"/>
      <c r="AE37" s="2085"/>
      <c r="AF37" s="547"/>
      <c r="AG37" s="547"/>
      <c r="AH37" s="547"/>
      <c r="AI37" s="547"/>
      <c r="AJ37" s="781"/>
      <c r="AK37" s="781"/>
      <c r="AL37" s="781"/>
      <c r="AM37" s="2097"/>
    </row>
    <row r="38" spans="1:39" s="683" customFormat="1" ht="15.75">
      <c r="A38" s="2083"/>
      <c r="B38" s="2085"/>
      <c r="C38" s="2085"/>
      <c r="D38" s="2085"/>
      <c r="E38" s="547" t="s">
        <v>1596</v>
      </c>
      <c r="F38" s="547" t="s">
        <v>1626</v>
      </c>
      <c r="G38" s="2085"/>
      <c r="H38" s="547">
        <v>142241</v>
      </c>
      <c r="I38" s="2085"/>
      <c r="J38" s="2085"/>
      <c r="K38" s="2085"/>
      <c r="L38" s="2085"/>
      <c r="M38" s="2085"/>
      <c r="N38" s="2085"/>
      <c r="O38" s="2093"/>
      <c r="P38" s="2093"/>
      <c r="Q38" s="2085"/>
      <c r="R38" s="2085"/>
      <c r="S38" s="2108"/>
      <c r="T38" s="547">
        <v>491.93</v>
      </c>
      <c r="U38" s="598">
        <v>743.57</v>
      </c>
      <c r="V38" s="547">
        <v>55.19</v>
      </c>
      <c r="W38" s="598">
        <v>594.65617143095619</v>
      </c>
      <c r="X38" s="547">
        <v>79</v>
      </c>
      <c r="Y38" s="547">
        <v>87.3</v>
      </c>
      <c r="Z38" s="598">
        <f t="shared" si="2"/>
        <v>10.576614037000001</v>
      </c>
      <c r="AA38" s="568">
        <v>1.4999999999999999E-2</v>
      </c>
      <c r="AB38" s="568">
        <v>1.4999999999999999E-2</v>
      </c>
      <c r="AC38" s="568">
        <v>1.4999999999999999E-2</v>
      </c>
      <c r="AD38" s="1912"/>
      <c r="AE38" s="2085"/>
      <c r="AF38" s="547"/>
      <c r="AG38" s="547"/>
      <c r="AH38" s="547"/>
      <c r="AI38" s="547"/>
      <c r="AJ38" s="781"/>
      <c r="AK38" s="781"/>
      <c r="AL38" s="781"/>
      <c r="AM38" s="2097"/>
    </row>
    <row r="39" spans="1:39" s="683" customFormat="1" ht="16.5" thickBot="1">
      <c r="A39" s="2090"/>
      <c r="B39" s="2086"/>
      <c r="C39" s="2086"/>
      <c r="D39" s="2086"/>
      <c r="E39" s="552" t="s">
        <v>1597</v>
      </c>
      <c r="F39" s="547" t="s">
        <v>1626</v>
      </c>
      <c r="G39" s="2086"/>
      <c r="H39" s="552">
        <v>40800</v>
      </c>
      <c r="I39" s="2086"/>
      <c r="J39" s="2086"/>
      <c r="K39" s="2086"/>
      <c r="L39" s="2086"/>
      <c r="M39" s="2086"/>
      <c r="N39" s="2086"/>
      <c r="O39" s="2094"/>
      <c r="P39" s="2094"/>
      <c r="Q39" s="2086"/>
      <c r="R39" s="2086"/>
      <c r="S39" s="2109"/>
      <c r="T39" s="552">
        <v>506.22</v>
      </c>
      <c r="U39" s="594">
        <v>782.79</v>
      </c>
      <c r="V39" s="552">
        <v>60.53</v>
      </c>
      <c r="W39" s="594">
        <v>9.1682692404187502</v>
      </c>
      <c r="X39" s="552">
        <v>1.5</v>
      </c>
      <c r="Y39" s="552">
        <v>0</v>
      </c>
      <c r="Z39" s="594">
        <f t="shared" si="2"/>
        <v>3.1937831999999999</v>
      </c>
      <c r="AA39" s="595">
        <v>1.4999999999999999E-2</v>
      </c>
      <c r="AB39" s="595">
        <v>1.4999999999999999E-2</v>
      </c>
      <c r="AC39" s="595">
        <v>1.4999999999999999E-2</v>
      </c>
      <c r="AD39" s="1981"/>
      <c r="AE39" s="2086"/>
      <c r="AF39" s="552"/>
      <c r="AG39" s="552"/>
      <c r="AH39" s="552"/>
      <c r="AI39" s="552"/>
      <c r="AJ39" s="780"/>
      <c r="AK39" s="780"/>
      <c r="AL39" s="780"/>
      <c r="AM39" s="2098"/>
    </row>
    <row r="40" spans="1:39" s="683" customFormat="1" ht="15.75">
      <c r="A40" s="2082">
        <v>32</v>
      </c>
      <c r="B40" s="2084" t="s">
        <v>1550</v>
      </c>
      <c r="C40" s="2084" t="s">
        <v>29</v>
      </c>
      <c r="D40" s="2084" t="s">
        <v>1556</v>
      </c>
      <c r="E40" s="903" t="s">
        <v>1605</v>
      </c>
      <c r="F40" s="551" t="s">
        <v>1603</v>
      </c>
      <c r="G40" s="2084" t="s">
        <v>452</v>
      </c>
      <c r="H40" s="551">
        <v>183041</v>
      </c>
      <c r="I40" s="2084" t="s">
        <v>34</v>
      </c>
      <c r="J40" s="2084" t="s">
        <v>34</v>
      </c>
      <c r="K40" s="2084" t="s">
        <v>48</v>
      </c>
      <c r="L40" s="2084" t="s">
        <v>35</v>
      </c>
      <c r="M40" s="2084" t="s">
        <v>36</v>
      </c>
      <c r="N40" s="2106">
        <v>44498</v>
      </c>
      <c r="O40" s="2106">
        <v>44536</v>
      </c>
      <c r="P40" s="2106">
        <v>44536</v>
      </c>
      <c r="Q40" s="2084">
        <v>7.2696759259259267E-2</v>
      </c>
      <c r="R40" s="2106">
        <v>44508</v>
      </c>
      <c r="S40" s="2107" t="s">
        <v>1216</v>
      </c>
      <c r="T40" s="903">
        <v>404.02</v>
      </c>
      <c r="U40" s="903">
        <v>569.66999999999996</v>
      </c>
      <c r="V40" s="551">
        <v>45.52</v>
      </c>
      <c r="W40" s="592">
        <v>597.04290186791252</v>
      </c>
      <c r="X40" s="551">
        <v>46.5</v>
      </c>
      <c r="Y40" s="592">
        <v>76.427042857142851</v>
      </c>
      <c r="Z40" s="592">
        <f t="shared" si="2"/>
        <v>10.427296647</v>
      </c>
      <c r="AA40" s="593">
        <v>1.4999999999999999E-2</v>
      </c>
      <c r="AB40" s="593">
        <v>1.4999999999999999E-2</v>
      </c>
      <c r="AC40" s="593">
        <v>1.4999999999999999E-2</v>
      </c>
      <c r="AD40" s="1990" t="s">
        <v>1580</v>
      </c>
      <c r="AE40" s="2084" t="s">
        <v>1674</v>
      </c>
      <c r="AF40" s="551"/>
      <c r="AG40" s="551"/>
      <c r="AH40" s="551"/>
      <c r="AI40" s="551"/>
      <c r="AJ40" s="777"/>
      <c r="AK40" s="777"/>
      <c r="AL40" s="777"/>
      <c r="AM40" s="2110" t="s">
        <v>1669</v>
      </c>
    </row>
    <row r="41" spans="1:39" s="683" customFormat="1" ht="16.5" thickBot="1">
      <c r="A41" s="2090">
        <f>A36+1</f>
        <v>32</v>
      </c>
      <c r="B41" s="2086" t="s">
        <v>1550</v>
      </c>
      <c r="C41" s="2086" t="s">
        <v>29</v>
      </c>
      <c r="D41" s="2086" t="s">
        <v>1556</v>
      </c>
      <c r="E41" s="905" t="s">
        <v>1606</v>
      </c>
      <c r="F41" s="552" t="s">
        <v>1604</v>
      </c>
      <c r="G41" s="2086" t="s">
        <v>1289</v>
      </c>
      <c r="H41" s="552">
        <v>183041</v>
      </c>
      <c r="I41" s="2086"/>
      <c r="J41" s="2086"/>
      <c r="K41" s="2086"/>
      <c r="L41" s="2086"/>
      <c r="M41" s="2086"/>
      <c r="N41" s="2094" t="s">
        <v>1557</v>
      </c>
      <c r="O41" s="2094">
        <v>44533</v>
      </c>
      <c r="P41" s="2094"/>
      <c r="Q41" s="2086" t="s">
        <v>1559</v>
      </c>
      <c r="R41" s="2086" t="s">
        <v>1561</v>
      </c>
      <c r="S41" s="2109" t="s">
        <v>541</v>
      </c>
      <c r="T41" s="1252">
        <v>397.42</v>
      </c>
      <c r="U41" s="1252">
        <v>569.66999999999996</v>
      </c>
      <c r="V41" s="580">
        <v>45.52</v>
      </c>
      <c r="W41" s="599">
        <v>525.91061579306245</v>
      </c>
      <c r="X41" s="580">
        <v>46.5</v>
      </c>
      <c r="Y41" s="594">
        <v>76.427042857142851</v>
      </c>
      <c r="Z41" s="594">
        <f t="shared" si="2"/>
        <v>10.427296647</v>
      </c>
      <c r="AA41" s="595">
        <v>1.4999999999999999E-2</v>
      </c>
      <c r="AB41" s="595">
        <v>1.4999999999999999E-2</v>
      </c>
      <c r="AC41" s="595">
        <v>1.4999999999999999E-2</v>
      </c>
      <c r="AD41" s="2105"/>
      <c r="AE41" s="2086"/>
      <c r="AF41" s="552"/>
      <c r="AG41" s="552"/>
      <c r="AH41" s="552"/>
      <c r="AI41" s="552"/>
      <c r="AJ41" s="778"/>
      <c r="AK41" s="778"/>
      <c r="AL41" s="778"/>
      <c r="AM41" s="2111"/>
    </row>
    <row r="42" spans="1:39" s="683" customFormat="1" ht="15.75">
      <c r="A42" s="2082">
        <f>A41+1</f>
        <v>33</v>
      </c>
      <c r="B42" s="2084" t="s">
        <v>1550</v>
      </c>
      <c r="C42" s="2084" t="s">
        <v>29</v>
      </c>
      <c r="D42" s="2084" t="s">
        <v>1562</v>
      </c>
      <c r="E42" s="903" t="s">
        <v>1614</v>
      </c>
      <c r="F42" s="539" t="s">
        <v>1623</v>
      </c>
      <c r="G42" s="2084" t="s">
        <v>452</v>
      </c>
      <c r="H42" s="539">
        <v>145394</v>
      </c>
      <c r="I42" s="2084" t="s">
        <v>34</v>
      </c>
      <c r="J42" s="2084" t="s">
        <v>34</v>
      </c>
      <c r="K42" s="2095" t="s">
        <v>48</v>
      </c>
      <c r="L42" s="2084" t="s">
        <v>35</v>
      </c>
      <c r="M42" s="2084" t="s">
        <v>36</v>
      </c>
      <c r="N42" s="2106">
        <v>44498</v>
      </c>
      <c r="O42" s="2106">
        <v>44536</v>
      </c>
      <c r="P42" s="2106">
        <v>44536</v>
      </c>
      <c r="Q42" s="2084" t="s">
        <v>1560</v>
      </c>
      <c r="R42" s="2084" t="s">
        <v>1561</v>
      </c>
      <c r="S42" s="2107" t="s">
        <v>1216</v>
      </c>
      <c r="T42" s="592">
        <v>330.84145573507999</v>
      </c>
      <c r="U42" s="592">
        <v>586.52083327651928</v>
      </c>
      <c r="V42" s="592">
        <v>54.893620132461827</v>
      </c>
      <c r="W42" s="592">
        <v>628.60081708859525</v>
      </c>
      <c r="X42" s="592">
        <v>69</v>
      </c>
      <c r="Y42" s="2099">
        <v>70.447547499999999</v>
      </c>
      <c r="Z42" s="592">
        <f t="shared" si="2"/>
        <v>8.5276610033406239</v>
      </c>
      <c r="AA42" s="593">
        <v>1.4999999999999999E-2</v>
      </c>
      <c r="AB42" s="593">
        <v>1.4999999999999999E-2</v>
      </c>
      <c r="AC42" s="593">
        <v>1.4999999999999999E-2</v>
      </c>
      <c r="AD42" s="1990" t="s">
        <v>1580</v>
      </c>
      <c r="AE42" s="2084" t="s">
        <v>1674</v>
      </c>
      <c r="AF42" s="551"/>
      <c r="AG42" s="551"/>
      <c r="AH42" s="551"/>
      <c r="AI42" s="551"/>
      <c r="AJ42" s="779"/>
      <c r="AK42" s="779"/>
      <c r="AL42" s="779"/>
      <c r="AM42" s="2096" t="s">
        <v>1669</v>
      </c>
    </row>
    <row r="43" spans="1:39" s="683" customFormat="1" ht="15.75">
      <c r="A43" s="2083"/>
      <c r="B43" s="2085"/>
      <c r="C43" s="2085"/>
      <c r="D43" s="2085"/>
      <c r="E43" s="572" t="s">
        <v>1607</v>
      </c>
      <c r="F43" s="541" t="s">
        <v>1623</v>
      </c>
      <c r="G43" s="2085"/>
      <c r="H43" s="541">
        <v>25500</v>
      </c>
      <c r="I43" s="2085"/>
      <c r="J43" s="2085"/>
      <c r="K43" s="2085"/>
      <c r="L43" s="2085"/>
      <c r="M43" s="2085"/>
      <c r="N43" s="2085"/>
      <c r="O43" s="2093"/>
      <c r="P43" s="2093"/>
      <c r="Q43" s="2085"/>
      <c r="R43" s="2085"/>
      <c r="S43" s="2108"/>
      <c r="T43" s="598">
        <v>339.90035200388002</v>
      </c>
      <c r="U43" s="598">
        <v>607.70571819668976</v>
      </c>
      <c r="V43" s="598">
        <v>57.528127823122503</v>
      </c>
      <c r="W43" s="598">
        <v>8.2726977217500028</v>
      </c>
      <c r="X43" s="598">
        <v>1.5</v>
      </c>
      <c r="Y43" s="2100"/>
      <c r="Z43" s="598">
        <f t="shared" si="2"/>
        <v>1.549649581401559</v>
      </c>
      <c r="AA43" s="568">
        <v>1.4999999999999999E-2</v>
      </c>
      <c r="AB43" s="568">
        <v>1.4999999999999999E-2</v>
      </c>
      <c r="AC43" s="568">
        <v>1.4999999999999999E-2</v>
      </c>
      <c r="AD43" s="2104"/>
      <c r="AE43" s="2085"/>
      <c r="AF43" s="547"/>
      <c r="AG43" s="547"/>
      <c r="AH43" s="547"/>
      <c r="AI43" s="547"/>
      <c r="AJ43" s="781"/>
      <c r="AK43" s="781"/>
      <c r="AL43" s="781"/>
      <c r="AM43" s="2097"/>
    </row>
    <row r="44" spans="1:39" s="683" customFormat="1" ht="15.75">
      <c r="A44" s="2083"/>
      <c r="B44" s="2085"/>
      <c r="C44" s="2085"/>
      <c r="D44" s="2085"/>
      <c r="E44" s="547" t="s">
        <v>1608</v>
      </c>
      <c r="F44" s="541" t="s">
        <v>1623</v>
      </c>
      <c r="G44" s="2085"/>
      <c r="H44" s="541">
        <v>7125</v>
      </c>
      <c r="I44" s="2085"/>
      <c r="J44" s="2085"/>
      <c r="K44" s="2085"/>
      <c r="L44" s="2085"/>
      <c r="M44" s="2085"/>
      <c r="N44" s="2085"/>
      <c r="O44" s="2093"/>
      <c r="P44" s="2093"/>
      <c r="Q44" s="2085"/>
      <c r="R44" s="2085"/>
      <c r="S44" s="2085"/>
      <c r="T44" s="598">
        <v>335.72370491633001</v>
      </c>
      <c r="U44" s="598">
        <v>601.47481010198953</v>
      </c>
      <c r="V44" s="598">
        <v>57.213924646656174</v>
      </c>
      <c r="W44" s="598">
        <v>0</v>
      </c>
      <c r="X44" s="598">
        <v>0</v>
      </c>
      <c r="Y44" s="2100"/>
      <c r="Z44" s="598">
        <f t="shared" si="2"/>
        <v>0.42855080219766756</v>
      </c>
      <c r="AA44" s="568">
        <v>1.4999999999999999E-2</v>
      </c>
      <c r="AB44" s="568">
        <v>1.4999999999999999E-2</v>
      </c>
      <c r="AC44" s="568">
        <v>1.4999999999999999E-2</v>
      </c>
      <c r="AD44" s="2104"/>
      <c r="AE44" s="2085"/>
      <c r="AF44" s="547"/>
      <c r="AG44" s="547"/>
      <c r="AH44" s="547"/>
      <c r="AI44" s="547"/>
      <c r="AJ44" s="781"/>
      <c r="AK44" s="781"/>
      <c r="AL44" s="781"/>
      <c r="AM44" s="2097"/>
    </row>
    <row r="45" spans="1:39" s="683" customFormat="1" ht="15.75">
      <c r="A45" s="2083"/>
      <c r="B45" s="2085"/>
      <c r="C45" s="2085"/>
      <c r="D45" s="2085"/>
      <c r="E45" s="547" t="s">
        <v>1609</v>
      </c>
      <c r="F45" s="541" t="s">
        <v>1623</v>
      </c>
      <c r="G45" s="2085"/>
      <c r="H45" s="541">
        <v>5022</v>
      </c>
      <c r="I45" s="2085"/>
      <c r="J45" s="2085"/>
      <c r="K45" s="2085"/>
      <c r="L45" s="2085"/>
      <c r="M45" s="2085"/>
      <c r="N45" s="2085"/>
      <c r="O45" s="2093"/>
      <c r="P45" s="2093"/>
      <c r="Q45" s="2085"/>
      <c r="R45" s="2085"/>
      <c r="S45" s="2085"/>
      <c r="T45" s="598">
        <v>339.77370491633002</v>
      </c>
      <c r="U45" s="598">
        <v>611.58277900198948</v>
      </c>
      <c r="V45" s="598">
        <v>58.284924646656172</v>
      </c>
      <c r="W45" s="598">
        <v>0</v>
      </c>
      <c r="X45" s="598">
        <v>0</v>
      </c>
      <c r="Y45" s="2101"/>
      <c r="Z45" s="598">
        <f t="shared" si="2"/>
        <v>0.30713687161479913</v>
      </c>
      <c r="AA45" s="568">
        <v>1.4999999999999999E-2</v>
      </c>
      <c r="AB45" s="568">
        <v>1.4999999999999999E-2</v>
      </c>
      <c r="AC45" s="568">
        <v>1.4999999999999999E-2</v>
      </c>
      <c r="AD45" s="2104"/>
      <c r="AE45" s="2085"/>
      <c r="AF45" s="547"/>
      <c r="AG45" s="547"/>
      <c r="AH45" s="547"/>
      <c r="AI45" s="547"/>
      <c r="AJ45" s="781"/>
      <c r="AK45" s="781"/>
      <c r="AL45" s="781"/>
      <c r="AM45" s="2097"/>
    </row>
    <row r="46" spans="1:39" s="683" customFormat="1" ht="15.75">
      <c r="A46" s="2083"/>
      <c r="B46" s="2085"/>
      <c r="C46" s="2085"/>
      <c r="D46" s="2085"/>
      <c r="E46" s="547" t="s">
        <v>1610</v>
      </c>
      <c r="F46" s="541" t="s">
        <v>1624</v>
      </c>
      <c r="G46" s="2085"/>
      <c r="H46" s="541">
        <v>145394</v>
      </c>
      <c r="I46" s="2085"/>
      <c r="J46" s="2085"/>
      <c r="K46" s="2085"/>
      <c r="L46" s="2085"/>
      <c r="M46" s="2085"/>
      <c r="N46" s="2085"/>
      <c r="O46" s="2093"/>
      <c r="P46" s="2093"/>
      <c r="Q46" s="2085"/>
      <c r="R46" s="2085"/>
      <c r="S46" s="2085"/>
      <c r="T46" s="598">
        <v>335.72370491633001</v>
      </c>
      <c r="U46" s="598">
        <v>602.28846610198946</v>
      </c>
      <c r="V46" s="598">
        <v>57.213924646656174</v>
      </c>
      <c r="W46" s="598">
        <v>540.78956131597033</v>
      </c>
      <c r="X46" s="598">
        <v>69</v>
      </c>
      <c r="Y46" s="2102">
        <v>70.447547499999999</v>
      </c>
      <c r="Z46" s="598">
        <f t="shared" si="2"/>
        <v>8.7569129240432648</v>
      </c>
      <c r="AA46" s="568">
        <v>1.4999999999999999E-2</v>
      </c>
      <c r="AB46" s="568">
        <v>1.4999999999999999E-2</v>
      </c>
      <c r="AC46" s="568">
        <v>1.4999999999999999E-2</v>
      </c>
      <c r="AD46" s="2104"/>
      <c r="AE46" s="2085"/>
      <c r="AF46" s="547"/>
      <c r="AG46" s="547"/>
      <c r="AH46" s="547"/>
      <c r="AI46" s="547"/>
      <c r="AJ46" s="781"/>
      <c r="AK46" s="781"/>
      <c r="AL46" s="781"/>
      <c r="AM46" s="2097"/>
    </row>
    <row r="47" spans="1:39" s="683" customFormat="1" ht="15.75">
      <c r="A47" s="2083"/>
      <c r="B47" s="2085"/>
      <c r="C47" s="2085"/>
      <c r="D47" s="2085"/>
      <c r="E47" s="547" t="s">
        <v>1611</v>
      </c>
      <c r="F47" s="541" t="s">
        <v>1624</v>
      </c>
      <c r="G47" s="2085"/>
      <c r="H47" s="541">
        <v>25500</v>
      </c>
      <c r="I47" s="2085"/>
      <c r="J47" s="2085"/>
      <c r="K47" s="2085"/>
      <c r="L47" s="2085"/>
      <c r="M47" s="2085"/>
      <c r="N47" s="2085"/>
      <c r="O47" s="2093"/>
      <c r="P47" s="2093"/>
      <c r="Q47" s="2085"/>
      <c r="R47" s="2085"/>
      <c r="S47" s="2085"/>
      <c r="T47" s="598">
        <v>346.23847360312999</v>
      </c>
      <c r="U47" s="598">
        <v>623.64342280686753</v>
      </c>
      <c r="V47" s="598">
        <v>59.767549785676856</v>
      </c>
      <c r="W47" s="598">
        <v>0</v>
      </c>
      <c r="X47" s="598">
        <v>0</v>
      </c>
      <c r="Y47" s="2100"/>
      <c r="Z47" s="598">
        <f t="shared" si="2"/>
        <v>1.5902907281575123</v>
      </c>
      <c r="AA47" s="568">
        <v>1.4999999999999999E-2</v>
      </c>
      <c r="AB47" s="568">
        <v>1.4999999999999999E-2</v>
      </c>
      <c r="AC47" s="568">
        <v>1.4999999999999999E-2</v>
      </c>
      <c r="AD47" s="2104"/>
      <c r="AE47" s="2085"/>
      <c r="AF47" s="547"/>
      <c r="AG47" s="547"/>
      <c r="AH47" s="547"/>
      <c r="AI47" s="547"/>
      <c r="AJ47" s="781"/>
      <c r="AK47" s="781"/>
      <c r="AL47" s="781"/>
      <c r="AM47" s="2097"/>
    </row>
    <row r="48" spans="1:39" s="683" customFormat="1" ht="15.75">
      <c r="A48" s="2083"/>
      <c r="B48" s="2085"/>
      <c r="C48" s="2085"/>
      <c r="D48" s="2085"/>
      <c r="E48" s="547" t="s">
        <v>1612</v>
      </c>
      <c r="F48" s="541" t="s">
        <v>1624</v>
      </c>
      <c r="G48" s="2085"/>
      <c r="H48" s="541">
        <v>7125</v>
      </c>
      <c r="I48" s="2085"/>
      <c r="J48" s="2085"/>
      <c r="K48" s="2085"/>
      <c r="L48" s="2085"/>
      <c r="M48" s="2085"/>
      <c r="N48" s="2085"/>
      <c r="O48" s="2093"/>
      <c r="P48" s="2093"/>
      <c r="Q48" s="2085"/>
      <c r="R48" s="2085"/>
      <c r="S48" s="2085"/>
      <c r="T48" s="598">
        <v>330.84145573507999</v>
      </c>
      <c r="U48" s="598">
        <v>586.52083327651928</v>
      </c>
      <c r="V48" s="598">
        <v>54.893620132461827</v>
      </c>
      <c r="W48" s="598">
        <v>0</v>
      </c>
      <c r="X48" s="598">
        <v>0</v>
      </c>
      <c r="Y48" s="2100"/>
      <c r="Z48" s="598">
        <f t="shared" si="2"/>
        <v>0.41789609370951997</v>
      </c>
      <c r="AA48" s="568">
        <v>1.4999999999999999E-2</v>
      </c>
      <c r="AB48" s="568">
        <v>1.4999999999999999E-2</v>
      </c>
      <c r="AC48" s="568">
        <v>1.4999999999999999E-2</v>
      </c>
      <c r="AD48" s="2104"/>
      <c r="AE48" s="2085"/>
      <c r="AF48" s="547"/>
      <c r="AG48" s="547"/>
      <c r="AH48" s="547"/>
      <c r="AI48" s="547"/>
      <c r="AJ48" s="781"/>
      <c r="AK48" s="781"/>
      <c r="AL48" s="781"/>
      <c r="AM48" s="2097"/>
    </row>
    <row r="49" spans="1:39" s="683" customFormat="1" ht="16.5" thickBot="1">
      <c r="A49" s="2090"/>
      <c r="B49" s="2086"/>
      <c r="C49" s="2086"/>
      <c r="D49" s="2086"/>
      <c r="E49" s="552" t="s">
        <v>1613</v>
      </c>
      <c r="F49" s="541" t="s">
        <v>1624</v>
      </c>
      <c r="G49" s="2086"/>
      <c r="H49" s="542">
        <v>5022</v>
      </c>
      <c r="I49" s="2086"/>
      <c r="J49" s="2086"/>
      <c r="K49" s="2075"/>
      <c r="L49" s="2086"/>
      <c r="M49" s="2086"/>
      <c r="N49" s="2086"/>
      <c r="O49" s="2094"/>
      <c r="P49" s="2094"/>
      <c r="Q49" s="2086"/>
      <c r="R49" s="2086"/>
      <c r="S49" s="2086"/>
      <c r="T49" s="594">
        <v>334.89145573508</v>
      </c>
      <c r="U49" s="594">
        <v>594.93034827651934</v>
      </c>
      <c r="V49" s="594">
        <v>55.854620132461825</v>
      </c>
      <c r="W49" s="594">
        <v>0</v>
      </c>
      <c r="X49" s="594">
        <v>0</v>
      </c>
      <c r="Y49" s="2103"/>
      <c r="Z49" s="594">
        <f t="shared" si="2"/>
        <v>0.29877402090446797</v>
      </c>
      <c r="AA49" s="600">
        <v>1.4999999999999999E-2</v>
      </c>
      <c r="AB49" s="600">
        <v>1.4999999999999999E-2</v>
      </c>
      <c r="AC49" s="600">
        <v>1.4999999999999999E-2</v>
      </c>
      <c r="AD49" s="2105"/>
      <c r="AE49" s="2086"/>
      <c r="AF49" s="552"/>
      <c r="AG49" s="552"/>
      <c r="AH49" s="552"/>
      <c r="AI49" s="552"/>
      <c r="AJ49" s="780"/>
      <c r="AK49" s="780"/>
      <c r="AL49" s="780"/>
      <c r="AM49" s="2098"/>
    </row>
    <row r="50" spans="1:39" s="683" customFormat="1" ht="15.75">
      <c r="A50" s="2087">
        <f>A42+1</f>
        <v>34</v>
      </c>
      <c r="B50" s="2079" t="s">
        <v>1550</v>
      </c>
      <c r="C50" s="2079" t="s">
        <v>29</v>
      </c>
      <c r="D50" s="2079" t="s">
        <v>1568</v>
      </c>
      <c r="E50" s="551" t="s">
        <v>1615</v>
      </c>
      <c r="F50" s="539" t="s">
        <v>569</v>
      </c>
      <c r="G50" s="2079" t="s">
        <v>452</v>
      </c>
      <c r="H50" s="539">
        <v>145394</v>
      </c>
      <c r="I50" s="2084" t="s">
        <v>34</v>
      </c>
      <c r="J50" s="2084" t="s">
        <v>34</v>
      </c>
      <c r="K50" s="2084" t="s">
        <v>34</v>
      </c>
      <c r="L50" s="2084" t="s">
        <v>35</v>
      </c>
      <c r="M50" s="2084" t="s">
        <v>36</v>
      </c>
      <c r="N50" s="2106">
        <v>44512</v>
      </c>
      <c r="O50" s="2106">
        <v>44536</v>
      </c>
      <c r="P50" s="2106">
        <v>44536</v>
      </c>
      <c r="Q50" s="2106">
        <v>44512</v>
      </c>
      <c r="R50" s="2106">
        <v>44515</v>
      </c>
      <c r="S50" s="2107" t="s">
        <v>1216</v>
      </c>
      <c r="T50" s="596">
        <v>287.50656649307996</v>
      </c>
      <c r="U50" s="596">
        <v>512.82955752295743</v>
      </c>
      <c r="V50" s="596">
        <v>49.470048833244391</v>
      </c>
      <c r="W50" s="596">
        <v>594.36833125506382</v>
      </c>
      <c r="X50" s="596">
        <v>61</v>
      </c>
      <c r="Y50" s="2099">
        <v>57.52</v>
      </c>
      <c r="Z50" s="598">
        <f t="shared" si="2"/>
        <v>7.4562340686492874</v>
      </c>
      <c r="AA50" s="593">
        <v>1.4999999999999999E-2</v>
      </c>
      <c r="AB50" s="593">
        <v>1.4999999999999999E-2</v>
      </c>
      <c r="AC50" s="593">
        <v>1.4999999999999999E-2</v>
      </c>
      <c r="AD50" s="1911" t="s">
        <v>1580</v>
      </c>
      <c r="AE50" s="2084" t="s">
        <v>1672</v>
      </c>
      <c r="AF50" s="551"/>
      <c r="AG50" s="551"/>
      <c r="AH50" s="551"/>
      <c r="AI50" s="551"/>
      <c r="AJ50" s="779"/>
      <c r="AK50" s="779"/>
      <c r="AL50" s="779"/>
      <c r="AM50" s="2096" t="s">
        <v>1669</v>
      </c>
    </row>
    <row r="51" spans="1:39" s="683" customFormat="1" ht="15.75">
      <c r="A51" s="2091"/>
      <c r="B51" s="2092"/>
      <c r="C51" s="2092"/>
      <c r="D51" s="2092"/>
      <c r="E51" s="547" t="s">
        <v>1616</v>
      </c>
      <c r="F51" s="541" t="s">
        <v>569</v>
      </c>
      <c r="G51" s="2092"/>
      <c r="H51" s="541">
        <v>25500</v>
      </c>
      <c r="I51" s="2085"/>
      <c r="J51" s="2085"/>
      <c r="K51" s="2085"/>
      <c r="L51" s="2085"/>
      <c r="M51" s="2085"/>
      <c r="N51" s="2093"/>
      <c r="O51" s="2093"/>
      <c r="P51" s="2093"/>
      <c r="Q51" s="2085"/>
      <c r="R51" s="2085"/>
      <c r="S51" s="2108"/>
      <c r="T51" s="598">
        <v>296.56546276187999</v>
      </c>
      <c r="U51" s="598">
        <v>533.01762504109911</v>
      </c>
      <c r="V51" s="598">
        <v>51.973348658986779</v>
      </c>
      <c r="W51" s="598">
        <v>8.1874892094187519</v>
      </c>
      <c r="X51" s="598">
        <v>1.5</v>
      </c>
      <c r="Y51" s="2100"/>
      <c r="Z51" s="598">
        <f t="shared" si="2"/>
        <v>1.3591949438548026</v>
      </c>
      <c r="AA51" s="568">
        <v>1.4999999999999999E-2</v>
      </c>
      <c r="AB51" s="568">
        <v>1.4999999999999999E-2</v>
      </c>
      <c r="AC51" s="568">
        <v>1.4999999999999999E-2</v>
      </c>
      <c r="AD51" s="1912"/>
      <c r="AE51" s="2085"/>
      <c r="AF51" s="547"/>
      <c r="AG51" s="547"/>
      <c r="AH51" s="547"/>
      <c r="AI51" s="547"/>
      <c r="AJ51" s="781"/>
      <c r="AK51" s="781"/>
      <c r="AL51" s="781"/>
      <c r="AM51" s="2097"/>
    </row>
    <row r="52" spans="1:39" s="683" customFormat="1" ht="15.75">
      <c r="A52" s="2091"/>
      <c r="B52" s="2092"/>
      <c r="C52" s="2092"/>
      <c r="D52" s="2092"/>
      <c r="E52" s="547" t="s">
        <v>1617</v>
      </c>
      <c r="F52" s="541" t="s">
        <v>569</v>
      </c>
      <c r="G52" s="2092"/>
      <c r="H52" s="541">
        <v>7125</v>
      </c>
      <c r="I52" s="2085"/>
      <c r="J52" s="2085"/>
      <c r="K52" s="2085"/>
      <c r="L52" s="2085"/>
      <c r="M52" s="2085"/>
      <c r="N52" s="2093"/>
      <c r="O52" s="2093"/>
      <c r="P52" s="2093"/>
      <c r="Q52" s="2085"/>
      <c r="R52" s="2085"/>
      <c r="S52" s="2108"/>
      <c r="T52" s="598">
        <v>292.38881567432998</v>
      </c>
      <c r="U52" s="598">
        <v>527.86267654437029</v>
      </c>
      <c r="V52" s="598">
        <v>51.707937617602163</v>
      </c>
      <c r="W52" s="598">
        <v>0</v>
      </c>
      <c r="X52" s="598">
        <v>0</v>
      </c>
      <c r="Y52" s="2100"/>
      <c r="Z52" s="598">
        <f t="shared" si="2"/>
        <v>0.37610215703786382</v>
      </c>
      <c r="AA52" s="568">
        <v>1.4999999999999999E-2</v>
      </c>
      <c r="AB52" s="568">
        <v>1.4999999999999999E-2</v>
      </c>
      <c r="AC52" s="568">
        <v>1.4999999999999999E-2</v>
      </c>
      <c r="AD52" s="1912"/>
      <c r="AE52" s="2085"/>
      <c r="AF52" s="547"/>
      <c r="AG52" s="547"/>
      <c r="AH52" s="547"/>
      <c r="AI52" s="547"/>
      <c r="AJ52" s="781"/>
      <c r="AK52" s="781"/>
      <c r="AL52" s="781"/>
      <c r="AM52" s="2097"/>
    </row>
    <row r="53" spans="1:39" s="683" customFormat="1" ht="15.75">
      <c r="A53" s="2091"/>
      <c r="B53" s="2092"/>
      <c r="C53" s="2092"/>
      <c r="D53" s="2092"/>
      <c r="E53" s="547" t="s">
        <v>1618</v>
      </c>
      <c r="F53" s="541" t="s">
        <v>569</v>
      </c>
      <c r="G53" s="2092"/>
      <c r="H53" s="541">
        <v>5022</v>
      </c>
      <c r="I53" s="2085"/>
      <c r="J53" s="2085"/>
      <c r="K53" s="2085"/>
      <c r="L53" s="2085"/>
      <c r="M53" s="2085"/>
      <c r="N53" s="2093"/>
      <c r="O53" s="2093"/>
      <c r="P53" s="2093"/>
      <c r="Q53" s="2085"/>
      <c r="R53" s="2085"/>
      <c r="S53" s="2108"/>
      <c r="T53" s="598">
        <v>296.45164567433</v>
      </c>
      <c r="U53" s="598">
        <v>536.23859253737032</v>
      </c>
      <c r="V53" s="598">
        <v>52.689194217602171</v>
      </c>
      <c r="W53" s="598">
        <v>0</v>
      </c>
      <c r="X53" s="598">
        <v>0</v>
      </c>
      <c r="Y53" s="2101"/>
      <c r="Z53" s="598">
        <f t="shared" si="2"/>
        <v>0.26929902117226739</v>
      </c>
      <c r="AA53" s="568">
        <v>1.4999999999999999E-2</v>
      </c>
      <c r="AB53" s="568">
        <v>1.4999999999999999E-2</v>
      </c>
      <c r="AC53" s="568">
        <v>1.4999999999999999E-2</v>
      </c>
      <c r="AD53" s="1912"/>
      <c r="AE53" s="2085"/>
      <c r="AF53" s="547"/>
      <c r="AG53" s="547"/>
      <c r="AH53" s="547"/>
      <c r="AI53" s="547"/>
      <c r="AJ53" s="781"/>
      <c r="AK53" s="781"/>
      <c r="AL53" s="781"/>
      <c r="AM53" s="2097"/>
    </row>
    <row r="54" spans="1:39" s="683" customFormat="1" ht="15.75">
      <c r="A54" s="2091"/>
      <c r="B54" s="2092"/>
      <c r="C54" s="2092"/>
      <c r="D54" s="2092"/>
      <c r="E54" s="547" t="s">
        <v>1619</v>
      </c>
      <c r="F54" s="541" t="s">
        <v>572</v>
      </c>
      <c r="G54" s="2092"/>
      <c r="H54" s="541">
        <v>145394</v>
      </c>
      <c r="I54" s="2085"/>
      <c r="J54" s="2085"/>
      <c r="K54" s="2085"/>
      <c r="L54" s="2085"/>
      <c r="M54" s="2085"/>
      <c r="N54" s="2093"/>
      <c r="O54" s="2093"/>
      <c r="P54" s="2093"/>
      <c r="Q54" s="2085"/>
      <c r="R54" s="2085"/>
      <c r="S54" s="2085"/>
      <c r="T54" s="598">
        <v>292.40164567432998</v>
      </c>
      <c r="U54" s="598">
        <v>527.87651253737022</v>
      </c>
      <c r="V54" s="598">
        <v>51.708194217602163</v>
      </c>
      <c r="W54" s="598">
        <v>510.05054300767881</v>
      </c>
      <c r="X54" s="598">
        <v>61</v>
      </c>
      <c r="Y54" s="2102">
        <v>57.52</v>
      </c>
      <c r="Z54" s="598">
        <f t="shared" si="2"/>
        <v>7.67500776638584</v>
      </c>
      <c r="AA54" s="568">
        <v>1.4999999999999999E-2</v>
      </c>
      <c r="AB54" s="568">
        <v>1.4999999999999999E-2</v>
      </c>
      <c r="AC54" s="568">
        <v>1.4999999999999999E-2</v>
      </c>
      <c r="AD54" s="1912"/>
      <c r="AE54" s="2085"/>
      <c r="AF54" s="547"/>
      <c r="AG54" s="547"/>
      <c r="AH54" s="547"/>
      <c r="AI54" s="547"/>
      <c r="AJ54" s="781"/>
      <c r="AK54" s="781"/>
      <c r="AL54" s="781"/>
      <c r="AM54" s="2097"/>
    </row>
    <row r="55" spans="1:39" s="683" customFormat="1" ht="15.75">
      <c r="A55" s="2091"/>
      <c r="B55" s="2092"/>
      <c r="C55" s="2092"/>
      <c r="D55" s="2092"/>
      <c r="E55" s="547" t="s">
        <v>1620</v>
      </c>
      <c r="F55" s="541" t="s">
        <v>572</v>
      </c>
      <c r="G55" s="2092"/>
      <c r="H55" s="541">
        <v>25500</v>
      </c>
      <c r="I55" s="2085"/>
      <c r="J55" s="2085"/>
      <c r="K55" s="2085"/>
      <c r="L55" s="2085"/>
      <c r="M55" s="2085"/>
      <c r="N55" s="2093"/>
      <c r="O55" s="2093"/>
      <c r="P55" s="2093"/>
      <c r="Q55" s="2085"/>
      <c r="R55" s="2085"/>
      <c r="S55" s="2085"/>
      <c r="T55" s="598">
        <v>302.91641436112997</v>
      </c>
      <c r="U55" s="598">
        <v>549.57446534021994</v>
      </c>
      <c r="V55" s="598">
        <v>54.240611491704563</v>
      </c>
      <c r="W55" s="598">
        <v>0</v>
      </c>
      <c r="X55" s="598">
        <v>0</v>
      </c>
      <c r="Y55" s="2100"/>
      <c r="Z55" s="598">
        <f t="shared" si="2"/>
        <v>1.4014148866175609</v>
      </c>
      <c r="AA55" s="568">
        <v>1.4999999999999999E-2</v>
      </c>
      <c r="AB55" s="568">
        <v>1.4999999999999999E-2</v>
      </c>
      <c r="AC55" s="568">
        <v>1.4999999999999999E-2</v>
      </c>
      <c r="AD55" s="1912"/>
      <c r="AE55" s="2085"/>
      <c r="AF55" s="547"/>
      <c r="AG55" s="547"/>
      <c r="AH55" s="547"/>
      <c r="AI55" s="547"/>
      <c r="AJ55" s="781"/>
      <c r="AK55" s="781"/>
      <c r="AL55" s="781"/>
      <c r="AM55" s="2097"/>
    </row>
    <row r="56" spans="1:39" s="683" customFormat="1" ht="15.75">
      <c r="A56" s="2091"/>
      <c r="B56" s="2092"/>
      <c r="C56" s="2092"/>
      <c r="D56" s="2092"/>
      <c r="E56" s="547" t="s">
        <v>1621</v>
      </c>
      <c r="F56" s="541" t="s">
        <v>572</v>
      </c>
      <c r="G56" s="2092"/>
      <c r="H56" s="541">
        <v>7125</v>
      </c>
      <c r="I56" s="2085"/>
      <c r="J56" s="2085"/>
      <c r="K56" s="2085"/>
      <c r="L56" s="2085"/>
      <c r="M56" s="2085"/>
      <c r="N56" s="2093"/>
      <c r="O56" s="2093"/>
      <c r="P56" s="2093"/>
      <c r="Q56" s="2085"/>
      <c r="R56" s="2085"/>
      <c r="S56" s="2085"/>
      <c r="T56" s="598">
        <v>287.51939649307997</v>
      </c>
      <c r="U56" s="598">
        <v>512.84339351595736</v>
      </c>
      <c r="V56" s="598">
        <v>49.470305433244391</v>
      </c>
      <c r="W56" s="598">
        <v>0</v>
      </c>
      <c r="X56" s="598">
        <v>0</v>
      </c>
      <c r="Y56" s="2100"/>
      <c r="Z56" s="598">
        <f t="shared" si="2"/>
        <v>0.36540091788011964</v>
      </c>
      <c r="AA56" s="568">
        <v>1.4999999999999999E-2</v>
      </c>
      <c r="AB56" s="568">
        <v>1.4999999999999999E-2</v>
      </c>
      <c r="AC56" s="568">
        <v>1.4999999999999999E-2</v>
      </c>
      <c r="AD56" s="1912"/>
      <c r="AE56" s="2085"/>
      <c r="AF56" s="547"/>
      <c r="AG56" s="547"/>
      <c r="AH56" s="547"/>
      <c r="AI56" s="547"/>
      <c r="AJ56" s="781"/>
      <c r="AK56" s="781"/>
      <c r="AL56" s="781"/>
      <c r="AM56" s="2097"/>
    </row>
    <row r="57" spans="1:39" s="683" customFormat="1" ht="16.5" thickBot="1">
      <c r="A57" s="2088"/>
      <c r="B57" s="2076"/>
      <c r="C57" s="2076"/>
      <c r="D57" s="2076"/>
      <c r="E57" s="552" t="s">
        <v>1622</v>
      </c>
      <c r="F57" s="542" t="s">
        <v>572</v>
      </c>
      <c r="G57" s="2076"/>
      <c r="H57" s="542">
        <v>5022</v>
      </c>
      <c r="I57" s="2086"/>
      <c r="J57" s="2086"/>
      <c r="K57" s="2086"/>
      <c r="L57" s="2086"/>
      <c r="M57" s="2086"/>
      <c r="N57" s="2094"/>
      <c r="O57" s="2094"/>
      <c r="P57" s="2094"/>
      <c r="Q57" s="2086"/>
      <c r="R57" s="2086"/>
      <c r="S57" s="2086"/>
      <c r="T57" s="598">
        <v>291.56939649307998</v>
      </c>
      <c r="U57" s="598">
        <v>521.20547351595735</v>
      </c>
      <c r="V57" s="598">
        <v>50.451305433244386</v>
      </c>
      <c r="W57" s="598">
        <v>0</v>
      </c>
      <c r="X57" s="598">
        <v>0</v>
      </c>
      <c r="Y57" s="2103"/>
      <c r="Z57" s="594">
        <f t="shared" si="2"/>
        <v>0.26174938879971377</v>
      </c>
      <c r="AA57" s="595">
        <v>1.4999999999999999E-2</v>
      </c>
      <c r="AB57" s="595">
        <v>1.4999999999999999E-2</v>
      </c>
      <c r="AC57" s="595">
        <v>1.4999999999999999E-2</v>
      </c>
      <c r="AD57" s="1981"/>
      <c r="AE57" s="2086"/>
      <c r="AF57" s="552"/>
      <c r="AG57" s="552"/>
      <c r="AH57" s="552"/>
      <c r="AI57" s="552"/>
      <c r="AJ57" s="780"/>
      <c r="AK57" s="780"/>
      <c r="AL57" s="780"/>
      <c r="AM57" s="2098"/>
    </row>
    <row r="58" spans="1:39" s="683" customFormat="1" ht="16.5" thickBot="1">
      <c r="A58" s="584">
        <f>A50+1</f>
        <v>35</v>
      </c>
      <c r="B58" s="550" t="s">
        <v>1550</v>
      </c>
      <c r="C58" s="550" t="s">
        <v>29</v>
      </c>
      <c r="D58" s="550" t="s">
        <v>1569</v>
      </c>
      <c r="E58" s="550" t="s">
        <v>1571</v>
      </c>
      <c r="F58" s="550" t="s">
        <v>138</v>
      </c>
      <c r="G58" s="550" t="s">
        <v>452</v>
      </c>
      <c r="H58" s="550">
        <v>183041</v>
      </c>
      <c r="I58" s="550" t="s">
        <v>34</v>
      </c>
      <c r="J58" s="550" t="s">
        <v>34</v>
      </c>
      <c r="K58" s="550" t="s">
        <v>34</v>
      </c>
      <c r="L58" s="550" t="s">
        <v>35</v>
      </c>
      <c r="M58" s="550" t="s">
        <v>36</v>
      </c>
      <c r="N58" s="585">
        <v>44512</v>
      </c>
      <c r="O58" s="585">
        <v>44533</v>
      </c>
      <c r="P58" s="585">
        <v>44536</v>
      </c>
      <c r="Q58" s="585">
        <v>44512</v>
      </c>
      <c r="R58" s="585">
        <v>44515</v>
      </c>
      <c r="S58" s="550" t="s">
        <v>1216</v>
      </c>
      <c r="T58" s="550">
        <v>166.84687100060003</v>
      </c>
      <c r="U58" s="586">
        <v>277.05677907734298</v>
      </c>
      <c r="V58" s="550">
        <v>23.993707882498622</v>
      </c>
      <c r="W58" s="550">
        <v>244.28993745646878</v>
      </c>
      <c r="X58" s="550">
        <v>38.5</v>
      </c>
      <c r="Y58" s="550">
        <v>60.69</v>
      </c>
      <c r="Z58" s="586">
        <f t="shared" si="2"/>
        <v>5.0712749899095941</v>
      </c>
      <c r="AA58" s="587">
        <v>1.4999999999999999E-2</v>
      </c>
      <c r="AB58" s="587">
        <v>1.4999999999999999E-2</v>
      </c>
      <c r="AC58" s="587">
        <v>1.4999999999999999E-2</v>
      </c>
      <c r="AD58" s="637" t="s">
        <v>1657</v>
      </c>
      <c r="AE58" s="550" t="s">
        <v>1689</v>
      </c>
      <c r="AF58" s="550"/>
      <c r="AG58" s="550"/>
      <c r="AH58" s="550"/>
      <c r="AI58" s="550"/>
      <c r="AJ58" s="776"/>
      <c r="AK58" s="776"/>
      <c r="AL58" s="776"/>
      <c r="AM58" s="601" t="s">
        <v>1669</v>
      </c>
    </row>
    <row r="59" spans="1:39" s="683" customFormat="1" ht="63.75" thickBot="1">
      <c r="A59" s="584">
        <v>35</v>
      </c>
      <c r="B59" s="550" t="s">
        <v>1550</v>
      </c>
      <c r="C59" s="550" t="s">
        <v>29</v>
      </c>
      <c r="D59" s="550" t="s">
        <v>1569</v>
      </c>
      <c r="E59" s="550" t="s">
        <v>1571</v>
      </c>
      <c r="F59" s="550" t="s">
        <v>138</v>
      </c>
      <c r="G59" s="550" t="s">
        <v>452</v>
      </c>
      <c r="H59" s="550">
        <v>183041</v>
      </c>
      <c r="I59" s="550"/>
      <c r="J59" s="550"/>
      <c r="K59" s="550"/>
      <c r="L59" s="550" t="s">
        <v>35</v>
      </c>
      <c r="M59" s="550" t="s">
        <v>36</v>
      </c>
      <c r="N59" s="585">
        <v>44512</v>
      </c>
      <c r="O59" s="585"/>
      <c r="P59" s="585"/>
      <c r="Q59" s="585"/>
      <c r="R59" s="585"/>
      <c r="S59" s="550" t="s">
        <v>1216</v>
      </c>
      <c r="T59" s="550">
        <v>161.43519356636</v>
      </c>
      <c r="U59" s="586">
        <v>255.78</v>
      </c>
      <c r="V59" s="550">
        <v>20.633474333813822</v>
      </c>
      <c r="W59" s="550">
        <v>244.28993745646878</v>
      </c>
      <c r="X59" s="550">
        <v>38.5</v>
      </c>
      <c r="Y59" s="550">
        <v>60.69</v>
      </c>
      <c r="Z59" s="586">
        <f t="shared" si="2"/>
        <v>4.6818226979999995</v>
      </c>
      <c r="AA59" s="587">
        <v>1.4999999999999999E-2</v>
      </c>
      <c r="AB59" s="587">
        <v>1.4999999999999999E-2</v>
      </c>
      <c r="AC59" s="587">
        <v>1.4999999999999999E-2</v>
      </c>
      <c r="AD59" s="637" t="s">
        <v>1657</v>
      </c>
      <c r="AE59" s="550" t="s">
        <v>1772</v>
      </c>
      <c r="AF59" s="550"/>
      <c r="AG59" s="550"/>
      <c r="AH59" s="550"/>
      <c r="AI59" s="550"/>
      <c r="AJ59" s="776"/>
      <c r="AK59" s="776"/>
      <c r="AL59" s="776"/>
      <c r="AM59" s="601" t="s">
        <v>1669</v>
      </c>
    </row>
    <row r="60" spans="1:39" s="683" customFormat="1" ht="16.5" thickBot="1">
      <c r="A60" s="584">
        <f>A58+1</f>
        <v>36</v>
      </c>
      <c r="B60" s="550" t="s">
        <v>1570</v>
      </c>
      <c r="C60" s="550" t="s">
        <v>29</v>
      </c>
      <c r="D60" s="550" t="s">
        <v>1575</v>
      </c>
      <c r="E60" s="550" t="s">
        <v>1572</v>
      </c>
      <c r="F60" s="550" t="s">
        <v>1578</v>
      </c>
      <c r="G60" s="550" t="s">
        <v>1475</v>
      </c>
      <c r="H60" s="550">
        <v>11300</v>
      </c>
      <c r="I60" s="550" t="s">
        <v>34</v>
      </c>
      <c r="J60" s="550" t="s">
        <v>34</v>
      </c>
      <c r="K60" s="550" t="s">
        <v>48</v>
      </c>
      <c r="L60" s="550" t="s">
        <v>35</v>
      </c>
      <c r="M60" s="550" t="s">
        <v>36</v>
      </c>
      <c r="N60" s="585">
        <v>44509</v>
      </c>
      <c r="O60" s="585">
        <v>44571</v>
      </c>
      <c r="P60" s="585">
        <v>44571</v>
      </c>
      <c r="Q60" s="585">
        <v>44511</v>
      </c>
      <c r="R60" s="585">
        <v>44514</v>
      </c>
      <c r="S60" s="550" t="s">
        <v>1216</v>
      </c>
      <c r="T60" s="550">
        <v>154.13926146079999</v>
      </c>
      <c r="U60" s="586">
        <v>240.77415752259918</v>
      </c>
      <c r="V60" s="550">
        <v>17.572785229216002</v>
      </c>
      <c r="W60" s="550">
        <v>0</v>
      </c>
      <c r="X60" s="550">
        <v>0</v>
      </c>
      <c r="Y60" s="550">
        <v>10.256</v>
      </c>
      <c r="Z60" s="586">
        <f t="shared" si="2"/>
        <v>0.27207479800053708</v>
      </c>
      <c r="AA60" s="587">
        <v>0</v>
      </c>
      <c r="AB60" s="587">
        <v>0</v>
      </c>
      <c r="AC60" s="587">
        <v>0</v>
      </c>
      <c r="AD60" s="637" t="s">
        <v>1657</v>
      </c>
      <c r="AE60" s="550" t="s">
        <v>1658</v>
      </c>
      <c r="AF60" s="550"/>
      <c r="AG60" s="550"/>
      <c r="AH60" s="550"/>
      <c r="AI60" s="550"/>
      <c r="AJ60" s="776"/>
      <c r="AK60" s="776"/>
      <c r="AL60" s="776"/>
      <c r="AM60" s="601"/>
    </row>
    <row r="61" spans="1:39" s="683" customFormat="1" ht="16.5" thickBot="1">
      <c r="A61" s="584">
        <f t="shared" ref="A61:A62" si="3">A60+1</f>
        <v>37</v>
      </c>
      <c r="B61" s="550" t="s">
        <v>1570</v>
      </c>
      <c r="C61" s="550" t="s">
        <v>29</v>
      </c>
      <c r="D61" s="550" t="s">
        <v>1576</v>
      </c>
      <c r="E61" s="550" t="s">
        <v>1573</v>
      </c>
      <c r="F61" s="550" t="s">
        <v>1578</v>
      </c>
      <c r="G61" s="550" t="s">
        <v>1475</v>
      </c>
      <c r="H61" s="550">
        <v>11300</v>
      </c>
      <c r="I61" s="550" t="s">
        <v>34</v>
      </c>
      <c r="J61" s="550" t="s">
        <v>34</v>
      </c>
      <c r="K61" s="550" t="s">
        <v>48</v>
      </c>
      <c r="L61" s="550" t="s">
        <v>35</v>
      </c>
      <c r="M61" s="550" t="s">
        <v>36</v>
      </c>
      <c r="N61" s="585">
        <v>44509</v>
      </c>
      <c r="O61" s="585">
        <v>44571</v>
      </c>
      <c r="P61" s="585">
        <v>44571</v>
      </c>
      <c r="Q61" s="585">
        <v>44511</v>
      </c>
      <c r="R61" s="585">
        <v>44514</v>
      </c>
      <c r="S61" s="550" t="s">
        <v>1216</v>
      </c>
      <c r="T61" s="550">
        <v>154.13926146079999</v>
      </c>
      <c r="U61" s="586">
        <v>240.77415752259918</v>
      </c>
      <c r="V61" s="550">
        <v>17.572785229216002</v>
      </c>
      <c r="W61" s="550">
        <v>0</v>
      </c>
      <c r="X61" s="550">
        <v>0</v>
      </c>
      <c r="Y61" s="550">
        <v>10.256</v>
      </c>
      <c r="Z61" s="586">
        <f t="shared" si="2"/>
        <v>0.27207479800053708</v>
      </c>
      <c r="AA61" s="587">
        <v>0</v>
      </c>
      <c r="AB61" s="587">
        <v>0</v>
      </c>
      <c r="AC61" s="587">
        <v>0</v>
      </c>
      <c r="AD61" s="637" t="s">
        <v>1547</v>
      </c>
      <c r="AE61" s="550" t="s">
        <v>1658</v>
      </c>
      <c r="AF61" s="550"/>
      <c r="AG61" s="550"/>
      <c r="AH61" s="550"/>
      <c r="AI61" s="550"/>
      <c r="AJ61" s="776"/>
      <c r="AK61" s="776"/>
      <c r="AL61" s="776"/>
      <c r="AM61" s="601"/>
    </row>
    <row r="62" spans="1:39" s="683" customFormat="1" ht="16.5" thickBot="1">
      <c r="A62" s="584">
        <f t="shared" si="3"/>
        <v>38</v>
      </c>
      <c r="B62" s="550" t="s">
        <v>1570</v>
      </c>
      <c r="C62" s="550" t="s">
        <v>29</v>
      </c>
      <c r="D62" s="550" t="s">
        <v>1577</v>
      </c>
      <c r="E62" s="550" t="s">
        <v>1574</v>
      </c>
      <c r="F62" s="550" t="s">
        <v>1579</v>
      </c>
      <c r="G62" s="550" t="s">
        <v>1475</v>
      </c>
      <c r="H62" s="550">
        <v>22600</v>
      </c>
      <c r="I62" s="550" t="s">
        <v>34</v>
      </c>
      <c r="J62" s="550" t="s">
        <v>34</v>
      </c>
      <c r="K62" s="550" t="s">
        <v>48</v>
      </c>
      <c r="L62" s="550" t="s">
        <v>35</v>
      </c>
      <c r="M62" s="550" t="s">
        <v>36</v>
      </c>
      <c r="N62" s="585">
        <v>44509</v>
      </c>
      <c r="O62" s="585">
        <v>44571</v>
      </c>
      <c r="P62" s="585">
        <v>44571</v>
      </c>
      <c r="Q62" s="585">
        <v>44511</v>
      </c>
      <c r="R62" s="585">
        <v>44514</v>
      </c>
      <c r="S62" s="550" t="s">
        <v>1216</v>
      </c>
      <c r="T62" s="550">
        <v>154.13926146079999</v>
      </c>
      <c r="U62" s="586">
        <v>240.77415752259918</v>
      </c>
      <c r="V62" s="550">
        <v>17.572785229216002</v>
      </c>
      <c r="W62" s="550">
        <v>0</v>
      </c>
      <c r="X62" s="550">
        <v>0</v>
      </c>
      <c r="Y62" s="550">
        <v>10.256</v>
      </c>
      <c r="Z62" s="586">
        <f t="shared" si="2"/>
        <v>0.54414959600107415</v>
      </c>
      <c r="AA62" s="587">
        <v>0</v>
      </c>
      <c r="AB62" s="587">
        <v>0</v>
      </c>
      <c r="AC62" s="587">
        <v>0</v>
      </c>
      <c r="AD62" s="637" t="s">
        <v>1547</v>
      </c>
      <c r="AE62" s="550" t="s">
        <v>1658</v>
      </c>
      <c r="AF62" s="550"/>
      <c r="AG62" s="550"/>
      <c r="AH62" s="550"/>
      <c r="AI62" s="550"/>
      <c r="AJ62" s="776"/>
      <c r="AK62" s="776"/>
      <c r="AL62" s="776"/>
      <c r="AM62" s="601"/>
    </row>
    <row r="63" spans="1:39" s="683" customFormat="1" ht="16.5" thickBot="1">
      <c r="A63" s="2083">
        <f>A62+1</f>
        <v>39</v>
      </c>
      <c r="B63" s="2085" t="s">
        <v>1550</v>
      </c>
      <c r="C63" s="2085" t="s">
        <v>29</v>
      </c>
      <c r="D63" s="2085" t="s">
        <v>1586</v>
      </c>
      <c r="E63" s="553" t="s">
        <v>1627</v>
      </c>
      <c r="F63" s="553" t="s">
        <v>1632</v>
      </c>
      <c r="G63" s="2085" t="s">
        <v>452</v>
      </c>
      <c r="H63" s="553">
        <v>142241</v>
      </c>
      <c r="I63" s="2085" t="s">
        <v>34</v>
      </c>
      <c r="J63" s="2085" t="s">
        <v>34</v>
      </c>
      <c r="K63" s="2085" t="s">
        <v>34</v>
      </c>
      <c r="L63" s="2085" t="s">
        <v>35</v>
      </c>
      <c r="M63" s="2085" t="s">
        <v>36</v>
      </c>
      <c r="N63" s="2093">
        <v>44522</v>
      </c>
      <c r="O63" s="2093">
        <v>44540</v>
      </c>
      <c r="P63" s="2084" t="s">
        <v>1631</v>
      </c>
      <c r="Q63" s="2093">
        <v>44522</v>
      </c>
      <c r="R63" s="2093">
        <v>44529</v>
      </c>
      <c r="S63" s="2085" t="s">
        <v>1216</v>
      </c>
      <c r="T63" s="596">
        <v>473.14034716686194</v>
      </c>
      <c r="U63" s="596">
        <v>699.34363650702755</v>
      </c>
      <c r="V63" s="596">
        <v>50.769935194013286</v>
      </c>
      <c r="W63" s="596">
        <v>596.64147455219995</v>
      </c>
      <c r="X63" s="553">
        <v>72</v>
      </c>
      <c r="Y63" s="2085">
        <v>74.23</v>
      </c>
      <c r="Z63" s="594">
        <f t="shared" si="2"/>
        <v>9.9475338200396113</v>
      </c>
      <c r="AA63" s="597">
        <v>1.4999999999999999E-2</v>
      </c>
      <c r="AB63" s="597">
        <v>1.4999999999999999E-2</v>
      </c>
      <c r="AC63" s="597">
        <v>1.4999999999999999E-2</v>
      </c>
      <c r="AD63" s="2132" t="s">
        <v>1656</v>
      </c>
      <c r="AE63" s="2084" t="s">
        <v>1672</v>
      </c>
      <c r="AF63" s="602"/>
      <c r="AG63" s="553"/>
      <c r="AH63" s="553"/>
      <c r="AI63" s="553"/>
      <c r="AJ63" s="781"/>
      <c r="AK63" s="781"/>
      <c r="AL63" s="781"/>
      <c r="AM63" s="2097" t="s">
        <v>1669</v>
      </c>
    </row>
    <row r="64" spans="1:39" s="683" customFormat="1" ht="16.5" thickBot="1">
      <c r="A64" s="2083"/>
      <c r="B64" s="2085"/>
      <c r="C64" s="2085"/>
      <c r="D64" s="2085"/>
      <c r="E64" s="547" t="s">
        <v>1628</v>
      </c>
      <c r="F64" s="547" t="s">
        <v>1632</v>
      </c>
      <c r="G64" s="2085"/>
      <c r="H64" s="547">
        <v>40800</v>
      </c>
      <c r="I64" s="2085"/>
      <c r="J64" s="2085"/>
      <c r="K64" s="2085"/>
      <c r="L64" s="2085"/>
      <c r="M64" s="2085"/>
      <c r="N64" s="2093"/>
      <c r="O64" s="2093"/>
      <c r="P64" s="2085"/>
      <c r="Q64" s="2093"/>
      <c r="R64" s="2093"/>
      <c r="S64" s="2085"/>
      <c r="T64" s="598">
        <v>487.43342594286196</v>
      </c>
      <c r="U64" s="598">
        <v>736.91709019666257</v>
      </c>
      <c r="V64" s="598">
        <v>55.915875775070717</v>
      </c>
      <c r="W64" s="598">
        <v>11.384398437142501</v>
      </c>
      <c r="X64" s="547">
        <v>1.5</v>
      </c>
      <c r="Y64" s="2075"/>
      <c r="Z64" s="594">
        <f t="shared" si="2"/>
        <v>3.0066217280023833</v>
      </c>
      <c r="AA64" s="568">
        <v>1.4999999999999999E-2</v>
      </c>
      <c r="AB64" s="568">
        <v>1.4999999999999999E-2</v>
      </c>
      <c r="AC64" s="568">
        <v>1.4999999999999999E-2</v>
      </c>
      <c r="AD64" s="2132"/>
      <c r="AE64" s="2085"/>
      <c r="AF64" s="603"/>
      <c r="AG64" s="547"/>
      <c r="AH64" s="547"/>
      <c r="AI64" s="547"/>
      <c r="AJ64" s="781"/>
      <c r="AK64" s="781"/>
      <c r="AL64" s="781"/>
      <c r="AM64" s="2097"/>
    </row>
    <row r="65" spans="1:39" s="683" customFormat="1" ht="16.5" thickBot="1">
      <c r="A65" s="2083"/>
      <c r="B65" s="2085"/>
      <c r="C65" s="2085"/>
      <c r="D65" s="2085"/>
      <c r="E65" s="547" t="s">
        <v>1629</v>
      </c>
      <c r="F65" s="547" t="s">
        <v>1424</v>
      </c>
      <c r="G65" s="2085"/>
      <c r="H65" s="547">
        <v>142241</v>
      </c>
      <c r="I65" s="2085"/>
      <c r="J65" s="2085"/>
      <c r="K65" s="2085"/>
      <c r="L65" s="2085"/>
      <c r="M65" s="2085"/>
      <c r="N65" s="2093"/>
      <c r="O65" s="2093"/>
      <c r="P65" s="2085"/>
      <c r="Q65" s="2093"/>
      <c r="R65" s="2093"/>
      <c r="S65" s="2085"/>
      <c r="T65" s="598">
        <v>473.14034716686194</v>
      </c>
      <c r="U65" s="598">
        <v>699.34363650702755</v>
      </c>
      <c r="V65" s="598">
        <v>50.769935194013286</v>
      </c>
      <c r="W65" s="598">
        <v>541.17981462929993</v>
      </c>
      <c r="X65" s="547">
        <v>72</v>
      </c>
      <c r="Y65" s="2095">
        <v>74.23</v>
      </c>
      <c r="Z65" s="594">
        <f t="shared" si="2"/>
        <v>9.9475338200396113</v>
      </c>
      <c r="AA65" s="568">
        <v>1.4999999999999999E-2</v>
      </c>
      <c r="AB65" s="568">
        <v>1.4999999999999999E-2</v>
      </c>
      <c r="AC65" s="568">
        <v>1.4999999999999999E-2</v>
      </c>
      <c r="AD65" s="2132"/>
      <c r="AE65" s="2085"/>
      <c r="AF65" s="603"/>
      <c r="AG65" s="547"/>
      <c r="AH65" s="547"/>
      <c r="AI65" s="547"/>
      <c r="AJ65" s="781"/>
      <c r="AK65" s="781"/>
      <c r="AL65" s="781"/>
      <c r="AM65" s="2097"/>
    </row>
    <row r="66" spans="1:39" s="683" customFormat="1" ht="16.5" thickBot="1">
      <c r="A66" s="2090"/>
      <c r="B66" s="2086"/>
      <c r="C66" s="2086"/>
      <c r="D66" s="2086"/>
      <c r="E66" s="552" t="s">
        <v>1630</v>
      </c>
      <c r="F66" s="552" t="s">
        <v>1424</v>
      </c>
      <c r="G66" s="2086"/>
      <c r="H66" s="552">
        <v>40800</v>
      </c>
      <c r="I66" s="2086"/>
      <c r="J66" s="2086"/>
      <c r="K66" s="2086"/>
      <c r="L66" s="2086"/>
      <c r="M66" s="2086"/>
      <c r="N66" s="2094"/>
      <c r="O66" s="2094"/>
      <c r="P66" s="2086"/>
      <c r="Q66" s="2094"/>
      <c r="R66" s="2094"/>
      <c r="S66" s="2086"/>
      <c r="T66" s="594">
        <v>487.43342594286196</v>
      </c>
      <c r="U66" s="594">
        <v>736.91709019666257</v>
      </c>
      <c r="V66" s="594">
        <v>55.915875775070717</v>
      </c>
      <c r="W66" s="594">
        <v>9.0204818821425015</v>
      </c>
      <c r="X66" s="552">
        <v>1.5</v>
      </c>
      <c r="Y66" s="2086"/>
      <c r="Z66" s="594">
        <f t="shared" si="2"/>
        <v>3.0066217280023833</v>
      </c>
      <c r="AA66" s="595">
        <v>1.4999999999999999E-2</v>
      </c>
      <c r="AB66" s="595">
        <v>1.4999999999999999E-2</v>
      </c>
      <c r="AC66" s="595">
        <v>1.4999999999999999E-2</v>
      </c>
      <c r="AD66" s="2133"/>
      <c r="AE66" s="2086"/>
      <c r="AF66" s="604"/>
      <c r="AG66" s="552"/>
      <c r="AH66" s="552"/>
      <c r="AI66" s="552"/>
      <c r="AJ66" s="780"/>
      <c r="AK66" s="780"/>
      <c r="AL66" s="780"/>
      <c r="AM66" s="2098"/>
    </row>
    <row r="67" spans="1:39" s="683" customFormat="1" ht="16.5" thickBot="1">
      <c r="A67" s="584">
        <f>A63+1</f>
        <v>40</v>
      </c>
      <c r="B67" s="550" t="s">
        <v>1550</v>
      </c>
      <c r="C67" s="550" t="s">
        <v>29</v>
      </c>
      <c r="D67" s="550" t="s">
        <v>1587</v>
      </c>
      <c r="E67" s="550" t="s">
        <v>1589</v>
      </c>
      <c r="F67" s="550" t="s">
        <v>1591</v>
      </c>
      <c r="G67" s="550" t="s">
        <v>1593</v>
      </c>
      <c r="H67" s="550">
        <v>366082</v>
      </c>
      <c r="I67" s="550" t="s">
        <v>34</v>
      </c>
      <c r="J67" s="550" t="s">
        <v>34</v>
      </c>
      <c r="K67" s="550" t="s">
        <v>48</v>
      </c>
      <c r="L67" s="550" t="s">
        <v>35</v>
      </c>
      <c r="M67" s="550" t="s">
        <v>36</v>
      </c>
      <c r="N67" s="585">
        <v>44530</v>
      </c>
      <c r="O67" s="585">
        <v>44548</v>
      </c>
      <c r="P67" s="585">
        <v>44548</v>
      </c>
      <c r="Q67" s="585">
        <v>44530</v>
      </c>
      <c r="R67" s="585">
        <v>44502</v>
      </c>
      <c r="S67" s="550" t="s">
        <v>1216</v>
      </c>
      <c r="T67" s="586">
        <v>33.133789624320002</v>
      </c>
      <c r="U67" s="586">
        <v>80.891036648163123</v>
      </c>
      <c r="V67" s="586">
        <v>7.7826757924864012</v>
      </c>
      <c r="W67" s="586">
        <v>94.681922209875026</v>
      </c>
      <c r="X67" s="550">
        <v>18.25</v>
      </c>
      <c r="Y67" s="550">
        <v>29.54</v>
      </c>
      <c r="Z67" s="594">
        <f t="shared" si="2"/>
        <v>2.9612752478232851</v>
      </c>
      <c r="AA67" s="587">
        <v>1.4999999999999999E-2</v>
      </c>
      <c r="AB67" s="587">
        <v>1.4999999999999999E-2</v>
      </c>
      <c r="AC67" s="587">
        <v>1.4999999999999999E-2</v>
      </c>
      <c r="AD67" s="637" t="s">
        <v>1656</v>
      </c>
      <c r="AE67" s="550"/>
      <c r="AF67" s="550"/>
      <c r="AG67" s="550"/>
      <c r="AH67" s="550"/>
      <c r="AI67" s="550"/>
      <c r="AJ67" s="776"/>
      <c r="AK67" s="776"/>
      <c r="AL67" s="776"/>
      <c r="AM67" s="601" t="s">
        <v>1669</v>
      </c>
    </row>
    <row r="68" spans="1:39" s="683" customFormat="1" ht="16.5" thickBot="1">
      <c r="A68" s="605">
        <f>A67+1</f>
        <v>41</v>
      </c>
      <c r="B68" s="554" t="s">
        <v>1550</v>
      </c>
      <c r="C68" s="554" t="s">
        <v>29</v>
      </c>
      <c r="D68" s="554" t="s">
        <v>1588</v>
      </c>
      <c r="E68" s="554" t="s">
        <v>1590</v>
      </c>
      <c r="F68" s="554" t="s">
        <v>1592</v>
      </c>
      <c r="G68" s="554" t="s">
        <v>1593</v>
      </c>
      <c r="H68" s="554">
        <v>129434</v>
      </c>
      <c r="I68" s="554" t="s">
        <v>34</v>
      </c>
      <c r="J68" s="554" t="s">
        <v>34</v>
      </c>
      <c r="K68" s="554" t="s">
        <v>48</v>
      </c>
      <c r="L68" s="554" t="s">
        <v>35</v>
      </c>
      <c r="M68" s="554" t="s">
        <v>36</v>
      </c>
      <c r="N68" s="606">
        <v>44530</v>
      </c>
      <c r="O68" s="606">
        <v>44548</v>
      </c>
      <c r="P68" s="606">
        <v>44548</v>
      </c>
      <c r="Q68" s="606">
        <v>44530</v>
      </c>
      <c r="R68" s="606">
        <v>44502</v>
      </c>
      <c r="S68" s="554" t="s">
        <v>1216</v>
      </c>
      <c r="T68" s="607">
        <v>105.803784740512</v>
      </c>
      <c r="U68" s="607">
        <v>182.6958966549584</v>
      </c>
      <c r="V68" s="607">
        <v>13.408792627699761</v>
      </c>
      <c r="W68" s="607">
        <v>191.59271647621875</v>
      </c>
      <c r="X68" s="554">
        <v>20.25</v>
      </c>
      <c r="Y68" s="554">
        <v>39.69</v>
      </c>
      <c r="Z68" s="599">
        <f t="shared" si="2"/>
        <v>2.3647060687637884</v>
      </c>
      <c r="AA68" s="608">
        <v>1.4999999999999999E-2</v>
      </c>
      <c r="AB68" s="608">
        <v>1.4999999999999999E-2</v>
      </c>
      <c r="AC68" s="608">
        <v>1.4999999999999999E-2</v>
      </c>
      <c r="AD68" s="626" t="s">
        <v>1656</v>
      </c>
      <c r="AE68" s="554"/>
      <c r="AF68" s="554"/>
      <c r="AG68" s="554"/>
      <c r="AH68" s="554"/>
      <c r="AI68" s="554"/>
      <c r="AJ68" s="779"/>
      <c r="AK68" s="779"/>
      <c r="AL68" s="779"/>
      <c r="AM68" s="609" t="s">
        <v>1669</v>
      </c>
    </row>
    <row r="69" spans="1:39" s="683" customFormat="1" ht="16.5" thickBot="1">
      <c r="A69" s="605">
        <f t="shared" ref="A69" si="4">A68+1</f>
        <v>42</v>
      </c>
      <c r="B69" s="554" t="s">
        <v>1550</v>
      </c>
      <c r="C69" s="554" t="s">
        <v>29</v>
      </c>
      <c r="D69" s="554" t="s">
        <v>1634</v>
      </c>
      <c r="E69" s="554" t="s">
        <v>1637</v>
      </c>
      <c r="F69" s="554" t="s">
        <v>310</v>
      </c>
      <c r="G69" s="554" t="s">
        <v>452</v>
      </c>
      <c r="H69" s="554">
        <v>173000</v>
      </c>
      <c r="I69" s="554" t="s">
        <v>34</v>
      </c>
      <c r="J69" s="554" t="s">
        <v>34</v>
      </c>
      <c r="K69" s="554" t="s">
        <v>48</v>
      </c>
      <c r="L69" s="554" t="s">
        <v>35</v>
      </c>
      <c r="M69" s="554" t="s">
        <v>36</v>
      </c>
      <c r="N69" s="606">
        <v>44578</v>
      </c>
      <c r="O69" s="606">
        <v>44596</v>
      </c>
      <c r="P69" s="606">
        <v>44596</v>
      </c>
      <c r="Q69" s="606">
        <v>44578</v>
      </c>
      <c r="R69" s="606">
        <v>44215</v>
      </c>
      <c r="S69" s="554" t="s">
        <v>1216</v>
      </c>
      <c r="T69" s="607">
        <v>514.82000000000005</v>
      </c>
      <c r="U69" s="607">
        <v>809.74</v>
      </c>
      <c r="V69" s="607">
        <v>63.25</v>
      </c>
      <c r="W69" s="607">
        <v>541.30850603215913</v>
      </c>
      <c r="X69" s="554">
        <v>157.75</v>
      </c>
      <c r="Y69" s="554">
        <v>33.1</v>
      </c>
      <c r="Z69" s="607">
        <f t="shared" si="2"/>
        <v>14.008502</v>
      </c>
      <c r="AA69" s="608">
        <v>1.4999999999999999E-2</v>
      </c>
      <c r="AB69" s="608">
        <v>1.4999999999999999E-2</v>
      </c>
      <c r="AC69" s="608">
        <v>1.4999999999999999E-2</v>
      </c>
      <c r="AD69" s="626" t="s">
        <v>1656</v>
      </c>
      <c r="AE69" s="554"/>
      <c r="AF69" s="554"/>
      <c r="AG69" s="554"/>
      <c r="AH69" s="554"/>
      <c r="AI69" s="554"/>
      <c r="AJ69" s="779"/>
      <c r="AK69" s="779"/>
      <c r="AL69" s="779"/>
      <c r="AM69" s="609" t="s">
        <v>1669</v>
      </c>
    </row>
    <row r="70" spans="1:39" s="683" customFormat="1" ht="15.75">
      <c r="A70" s="2087">
        <f>A69+1</f>
        <v>43</v>
      </c>
      <c r="B70" s="2079" t="s">
        <v>1550</v>
      </c>
      <c r="C70" s="2079" t="s">
        <v>29</v>
      </c>
      <c r="D70" s="2079" t="s">
        <v>1635</v>
      </c>
      <c r="E70" s="551" t="s">
        <v>1638</v>
      </c>
      <c r="F70" s="551" t="s">
        <v>1642</v>
      </c>
      <c r="G70" s="2079" t="s">
        <v>452</v>
      </c>
      <c r="H70" s="551">
        <v>173000</v>
      </c>
      <c r="I70" s="551" t="s">
        <v>34</v>
      </c>
      <c r="J70" s="551" t="s">
        <v>34</v>
      </c>
      <c r="K70" s="551" t="s">
        <v>48</v>
      </c>
      <c r="L70" s="551" t="s">
        <v>35</v>
      </c>
      <c r="M70" s="2079" t="s">
        <v>36</v>
      </c>
      <c r="N70" s="2077">
        <v>44578</v>
      </c>
      <c r="O70" s="2077">
        <v>44582</v>
      </c>
      <c r="P70" s="2077" t="s">
        <v>1654</v>
      </c>
      <c r="Q70" s="2077">
        <v>44578</v>
      </c>
      <c r="R70" s="2077">
        <v>44215</v>
      </c>
      <c r="S70" s="2079" t="s">
        <v>1216</v>
      </c>
      <c r="T70" s="592">
        <v>158.06</v>
      </c>
      <c r="U70" s="592">
        <v>269.66000000000003</v>
      </c>
      <c r="V70" s="592">
        <v>23.06</v>
      </c>
      <c r="W70" s="592">
        <v>264.77590268283001</v>
      </c>
      <c r="X70" s="551">
        <v>37.25</v>
      </c>
      <c r="Y70" s="551">
        <v>15.33</v>
      </c>
      <c r="Z70" s="592">
        <f t="shared" si="2"/>
        <v>4.6651180000000005</v>
      </c>
      <c r="AA70" s="593">
        <v>1.4999999999999999E-2</v>
      </c>
      <c r="AB70" s="593">
        <v>1.4999999999999999E-2</v>
      </c>
      <c r="AC70" s="593">
        <v>1.4999999999999999E-2</v>
      </c>
      <c r="AD70" s="634" t="s">
        <v>1547</v>
      </c>
      <c r="AE70" s="2084" t="s">
        <v>1675</v>
      </c>
      <c r="AF70" s="551"/>
      <c r="AG70" s="551"/>
      <c r="AH70" s="551"/>
      <c r="AI70" s="551"/>
      <c r="AJ70" s="777"/>
      <c r="AK70" s="777"/>
      <c r="AL70" s="777"/>
      <c r="AM70" s="2110" t="s">
        <v>1669</v>
      </c>
    </row>
    <row r="71" spans="1:39" s="683" customFormat="1" ht="16.5" thickBot="1">
      <c r="A71" s="2088"/>
      <c r="B71" s="2076"/>
      <c r="C71" s="2076"/>
      <c r="D71" s="2076"/>
      <c r="E71" s="552" t="s">
        <v>1639</v>
      </c>
      <c r="F71" s="552" t="s">
        <v>1643</v>
      </c>
      <c r="G71" s="2076"/>
      <c r="H71" s="552">
        <v>173000</v>
      </c>
      <c r="I71" s="552" t="s">
        <v>34</v>
      </c>
      <c r="J71" s="552" t="s">
        <v>34</v>
      </c>
      <c r="K71" s="552" t="s">
        <v>48</v>
      </c>
      <c r="L71" s="552" t="s">
        <v>35</v>
      </c>
      <c r="M71" s="2076"/>
      <c r="N71" s="2078"/>
      <c r="O71" s="2078"/>
      <c r="P71" s="2078"/>
      <c r="Q71" s="2078"/>
      <c r="R71" s="2078"/>
      <c r="S71" s="2076"/>
      <c r="T71" s="594">
        <v>156.31</v>
      </c>
      <c r="U71" s="594">
        <v>262.94</v>
      </c>
      <c r="V71" s="594">
        <v>22.01</v>
      </c>
      <c r="W71" s="594">
        <v>208.58787860266128</v>
      </c>
      <c r="X71" s="552">
        <v>33.25</v>
      </c>
      <c r="Y71" s="552">
        <v>15.33</v>
      </c>
      <c r="Z71" s="594">
        <f t="shared" si="2"/>
        <v>4.5488619999999997</v>
      </c>
      <c r="AA71" s="595">
        <v>1.4999999999999999E-2</v>
      </c>
      <c r="AB71" s="595">
        <v>1.4999999999999999E-2</v>
      </c>
      <c r="AC71" s="595">
        <v>1.4999999999999999E-2</v>
      </c>
      <c r="AD71" s="638" t="s">
        <v>1547</v>
      </c>
      <c r="AE71" s="2086"/>
      <c r="AF71" s="552"/>
      <c r="AG71" s="552"/>
      <c r="AH71" s="552"/>
      <c r="AI71" s="552"/>
      <c r="AJ71" s="778"/>
      <c r="AK71" s="778"/>
      <c r="AL71" s="778"/>
      <c r="AM71" s="2111"/>
    </row>
    <row r="72" spans="1:39" s="683" customFormat="1" ht="15.75">
      <c r="A72" s="2089">
        <f>A70+1</f>
        <v>44</v>
      </c>
      <c r="B72" s="2075" t="s">
        <v>1550</v>
      </c>
      <c r="C72" s="2075" t="s">
        <v>29</v>
      </c>
      <c r="D72" s="2075" t="s">
        <v>1636</v>
      </c>
      <c r="E72" s="553" t="s">
        <v>1640</v>
      </c>
      <c r="F72" s="553" t="s">
        <v>1645</v>
      </c>
      <c r="G72" s="2075" t="s">
        <v>452</v>
      </c>
      <c r="H72" s="553">
        <v>183041</v>
      </c>
      <c r="I72" s="553" t="s">
        <v>34</v>
      </c>
      <c r="J72" s="553" t="s">
        <v>34</v>
      </c>
      <c r="K72" s="553" t="s">
        <v>48</v>
      </c>
      <c r="L72" s="553" t="s">
        <v>35</v>
      </c>
      <c r="M72" s="2075" t="s">
        <v>36</v>
      </c>
      <c r="N72" s="2080">
        <v>44572</v>
      </c>
      <c r="O72" s="2080">
        <v>44582</v>
      </c>
      <c r="P72" s="2080">
        <v>44596</v>
      </c>
      <c r="Q72" s="2080">
        <v>44572</v>
      </c>
      <c r="R72" s="2080">
        <v>44576</v>
      </c>
      <c r="S72" s="2075" t="s">
        <v>1216</v>
      </c>
      <c r="T72" s="596">
        <v>119.46</v>
      </c>
      <c r="U72" s="596">
        <v>183.74</v>
      </c>
      <c r="V72" s="596">
        <v>13.98</v>
      </c>
      <c r="W72" s="596">
        <v>125.76958803226124</v>
      </c>
      <c r="X72" s="553">
        <v>41.75</v>
      </c>
      <c r="Y72" s="553">
        <v>15.56</v>
      </c>
      <c r="Z72" s="596">
        <f t="shared" si="2"/>
        <v>3.3631953340000003</v>
      </c>
      <c r="AA72" s="597">
        <v>1.4999999999999999E-2</v>
      </c>
      <c r="AB72" s="597">
        <v>1.4999999999999999E-2</v>
      </c>
      <c r="AC72" s="597">
        <v>1.4999999999999999E-2</v>
      </c>
      <c r="AD72" s="639" t="s">
        <v>1656</v>
      </c>
      <c r="AE72" s="2084"/>
      <c r="AF72" s="553"/>
      <c r="AG72" s="553"/>
      <c r="AH72" s="553"/>
      <c r="AI72" s="553"/>
      <c r="AJ72" s="782"/>
      <c r="AK72" s="782"/>
      <c r="AL72" s="782"/>
      <c r="AM72" s="2134" t="s">
        <v>1669</v>
      </c>
    </row>
    <row r="73" spans="1:39" s="683" customFormat="1" ht="16.5" thickBot="1">
      <c r="A73" s="2088"/>
      <c r="B73" s="2076"/>
      <c r="C73" s="2076"/>
      <c r="D73" s="2076"/>
      <c r="E73" s="552" t="s">
        <v>1641</v>
      </c>
      <c r="F73" s="552" t="s">
        <v>1646</v>
      </c>
      <c r="G73" s="2076"/>
      <c r="H73" s="552">
        <v>183041</v>
      </c>
      <c r="I73" s="552" t="s">
        <v>34</v>
      </c>
      <c r="J73" s="552" t="s">
        <v>34</v>
      </c>
      <c r="K73" s="552" t="s">
        <v>48</v>
      </c>
      <c r="L73" s="552" t="s">
        <v>35</v>
      </c>
      <c r="M73" s="2076"/>
      <c r="N73" s="2078"/>
      <c r="O73" s="2078"/>
      <c r="P73" s="2078"/>
      <c r="Q73" s="2078"/>
      <c r="R73" s="2078"/>
      <c r="S73" s="2076"/>
      <c r="T73" s="594">
        <v>119.46</v>
      </c>
      <c r="U73" s="594">
        <v>183.74</v>
      </c>
      <c r="V73" s="594">
        <v>13.98</v>
      </c>
      <c r="W73" s="594">
        <v>119.56424670266999</v>
      </c>
      <c r="X73" s="552">
        <v>40.25</v>
      </c>
      <c r="Y73" s="552">
        <v>15.56</v>
      </c>
      <c r="Z73" s="594">
        <f t="shared" si="2"/>
        <v>3.3631953340000003</v>
      </c>
      <c r="AA73" s="595">
        <v>1.4999999999999999E-2</v>
      </c>
      <c r="AB73" s="595">
        <v>1.4999999999999999E-2</v>
      </c>
      <c r="AC73" s="595">
        <v>1.4999999999999999E-2</v>
      </c>
      <c r="AD73" s="638" t="s">
        <v>1656</v>
      </c>
      <c r="AE73" s="2086"/>
      <c r="AF73" s="552"/>
      <c r="AG73" s="552"/>
      <c r="AH73" s="552"/>
      <c r="AI73" s="552"/>
      <c r="AJ73" s="778"/>
      <c r="AK73" s="778"/>
      <c r="AL73" s="778"/>
      <c r="AM73" s="2111"/>
    </row>
    <row r="74" spans="1:39" s="683" customFormat="1" ht="16.5" thickBot="1">
      <c r="A74" s="610">
        <v>45</v>
      </c>
      <c r="B74" s="555" t="s">
        <v>1644</v>
      </c>
      <c r="C74" s="555" t="s">
        <v>29</v>
      </c>
      <c r="D74" s="555" t="s">
        <v>1647</v>
      </c>
      <c r="E74" s="555" t="s">
        <v>1649</v>
      </c>
      <c r="F74" s="555" t="s">
        <v>1651</v>
      </c>
      <c r="G74" s="555" t="s">
        <v>1593</v>
      </c>
      <c r="H74" s="555">
        <v>42799</v>
      </c>
      <c r="I74" s="555" t="s">
        <v>34</v>
      </c>
      <c r="J74" s="555" t="s">
        <v>34</v>
      </c>
      <c r="K74" s="555" t="s">
        <v>48</v>
      </c>
      <c r="L74" s="555" t="s">
        <v>35</v>
      </c>
      <c r="M74" s="555" t="s">
        <v>237</v>
      </c>
      <c r="N74" s="611">
        <v>44572</v>
      </c>
      <c r="O74" s="611">
        <v>44589</v>
      </c>
      <c r="P74" s="611">
        <v>44588</v>
      </c>
      <c r="Q74" s="611">
        <v>44572</v>
      </c>
      <c r="R74" s="611">
        <v>44576</v>
      </c>
      <c r="S74" s="555" t="s">
        <v>1216</v>
      </c>
      <c r="T74" s="612">
        <v>123.44633639386917</v>
      </c>
      <c r="U74" s="612">
        <v>266.42546924174309</v>
      </c>
      <c r="V74" s="612">
        <v>28.76056838567126</v>
      </c>
      <c r="W74" s="612">
        <v>37.124593604175004</v>
      </c>
      <c r="X74" s="555">
        <v>42.75</v>
      </c>
      <c r="Y74" s="612">
        <v>20.504300000000001</v>
      </c>
      <c r="Z74" s="594">
        <f t="shared" si="2"/>
        <v>1.1402743658077363</v>
      </c>
      <c r="AA74" s="613">
        <v>0.01</v>
      </c>
      <c r="AB74" s="613">
        <v>0.01</v>
      </c>
      <c r="AC74" s="613">
        <v>0.01</v>
      </c>
      <c r="AD74" s="638" t="s">
        <v>1656</v>
      </c>
      <c r="AE74" s="555"/>
      <c r="AF74" s="555"/>
      <c r="AG74" s="555"/>
      <c r="AH74" s="555"/>
      <c r="AI74" s="555"/>
      <c r="AJ74" s="780"/>
      <c r="AK74" s="780"/>
      <c r="AL74" s="780"/>
      <c r="AM74" s="614" t="s">
        <v>1667</v>
      </c>
    </row>
    <row r="75" spans="1:39" s="683" customFormat="1" ht="32.25" thickBot="1">
      <c r="A75" s="2082">
        <v>46</v>
      </c>
      <c r="B75" s="2084" t="s">
        <v>1644</v>
      </c>
      <c r="C75" s="2084" t="s">
        <v>29</v>
      </c>
      <c r="D75" s="550" t="s">
        <v>1648</v>
      </c>
      <c r="E75" s="550" t="s">
        <v>1650</v>
      </c>
      <c r="F75" s="550" t="s">
        <v>1652</v>
      </c>
      <c r="G75" s="550" t="s">
        <v>1593</v>
      </c>
      <c r="H75" s="550">
        <v>42799</v>
      </c>
      <c r="I75" s="550" t="s">
        <v>34</v>
      </c>
      <c r="J75" s="550" t="s">
        <v>34</v>
      </c>
      <c r="K75" s="550" t="s">
        <v>48</v>
      </c>
      <c r="L75" s="550" t="s">
        <v>35</v>
      </c>
      <c r="M75" s="550" t="s">
        <v>237</v>
      </c>
      <c r="N75" s="585">
        <v>44572</v>
      </c>
      <c r="O75" s="585">
        <v>44589</v>
      </c>
      <c r="P75" s="585">
        <v>44589</v>
      </c>
      <c r="Q75" s="585">
        <v>44572</v>
      </c>
      <c r="R75" s="585">
        <v>44576</v>
      </c>
      <c r="S75" s="550" t="s">
        <v>1216</v>
      </c>
      <c r="T75" s="586">
        <v>264.88526882206247</v>
      </c>
      <c r="U75" s="586">
        <v>449.02573556213673</v>
      </c>
      <c r="V75" s="586">
        <v>35.675347034235116</v>
      </c>
      <c r="W75" s="586">
        <v>75.359866960454994</v>
      </c>
      <c r="X75" s="550">
        <v>40.1</v>
      </c>
      <c r="Y75" s="586">
        <v>23.738900000000001</v>
      </c>
      <c r="Z75" s="594">
        <f t="shared" si="2"/>
        <v>1.9217852456323887</v>
      </c>
      <c r="AA75" s="587">
        <v>0.01</v>
      </c>
      <c r="AB75" s="587">
        <v>0.01</v>
      </c>
      <c r="AC75" s="587">
        <v>0.01</v>
      </c>
      <c r="AD75" s="1911" t="s">
        <v>1580</v>
      </c>
      <c r="AE75" s="550" t="s">
        <v>1664</v>
      </c>
      <c r="AF75" s="550"/>
      <c r="AG75" s="550"/>
      <c r="AH75" s="550"/>
      <c r="AI75" s="550"/>
      <c r="AJ75" s="780"/>
      <c r="AK75" s="780"/>
      <c r="AL75" s="780"/>
      <c r="AM75" s="614" t="s">
        <v>1667</v>
      </c>
    </row>
    <row r="76" spans="1:39" s="683" customFormat="1" ht="38.25" customHeight="1" thickBot="1">
      <c r="A76" s="2083"/>
      <c r="B76" s="2085"/>
      <c r="C76" s="2085"/>
      <c r="D76" s="554" t="s">
        <v>1660</v>
      </c>
      <c r="E76" s="554" t="s">
        <v>1650</v>
      </c>
      <c r="F76" s="554" t="s">
        <v>1652</v>
      </c>
      <c r="G76" s="554" t="s">
        <v>1593</v>
      </c>
      <c r="H76" s="554">
        <v>42799</v>
      </c>
      <c r="I76" s="554" t="s">
        <v>34</v>
      </c>
      <c r="J76" s="554" t="s">
        <v>34</v>
      </c>
      <c r="K76" s="554" t="s">
        <v>48</v>
      </c>
      <c r="L76" s="554" t="s">
        <v>35</v>
      </c>
      <c r="M76" s="554" t="s">
        <v>237</v>
      </c>
      <c r="N76" s="606">
        <v>44572</v>
      </c>
      <c r="O76" s="606">
        <v>44589</v>
      </c>
      <c r="P76" s="606">
        <v>44589</v>
      </c>
      <c r="Q76" s="606">
        <v>44572</v>
      </c>
      <c r="R76" s="606">
        <v>44576</v>
      </c>
      <c r="S76" s="554" t="s">
        <v>1216</v>
      </c>
      <c r="T76" s="607">
        <v>264.88526882206247</v>
      </c>
      <c r="U76" s="607">
        <v>449.35</v>
      </c>
      <c r="V76" s="607">
        <v>35.75</v>
      </c>
      <c r="W76" s="607">
        <v>76.05</v>
      </c>
      <c r="X76" s="554">
        <f>11.06+16+14.5</f>
        <v>41.56</v>
      </c>
      <c r="Y76" s="607">
        <v>30.59</v>
      </c>
      <c r="Z76" s="599">
        <f t="shared" si="2"/>
        <v>1.9231730650000003</v>
      </c>
      <c r="AA76" s="608">
        <v>0.01</v>
      </c>
      <c r="AB76" s="608">
        <v>0.01</v>
      </c>
      <c r="AC76" s="608">
        <v>0.01</v>
      </c>
      <c r="AD76" s="1981"/>
      <c r="AE76" s="554"/>
      <c r="AF76" s="555"/>
      <c r="AG76" s="555"/>
      <c r="AH76" s="555"/>
      <c r="AI76" s="555"/>
      <c r="AJ76" s="780"/>
      <c r="AK76" s="780"/>
      <c r="AL76" s="780"/>
      <c r="AM76" s="614" t="s">
        <v>1667</v>
      </c>
    </row>
    <row r="77" spans="1:39" s="683" customFormat="1" ht="83.25" customHeight="1" thickBot="1">
      <c r="A77" s="620">
        <v>47</v>
      </c>
      <c r="B77" s="607" t="s">
        <v>1550</v>
      </c>
      <c r="C77" s="607" t="s">
        <v>29</v>
      </c>
      <c r="D77" s="607" t="s">
        <v>1661</v>
      </c>
      <c r="E77" s="607" t="s">
        <v>1662</v>
      </c>
      <c r="F77" s="607" t="s">
        <v>1663</v>
      </c>
      <c r="G77" s="607" t="s">
        <v>452</v>
      </c>
      <c r="H77" s="621">
        <v>22800</v>
      </c>
      <c r="I77" s="607" t="s">
        <v>34</v>
      </c>
      <c r="J77" s="607" t="s">
        <v>34</v>
      </c>
      <c r="K77" s="607" t="s">
        <v>48</v>
      </c>
      <c r="L77" s="607" t="s">
        <v>35</v>
      </c>
      <c r="M77" s="607" t="s">
        <v>36</v>
      </c>
      <c r="N77" s="606">
        <v>44617</v>
      </c>
      <c r="O77" s="606">
        <v>44643</v>
      </c>
      <c r="P77" s="606">
        <v>44642</v>
      </c>
      <c r="Q77" s="606">
        <v>44617</v>
      </c>
      <c r="R77" s="606">
        <v>44623</v>
      </c>
      <c r="S77" s="607" t="s">
        <v>1216</v>
      </c>
      <c r="T77" s="607">
        <v>381.12347634360009</v>
      </c>
      <c r="U77" s="607">
        <v>557.09193058594894</v>
      </c>
      <c r="V77" s="607">
        <v>34.018360430233137</v>
      </c>
      <c r="W77" s="607">
        <v>300.82877966439378</v>
      </c>
      <c r="X77" s="607">
        <v>54.5</v>
      </c>
      <c r="Y77" s="607">
        <v>34.6</v>
      </c>
      <c r="Z77" s="607">
        <f t="shared" si="2"/>
        <v>1.2701696017359636</v>
      </c>
      <c r="AA77" s="608">
        <v>0.01</v>
      </c>
      <c r="AB77" s="608">
        <v>0.01</v>
      </c>
      <c r="AC77" s="608">
        <v>0.01</v>
      </c>
      <c r="AD77" s="628" t="s">
        <v>1774</v>
      </c>
      <c r="AE77" s="607" t="s">
        <v>1762</v>
      </c>
      <c r="AF77" s="622"/>
      <c r="AG77" s="622"/>
      <c r="AH77" s="622"/>
      <c r="AI77" s="622"/>
      <c r="AJ77" s="783"/>
      <c r="AK77" s="783"/>
      <c r="AL77" s="783"/>
      <c r="AM77" s="623" t="s">
        <v>1669</v>
      </c>
    </row>
    <row r="78" spans="1:39" s="684" customFormat="1" ht="15.75">
      <c r="A78" s="2120">
        <v>48</v>
      </c>
      <c r="B78" s="2123" t="s">
        <v>1550</v>
      </c>
      <c r="C78" s="2123" t="s">
        <v>29</v>
      </c>
      <c r="D78" s="2123" t="s">
        <v>1676</v>
      </c>
      <c r="E78" s="592" t="s">
        <v>1679</v>
      </c>
      <c r="F78" s="592" t="s">
        <v>1684</v>
      </c>
      <c r="G78" s="2123" t="s">
        <v>452</v>
      </c>
      <c r="H78" s="627">
        <v>152000</v>
      </c>
      <c r="I78" s="2123" t="s">
        <v>34</v>
      </c>
      <c r="J78" s="2123" t="s">
        <v>34</v>
      </c>
      <c r="K78" s="2123" t="s">
        <v>34</v>
      </c>
      <c r="L78" s="2123" t="s">
        <v>35</v>
      </c>
      <c r="M78" s="2123" t="s">
        <v>36</v>
      </c>
      <c r="N78" s="2106">
        <v>44629</v>
      </c>
      <c r="O78" s="2106">
        <v>44652</v>
      </c>
      <c r="P78" s="2106"/>
      <c r="Q78" s="2106">
        <v>44629</v>
      </c>
      <c r="R78" s="2106">
        <v>44636</v>
      </c>
      <c r="S78" s="2123" t="s">
        <v>1216</v>
      </c>
      <c r="T78" s="592">
        <v>1289.67</v>
      </c>
      <c r="U78" s="592">
        <v>1963.83</v>
      </c>
      <c r="V78" s="592">
        <v>149.33000000000001</v>
      </c>
      <c r="W78" s="592">
        <v>1200.48</v>
      </c>
      <c r="X78" s="592">
        <f>90.75+29.13+148.75</f>
        <v>268.63</v>
      </c>
      <c r="Y78" s="592">
        <v>108.35</v>
      </c>
      <c r="Z78" s="592">
        <f t="shared" si="2"/>
        <v>29.850216</v>
      </c>
      <c r="AA78" s="672">
        <v>1.4999999999999999E-2</v>
      </c>
      <c r="AB78" s="672">
        <v>1.4999999999999999E-2</v>
      </c>
      <c r="AC78" s="672">
        <v>1.4999999999999999E-2</v>
      </c>
      <c r="AD78" s="2001" t="s">
        <v>1580</v>
      </c>
      <c r="AE78" s="2129" t="s">
        <v>1763</v>
      </c>
      <c r="AF78" s="592"/>
      <c r="AG78" s="592"/>
      <c r="AH78" s="592"/>
      <c r="AI78" s="592"/>
      <c r="AJ78" s="784"/>
      <c r="AK78" s="784"/>
      <c r="AL78" s="784"/>
      <c r="AM78" s="2126" t="s">
        <v>1669</v>
      </c>
    </row>
    <row r="79" spans="1:39" s="684" customFormat="1" ht="15.75">
      <c r="A79" s="2121"/>
      <c r="B79" s="2124"/>
      <c r="C79" s="2124"/>
      <c r="D79" s="2124"/>
      <c r="E79" s="598" t="s">
        <v>1680</v>
      </c>
      <c r="F79" s="598" t="s">
        <v>1684</v>
      </c>
      <c r="G79" s="2124"/>
      <c r="H79" s="629">
        <v>21000</v>
      </c>
      <c r="I79" s="2124"/>
      <c r="J79" s="2124"/>
      <c r="K79" s="2124"/>
      <c r="L79" s="2124"/>
      <c r="M79" s="2124"/>
      <c r="N79" s="2093"/>
      <c r="O79" s="2093"/>
      <c r="P79" s="2093"/>
      <c r="Q79" s="2093"/>
      <c r="R79" s="2093"/>
      <c r="S79" s="2124"/>
      <c r="T79" s="598">
        <v>1303.26</v>
      </c>
      <c r="U79" s="598">
        <v>1987.2</v>
      </c>
      <c r="V79" s="598">
        <v>151.47999999999999</v>
      </c>
      <c r="W79" s="598">
        <v>4.87</v>
      </c>
      <c r="X79" s="598">
        <v>2</v>
      </c>
      <c r="Y79" s="598"/>
      <c r="Z79" s="598">
        <f t="shared" si="2"/>
        <v>4.1731199999999999</v>
      </c>
      <c r="AA79" s="631">
        <v>1.4999999999999999E-2</v>
      </c>
      <c r="AB79" s="631">
        <v>1.4999999999999999E-2</v>
      </c>
      <c r="AC79" s="631">
        <v>1.4999999999999999E-2</v>
      </c>
      <c r="AD79" s="2002"/>
      <c r="AE79" s="2130"/>
      <c r="AF79" s="598"/>
      <c r="AG79" s="598"/>
      <c r="AH79" s="598"/>
      <c r="AI79" s="598"/>
      <c r="AJ79" s="783"/>
      <c r="AK79" s="783"/>
      <c r="AL79" s="783"/>
      <c r="AM79" s="2127"/>
    </row>
    <row r="80" spans="1:39" s="684" customFormat="1" ht="15.75">
      <c r="A80" s="2121"/>
      <c r="B80" s="2124"/>
      <c r="C80" s="2124"/>
      <c r="D80" s="2124"/>
      <c r="E80" s="598" t="s">
        <v>1681</v>
      </c>
      <c r="F80" s="598" t="s">
        <v>1685</v>
      </c>
      <c r="G80" s="2124"/>
      <c r="H80" s="629">
        <v>152000</v>
      </c>
      <c r="I80" s="2124"/>
      <c r="J80" s="2124"/>
      <c r="K80" s="2124"/>
      <c r="L80" s="2124"/>
      <c r="M80" s="2124"/>
      <c r="N80" s="2093"/>
      <c r="O80" s="2093"/>
      <c r="P80" s="2093"/>
      <c r="Q80" s="2093"/>
      <c r="R80" s="2093"/>
      <c r="S80" s="2124"/>
      <c r="T80" s="598">
        <v>1345.86</v>
      </c>
      <c r="U80" s="598">
        <v>2024.07</v>
      </c>
      <c r="V80" s="598">
        <v>150.9</v>
      </c>
      <c r="W80" s="598">
        <v>1152.3</v>
      </c>
      <c r="X80" s="598">
        <f>88.25+29.13+148.75</f>
        <v>266.13</v>
      </c>
      <c r="Y80" s="598">
        <v>108.35</v>
      </c>
      <c r="Z80" s="598">
        <f t="shared" si="2"/>
        <v>30.765864000000001</v>
      </c>
      <c r="AA80" s="631">
        <v>1.4999999999999999E-2</v>
      </c>
      <c r="AB80" s="631">
        <v>1.4999999999999999E-2</v>
      </c>
      <c r="AC80" s="631">
        <v>1.4999999999999999E-2</v>
      </c>
      <c r="AD80" s="2002"/>
      <c r="AE80" s="2130"/>
      <c r="AF80" s="598"/>
      <c r="AG80" s="598"/>
      <c r="AH80" s="598"/>
      <c r="AI80" s="598"/>
      <c r="AJ80" s="783"/>
      <c r="AK80" s="783"/>
      <c r="AL80" s="783"/>
      <c r="AM80" s="2127"/>
    </row>
    <row r="81" spans="1:39" s="684" customFormat="1" ht="16.5" thickBot="1">
      <c r="A81" s="2122"/>
      <c r="B81" s="2125"/>
      <c r="C81" s="2125"/>
      <c r="D81" s="2125"/>
      <c r="E81" s="594" t="s">
        <v>1682</v>
      </c>
      <c r="F81" s="594" t="s">
        <v>1685</v>
      </c>
      <c r="G81" s="2125"/>
      <c r="H81" s="630">
        <v>21000</v>
      </c>
      <c r="I81" s="2125"/>
      <c r="J81" s="2125"/>
      <c r="K81" s="2125"/>
      <c r="L81" s="2125"/>
      <c r="M81" s="2125"/>
      <c r="N81" s="2094"/>
      <c r="O81" s="2094"/>
      <c r="P81" s="2094"/>
      <c r="Q81" s="2094"/>
      <c r="R81" s="2094"/>
      <c r="S81" s="2125"/>
      <c r="T81" s="594">
        <v>1359.45</v>
      </c>
      <c r="U81" s="594">
        <v>2048.29</v>
      </c>
      <c r="V81" s="594">
        <v>153.22</v>
      </c>
      <c r="W81" s="594">
        <v>4.84</v>
      </c>
      <c r="X81" s="594">
        <v>2</v>
      </c>
      <c r="Y81" s="594"/>
      <c r="Z81" s="594">
        <f t="shared" si="2"/>
        <v>4.3014089999999996</v>
      </c>
      <c r="AA81" s="632">
        <v>1.4999999999999999E-2</v>
      </c>
      <c r="AB81" s="632">
        <v>1.4999999999999999E-2</v>
      </c>
      <c r="AC81" s="632">
        <v>1.4999999999999999E-2</v>
      </c>
      <c r="AD81" s="2003"/>
      <c r="AE81" s="2131"/>
      <c r="AF81" s="594"/>
      <c r="AG81" s="594"/>
      <c r="AH81" s="594"/>
      <c r="AI81" s="594"/>
      <c r="AJ81" s="785"/>
      <c r="AK81" s="785"/>
      <c r="AL81" s="785"/>
      <c r="AM81" s="2128"/>
    </row>
    <row r="82" spans="1:39" s="684" customFormat="1" ht="38.25" customHeight="1" thickBot="1">
      <c r="A82" s="620">
        <v>49</v>
      </c>
      <c r="B82" s="607" t="s">
        <v>1550</v>
      </c>
      <c r="C82" s="607" t="s">
        <v>29</v>
      </c>
      <c r="D82" s="607" t="s">
        <v>1677</v>
      </c>
      <c r="E82" s="607" t="s">
        <v>1686</v>
      </c>
      <c r="F82" s="607" t="s">
        <v>1678</v>
      </c>
      <c r="G82" s="607" t="s">
        <v>452</v>
      </c>
      <c r="H82" s="621">
        <v>194140</v>
      </c>
      <c r="I82" s="607" t="s">
        <v>34</v>
      </c>
      <c r="J82" s="607" t="s">
        <v>34</v>
      </c>
      <c r="K82" s="607" t="s">
        <v>34</v>
      </c>
      <c r="L82" s="607" t="s">
        <v>35</v>
      </c>
      <c r="M82" s="607" t="s">
        <v>36</v>
      </c>
      <c r="N82" s="606">
        <v>44629</v>
      </c>
      <c r="O82" s="606">
        <v>44646</v>
      </c>
      <c r="P82" s="606">
        <v>44646</v>
      </c>
      <c r="Q82" s="606">
        <v>44629</v>
      </c>
      <c r="R82" s="606">
        <v>44634</v>
      </c>
      <c r="S82" s="607" t="s">
        <v>1216</v>
      </c>
      <c r="T82" s="607">
        <v>210.62</v>
      </c>
      <c r="U82" s="607">
        <v>241.62</v>
      </c>
      <c r="V82" s="607">
        <v>13.68</v>
      </c>
      <c r="W82" s="607">
        <v>215.17</v>
      </c>
      <c r="X82" s="607">
        <v>20</v>
      </c>
      <c r="Y82" s="607">
        <v>19.8</v>
      </c>
      <c r="Z82" s="607">
        <f>H82*U82/10^7</f>
        <v>4.6908106800000002</v>
      </c>
      <c r="AA82" s="624">
        <v>0.01</v>
      </c>
      <c r="AB82" s="624">
        <v>0.01</v>
      </c>
      <c r="AC82" s="624">
        <v>0.01</v>
      </c>
      <c r="AD82" s="628" t="s">
        <v>1657</v>
      </c>
      <c r="AE82" s="607" t="s">
        <v>1673</v>
      </c>
      <c r="AF82" s="607"/>
      <c r="AG82" s="607"/>
      <c r="AH82" s="607"/>
      <c r="AI82" s="607"/>
      <c r="AJ82" s="784"/>
      <c r="AK82" s="784"/>
      <c r="AL82" s="784"/>
      <c r="AM82" s="625" t="s">
        <v>1669</v>
      </c>
    </row>
    <row r="83" spans="1:39" s="684" customFormat="1" ht="33.75" customHeight="1" thickBot="1">
      <c r="A83" s="618">
        <v>50</v>
      </c>
      <c r="B83" s="586" t="s">
        <v>1550</v>
      </c>
      <c r="C83" s="586" t="s">
        <v>1683</v>
      </c>
      <c r="D83" s="586" t="s">
        <v>1683</v>
      </c>
      <c r="E83" s="586" t="s">
        <v>1687</v>
      </c>
      <c r="F83" s="586" t="s">
        <v>1671</v>
      </c>
      <c r="G83" s="586" t="s">
        <v>1701</v>
      </c>
      <c r="H83" s="619">
        <v>193041</v>
      </c>
      <c r="I83" s="586" t="s">
        <v>48</v>
      </c>
      <c r="J83" s="586" t="s">
        <v>34</v>
      </c>
      <c r="K83" s="586" t="s">
        <v>48</v>
      </c>
      <c r="L83" s="586" t="s">
        <v>1688</v>
      </c>
      <c r="M83" s="586" t="s">
        <v>36</v>
      </c>
      <c r="N83" s="585">
        <v>44481</v>
      </c>
      <c r="O83" s="586"/>
      <c r="P83" s="586"/>
      <c r="Q83" s="586"/>
      <c r="R83" s="586"/>
      <c r="S83" s="586" t="s">
        <v>1216</v>
      </c>
      <c r="T83" s="586">
        <f>169.18996*2</f>
        <v>338.37992000000003</v>
      </c>
      <c r="U83" s="586">
        <f>278.380697615308*2</f>
        <v>556.76139523061602</v>
      </c>
      <c r="V83" s="586">
        <v>16.469954988425698</v>
      </c>
      <c r="W83" s="586"/>
      <c r="X83" s="586">
        <v>33</v>
      </c>
      <c r="Y83" s="586">
        <v>23.751919999999998</v>
      </c>
      <c r="Z83" s="586">
        <f>H83*U83/10^7</f>
        <v>10.747777649671335</v>
      </c>
      <c r="AA83" s="586"/>
      <c r="AB83" s="586"/>
      <c r="AC83" s="586"/>
      <c r="AD83" s="640" t="s">
        <v>1657</v>
      </c>
      <c r="AE83" s="661" t="s">
        <v>1761</v>
      </c>
      <c r="AF83" s="586"/>
      <c r="AG83" s="586"/>
      <c r="AH83" s="586"/>
      <c r="AI83" s="586"/>
      <c r="AJ83" s="786"/>
      <c r="AK83" s="786"/>
      <c r="AL83" s="786"/>
      <c r="AM83" s="617" t="s">
        <v>1669</v>
      </c>
    </row>
    <row r="84" spans="1:39" s="684" customFormat="1" ht="63.75" thickBot="1">
      <c r="A84" s="685">
        <v>51</v>
      </c>
      <c r="B84" s="686" t="s">
        <v>1690</v>
      </c>
      <c r="C84" s="637" t="s">
        <v>1691</v>
      </c>
      <c r="D84" s="637" t="s">
        <v>1691</v>
      </c>
      <c r="E84" s="550" t="s">
        <v>1692</v>
      </c>
      <c r="F84" s="550" t="s">
        <v>1693</v>
      </c>
      <c r="G84" s="637" t="s">
        <v>1700</v>
      </c>
      <c r="H84" s="687">
        <v>118000</v>
      </c>
      <c r="I84" s="637" t="s">
        <v>34</v>
      </c>
      <c r="J84" s="637" t="s">
        <v>34</v>
      </c>
      <c r="K84" s="637" t="s">
        <v>34</v>
      </c>
      <c r="L84" s="637" t="s">
        <v>1694</v>
      </c>
      <c r="M84" s="637" t="s">
        <v>36</v>
      </c>
      <c r="N84" s="673">
        <v>44614</v>
      </c>
      <c r="O84" s="673"/>
      <c r="P84" s="673">
        <v>44708</v>
      </c>
      <c r="Q84" s="673">
        <v>44614</v>
      </c>
      <c r="R84" s="673">
        <v>44617</v>
      </c>
      <c r="S84" s="637" t="s">
        <v>1216</v>
      </c>
      <c r="T84" s="586">
        <v>3041.3447671831027</v>
      </c>
      <c r="U84" s="586">
        <v>4697.3627928024398</v>
      </c>
      <c r="V84" s="586">
        <v>319.41031856956675</v>
      </c>
      <c r="W84" s="586">
        <v>385.36584310455015</v>
      </c>
      <c r="X84" s="586">
        <v>155.80000000000001</v>
      </c>
      <c r="Y84" s="586">
        <v>105.38015</v>
      </c>
      <c r="Z84" s="586">
        <f t="shared" ref="Z84:Z86" si="5">H84*U84/10^7</f>
        <v>55.428880955068792</v>
      </c>
      <c r="AA84" s="637"/>
      <c r="AB84" s="637"/>
      <c r="AC84" s="637"/>
      <c r="AD84" s="637" t="s">
        <v>1657</v>
      </c>
      <c r="AE84" s="586" t="s">
        <v>1806</v>
      </c>
      <c r="AF84" s="640"/>
      <c r="AG84" s="640"/>
      <c r="AH84" s="637"/>
      <c r="AI84" s="637"/>
      <c r="AJ84" s="753"/>
      <c r="AK84" s="753"/>
      <c r="AL84" s="753"/>
      <c r="AM84" s="688"/>
    </row>
    <row r="85" spans="1:39" s="684" customFormat="1" ht="21" customHeight="1" thickBot="1">
      <c r="A85" s="685">
        <v>52</v>
      </c>
      <c r="B85" s="686" t="s">
        <v>1695</v>
      </c>
      <c r="C85" s="637" t="s">
        <v>1696</v>
      </c>
      <c r="D85" s="637" t="s">
        <v>1696</v>
      </c>
      <c r="E85" s="550" t="s">
        <v>1697</v>
      </c>
      <c r="F85" s="689" t="s">
        <v>1698</v>
      </c>
      <c r="G85" s="637" t="s">
        <v>1699</v>
      </c>
      <c r="H85" s="687">
        <v>700000</v>
      </c>
      <c r="I85" s="637" t="s">
        <v>48</v>
      </c>
      <c r="J85" s="637" t="s">
        <v>34</v>
      </c>
      <c r="K85" s="637" t="s">
        <v>34</v>
      </c>
      <c r="L85" s="637" t="s">
        <v>35</v>
      </c>
      <c r="M85" s="637" t="s">
        <v>36</v>
      </c>
      <c r="N85" s="673">
        <v>44614</v>
      </c>
      <c r="O85" s="673"/>
      <c r="P85" s="637"/>
      <c r="Q85" s="673"/>
      <c r="R85" s="673"/>
      <c r="S85" s="637" t="s">
        <v>541</v>
      </c>
      <c r="T85" s="637"/>
      <c r="U85" s="637"/>
      <c r="V85" s="637"/>
      <c r="W85" s="637"/>
      <c r="X85" s="637"/>
      <c r="Y85" s="637"/>
      <c r="Z85" s="633"/>
      <c r="AA85" s="637"/>
      <c r="AB85" s="637"/>
      <c r="AC85" s="637"/>
      <c r="AD85" s="637"/>
      <c r="AE85" s="586" t="s">
        <v>1734</v>
      </c>
      <c r="AF85" s="637"/>
      <c r="AG85" s="637"/>
      <c r="AH85" s="637"/>
      <c r="AI85" s="637"/>
      <c r="AJ85" s="753"/>
      <c r="AK85" s="753"/>
      <c r="AL85" s="753"/>
      <c r="AM85" s="688" t="s">
        <v>1713</v>
      </c>
    </row>
    <row r="86" spans="1:39" s="684" customFormat="1" ht="16.5" thickBot="1">
      <c r="A86" s="662">
        <v>53</v>
      </c>
      <c r="B86" s="663" t="s">
        <v>1550</v>
      </c>
      <c r="C86" s="663" t="s">
        <v>29</v>
      </c>
      <c r="D86" s="663" t="s">
        <v>1712</v>
      </c>
      <c r="E86" s="664" t="s">
        <v>1703</v>
      </c>
      <c r="F86" s="664" t="s">
        <v>1704</v>
      </c>
      <c r="G86" s="663" t="s">
        <v>452</v>
      </c>
      <c r="H86" s="665">
        <v>194140</v>
      </c>
      <c r="I86" s="663" t="s">
        <v>34</v>
      </c>
      <c r="J86" s="663" t="s">
        <v>34</v>
      </c>
      <c r="K86" s="663" t="s">
        <v>34</v>
      </c>
      <c r="L86" s="663" t="s">
        <v>35</v>
      </c>
      <c r="M86" s="663" t="s">
        <v>36</v>
      </c>
      <c r="N86" s="666">
        <v>44649</v>
      </c>
      <c r="O86" s="666">
        <v>44634</v>
      </c>
      <c r="P86" s="666">
        <v>44633</v>
      </c>
      <c r="Q86" s="666">
        <v>44629</v>
      </c>
      <c r="R86" s="666">
        <v>44634</v>
      </c>
      <c r="S86" s="663" t="s">
        <v>1216</v>
      </c>
      <c r="T86" s="663">
        <v>228.46217367564003</v>
      </c>
      <c r="U86" s="663">
        <v>283.57</v>
      </c>
      <c r="V86" s="663">
        <v>12.58</v>
      </c>
      <c r="W86" s="663">
        <v>158.6091094104234</v>
      </c>
      <c r="X86" s="663">
        <v>8</v>
      </c>
      <c r="Y86" s="663">
        <v>12.13</v>
      </c>
      <c r="Z86" s="667">
        <f t="shared" si="5"/>
        <v>5.5052279799999999</v>
      </c>
      <c r="AA86" s="668">
        <v>2.5000000000000001E-3</v>
      </c>
      <c r="AB86" s="668">
        <v>2.5000000000000001E-3</v>
      </c>
      <c r="AC86" s="668">
        <v>2.5000000000000001E-3</v>
      </c>
      <c r="AD86" s="663" t="s">
        <v>1657</v>
      </c>
      <c r="AE86" s="664" t="s">
        <v>1766</v>
      </c>
      <c r="AF86" s="663">
        <v>283.57</v>
      </c>
      <c r="AG86" s="663">
        <v>158.6091094104234</v>
      </c>
      <c r="AH86" s="663">
        <v>8</v>
      </c>
      <c r="AI86" s="663">
        <v>12.13</v>
      </c>
      <c r="AJ86" s="790">
        <v>2.5000000000000001E-3</v>
      </c>
      <c r="AK86" s="790">
        <v>2.5000000000000001E-3</v>
      </c>
      <c r="AL86" s="790">
        <v>2.5000000000000001E-3</v>
      </c>
      <c r="AM86" s="669" t="s">
        <v>1669</v>
      </c>
    </row>
    <row r="87" spans="1:39" s="684" customFormat="1" ht="15.75">
      <c r="A87" s="2135">
        <v>54</v>
      </c>
      <c r="B87" s="2001" t="s">
        <v>1550</v>
      </c>
      <c r="C87" s="2001" t="s">
        <v>29</v>
      </c>
      <c r="D87" s="2001" t="s">
        <v>1702</v>
      </c>
      <c r="E87" s="592" t="s">
        <v>1705</v>
      </c>
      <c r="F87" s="2123" t="s">
        <v>1338</v>
      </c>
      <c r="G87" s="2001" t="s">
        <v>452</v>
      </c>
      <c r="H87" s="627">
        <v>63840</v>
      </c>
      <c r="I87" s="2001" t="s">
        <v>34</v>
      </c>
      <c r="J87" s="2001" t="s">
        <v>34</v>
      </c>
      <c r="K87" s="2001" t="s">
        <v>34</v>
      </c>
      <c r="L87" s="2001" t="s">
        <v>35</v>
      </c>
      <c r="M87" s="2001" t="s">
        <v>36</v>
      </c>
      <c r="N87" s="1978">
        <v>44649</v>
      </c>
      <c r="O87" s="1978">
        <v>44673</v>
      </c>
      <c r="P87" s="1978">
        <v>44673</v>
      </c>
      <c r="Q87" s="1978">
        <v>44649</v>
      </c>
      <c r="R87" s="1978">
        <v>44624</v>
      </c>
      <c r="S87" s="2001" t="s">
        <v>1216</v>
      </c>
      <c r="T87" s="633">
        <v>764.9051186195594</v>
      </c>
      <c r="U87" s="633">
        <v>912.9985043545812</v>
      </c>
      <c r="V87" s="633">
        <v>64.44095238391624</v>
      </c>
      <c r="W87" s="633">
        <v>218.38191144732804</v>
      </c>
      <c r="X87" s="633">
        <v>221</v>
      </c>
      <c r="Y87" s="2001">
        <v>71.31</v>
      </c>
      <c r="Z87" s="633">
        <f t="shared" ref="Z87:Z93" si="6">H87*U87/10^7</f>
        <v>5.8285824517996456</v>
      </c>
      <c r="AA87" s="641">
        <v>1.4999999999999999E-2</v>
      </c>
      <c r="AB87" s="642">
        <v>1.4999999999999999E-2</v>
      </c>
      <c r="AC87" s="642">
        <v>1.4999999999999999E-2</v>
      </c>
      <c r="AD87" s="2001" t="s">
        <v>1580</v>
      </c>
      <c r="AE87" s="2129" t="s">
        <v>1764</v>
      </c>
      <c r="AF87" s="633"/>
      <c r="AG87" s="633"/>
      <c r="AH87" s="633"/>
      <c r="AI87" s="633"/>
      <c r="AJ87" s="787"/>
      <c r="AK87" s="787"/>
      <c r="AL87" s="787"/>
      <c r="AM87" s="2126" t="s">
        <v>1669</v>
      </c>
    </row>
    <row r="88" spans="1:39" s="684" customFormat="1" ht="15.75">
      <c r="A88" s="2136"/>
      <c r="B88" s="2002"/>
      <c r="C88" s="2002"/>
      <c r="D88" s="2002"/>
      <c r="E88" s="598" t="s">
        <v>1706</v>
      </c>
      <c r="F88" s="2124"/>
      <c r="G88" s="2002"/>
      <c r="H88" s="629">
        <v>16450</v>
      </c>
      <c r="I88" s="2002"/>
      <c r="J88" s="2002"/>
      <c r="K88" s="2002"/>
      <c r="L88" s="2002"/>
      <c r="M88" s="2002"/>
      <c r="N88" s="1979"/>
      <c r="O88" s="1979"/>
      <c r="P88" s="1979"/>
      <c r="Q88" s="1979"/>
      <c r="R88" s="1979"/>
      <c r="S88" s="2002"/>
      <c r="T88" s="643">
        <v>727.29959927214918</v>
      </c>
      <c r="U88" s="643">
        <v>858.12063446687523</v>
      </c>
      <c r="V88" s="643">
        <v>55.878635815399917</v>
      </c>
      <c r="W88" s="643">
        <v>297.62498535654737</v>
      </c>
      <c r="X88" s="643">
        <v>20.5</v>
      </c>
      <c r="Y88" s="2002"/>
      <c r="Z88" s="643">
        <f t="shared" si="6"/>
        <v>1.4116084436980096</v>
      </c>
      <c r="AA88" s="644">
        <v>1.4999999999999999E-2</v>
      </c>
      <c r="AB88" s="645">
        <v>1.4999999999999999E-2</v>
      </c>
      <c r="AC88" s="645">
        <v>1.4999999999999999E-2</v>
      </c>
      <c r="AD88" s="2002"/>
      <c r="AE88" s="2130"/>
      <c r="AF88" s="643"/>
      <c r="AG88" s="643"/>
      <c r="AH88" s="643"/>
      <c r="AI88" s="643"/>
      <c r="AJ88" s="788"/>
      <c r="AK88" s="788"/>
      <c r="AL88" s="788"/>
      <c r="AM88" s="2127"/>
    </row>
    <row r="89" spans="1:39" s="684" customFormat="1" ht="15.75">
      <c r="A89" s="2136"/>
      <c r="B89" s="2002"/>
      <c r="C89" s="2002"/>
      <c r="D89" s="2002"/>
      <c r="E89" s="598" t="s">
        <v>1707</v>
      </c>
      <c r="F89" s="2124"/>
      <c r="G89" s="2002"/>
      <c r="H89" s="629">
        <v>700</v>
      </c>
      <c r="I89" s="2002"/>
      <c r="J89" s="2002"/>
      <c r="K89" s="2002"/>
      <c r="L89" s="2002"/>
      <c r="M89" s="2002"/>
      <c r="N89" s="1979"/>
      <c r="O89" s="1979"/>
      <c r="P89" s="1979"/>
      <c r="Q89" s="1979"/>
      <c r="R89" s="1979"/>
      <c r="S89" s="2002"/>
      <c r="T89" s="643">
        <v>759.90968664356251</v>
      </c>
      <c r="U89" s="643">
        <v>902.87499188670449</v>
      </c>
      <c r="V89" s="643">
        <v>61.866043744396308</v>
      </c>
      <c r="W89" s="643">
        <v>371.01221527639495</v>
      </c>
      <c r="X89" s="643">
        <v>10</v>
      </c>
      <c r="Y89" s="2002"/>
      <c r="Z89" s="643">
        <f t="shared" si="6"/>
        <v>6.3201249432069326E-2</v>
      </c>
      <c r="AA89" s="645">
        <v>1.4999999999999999E-2</v>
      </c>
      <c r="AB89" s="645">
        <v>1.4999999999999999E-2</v>
      </c>
      <c r="AC89" s="645">
        <v>1.4999999999999999E-2</v>
      </c>
      <c r="AD89" s="2002"/>
      <c r="AE89" s="2130"/>
      <c r="AF89" s="643"/>
      <c r="AG89" s="643"/>
      <c r="AH89" s="643"/>
      <c r="AI89" s="643"/>
      <c r="AJ89" s="788"/>
      <c r="AK89" s="788"/>
      <c r="AL89" s="788"/>
      <c r="AM89" s="2127"/>
    </row>
    <row r="90" spans="1:39" s="684" customFormat="1" ht="15.75">
      <c r="A90" s="2136"/>
      <c r="B90" s="2002"/>
      <c r="C90" s="2002"/>
      <c r="D90" s="2002"/>
      <c r="E90" s="598" t="s">
        <v>1708</v>
      </c>
      <c r="F90" s="2124"/>
      <c r="G90" s="2002"/>
      <c r="H90" s="646">
        <v>22390</v>
      </c>
      <c r="I90" s="2002"/>
      <c r="J90" s="2002"/>
      <c r="K90" s="2002"/>
      <c r="L90" s="2002"/>
      <c r="M90" s="2002"/>
      <c r="N90" s="1979"/>
      <c r="O90" s="1979"/>
      <c r="P90" s="1979"/>
      <c r="Q90" s="1979"/>
      <c r="R90" s="1979"/>
      <c r="S90" s="2002"/>
      <c r="T90" s="647">
        <v>727.63317927214916</v>
      </c>
      <c r="U90" s="647">
        <v>858.4853897668753</v>
      </c>
      <c r="V90" s="647">
        <v>55.885307415399915</v>
      </c>
      <c r="W90" s="647">
        <v>0</v>
      </c>
      <c r="X90" s="647">
        <v>0</v>
      </c>
      <c r="Y90" s="2002"/>
      <c r="Z90" s="647">
        <f t="shared" si="6"/>
        <v>1.9221487876880337</v>
      </c>
      <c r="AA90" s="648">
        <v>1.4999999999999999E-2</v>
      </c>
      <c r="AB90" s="648">
        <v>1.4999999999999999E-2</v>
      </c>
      <c r="AC90" s="648">
        <v>1.4999999999999999E-2</v>
      </c>
      <c r="AD90" s="2002"/>
      <c r="AE90" s="2130"/>
      <c r="AF90" s="647"/>
      <c r="AG90" s="647"/>
      <c r="AH90" s="647"/>
      <c r="AI90" s="647"/>
      <c r="AJ90" s="788"/>
      <c r="AK90" s="788"/>
      <c r="AL90" s="788"/>
      <c r="AM90" s="2127"/>
    </row>
    <row r="91" spans="1:39" s="684" customFormat="1" ht="15.75">
      <c r="A91" s="2136"/>
      <c r="B91" s="2002"/>
      <c r="C91" s="2002"/>
      <c r="D91" s="2002"/>
      <c r="E91" s="598" t="s">
        <v>1709</v>
      </c>
      <c r="F91" s="2124"/>
      <c r="G91" s="2002"/>
      <c r="H91" s="646">
        <v>12160</v>
      </c>
      <c r="I91" s="2002"/>
      <c r="J91" s="2002"/>
      <c r="K91" s="2002"/>
      <c r="L91" s="2002"/>
      <c r="M91" s="2002"/>
      <c r="N91" s="1979"/>
      <c r="O91" s="1979"/>
      <c r="P91" s="1979"/>
      <c r="Q91" s="1979"/>
      <c r="R91" s="1979"/>
      <c r="S91" s="2002"/>
      <c r="T91" s="647">
        <v>745.98345593804459</v>
      </c>
      <c r="U91" s="647">
        <v>884.3379116204577</v>
      </c>
      <c r="V91" s="647">
        <v>59.541178387268182</v>
      </c>
      <c r="W91" s="647"/>
      <c r="X91" s="647"/>
      <c r="Y91" s="2002"/>
      <c r="Z91" s="647">
        <f t="shared" si="6"/>
        <v>1.0753549005304766</v>
      </c>
      <c r="AA91" s="648">
        <v>1.4999999999999999E-2</v>
      </c>
      <c r="AB91" s="648">
        <v>1.4999999999999999E-2</v>
      </c>
      <c r="AC91" s="648">
        <v>1.4999999999999999E-2</v>
      </c>
      <c r="AD91" s="2002"/>
      <c r="AE91" s="2130"/>
      <c r="AF91" s="647"/>
      <c r="AG91" s="647"/>
      <c r="AH91" s="647"/>
      <c r="AI91" s="647"/>
      <c r="AJ91" s="788"/>
      <c r="AK91" s="788"/>
      <c r="AL91" s="788"/>
      <c r="AM91" s="2127"/>
    </row>
    <row r="92" spans="1:39" s="684" customFormat="1" ht="15.75">
      <c r="A92" s="2136"/>
      <c r="B92" s="2002"/>
      <c r="C92" s="2002"/>
      <c r="D92" s="2002"/>
      <c r="E92" s="598" t="s">
        <v>1710</v>
      </c>
      <c r="F92" s="2124"/>
      <c r="G92" s="2002"/>
      <c r="H92" s="646">
        <v>600</v>
      </c>
      <c r="I92" s="2002"/>
      <c r="J92" s="2002"/>
      <c r="K92" s="2002"/>
      <c r="L92" s="2002"/>
      <c r="M92" s="2002"/>
      <c r="N92" s="1979"/>
      <c r="O92" s="1979"/>
      <c r="P92" s="1979"/>
      <c r="Q92" s="1979"/>
      <c r="R92" s="1979"/>
      <c r="S92" s="2002"/>
      <c r="T92" s="647">
        <v>746.13741593804457</v>
      </c>
      <c r="U92" s="647">
        <v>884.50626022045776</v>
      </c>
      <c r="V92" s="647">
        <v>59.544257587268177</v>
      </c>
      <c r="W92" s="647">
        <v>371.01221527639495</v>
      </c>
      <c r="X92" s="647">
        <v>10</v>
      </c>
      <c r="Y92" s="2002"/>
      <c r="Z92" s="647">
        <f t="shared" si="6"/>
        <v>5.3070375613227465E-2</v>
      </c>
      <c r="AA92" s="648">
        <v>1.4999999999999999E-2</v>
      </c>
      <c r="AB92" s="648">
        <v>1.4999999999999999E-2</v>
      </c>
      <c r="AC92" s="648">
        <v>1.4999999999999999E-2</v>
      </c>
      <c r="AD92" s="2002"/>
      <c r="AE92" s="2130"/>
      <c r="AF92" s="647"/>
      <c r="AG92" s="647"/>
      <c r="AH92" s="647"/>
      <c r="AI92" s="647"/>
      <c r="AJ92" s="788"/>
      <c r="AK92" s="788"/>
      <c r="AL92" s="788"/>
      <c r="AM92" s="2127"/>
    </row>
    <row r="93" spans="1:39" s="684" customFormat="1" ht="16.5" thickBot="1">
      <c r="A93" s="2137"/>
      <c r="B93" s="2003"/>
      <c r="C93" s="2003"/>
      <c r="D93" s="2003"/>
      <c r="E93" s="594" t="s">
        <v>1711</v>
      </c>
      <c r="F93" s="2125"/>
      <c r="G93" s="2003"/>
      <c r="H93" s="630">
        <v>76000</v>
      </c>
      <c r="I93" s="2003"/>
      <c r="J93" s="2003"/>
      <c r="K93" s="2003"/>
      <c r="L93" s="2003"/>
      <c r="M93" s="2003"/>
      <c r="N93" s="2081"/>
      <c r="O93" s="2081"/>
      <c r="P93" s="2081"/>
      <c r="Q93" s="2081"/>
      <c r="R93" s="2081"/>
      <c r="S93" s="2003"/>
      <c r="T93" s="649">
        <v>792.43314055546148</v>
      </c>
      <c r="U93" s="649">
        <v>947.32158891457311</v>
      </c>
      <c r="V93" s="649">
        <v>67.80362393716095</v>
      </c>
      <c r="W93" s="649">
        <v>8.8749463780766256</v>
      </c>
      <c r="X93" s="649">
        <v>1.5</v>
      </c>
      <c r="Y93" s="2003"/>
      <c r="Z93" s="649">
        <f t="shared" si="6"/>
        <v>7.199644075750756</v>
      </c>
      <c r="AA93" s="650">
        <v>1.4999999999999999E-2</v>
      </c>
      <c r="AB93" s="650">
        <v>1.4999999999999999E-2</v>
      </c>
      <c r="AC93" s="650">
        <v>1.4999999999999999E-2</v>
      </c>
      <c r="AD93" s="2003"/>
      <c r="AE93" s="2131"/>
      <c r="AF93" s="649"/>
      <c r="AG93" s="649"/>
      <c r="AH93" s="649"/>
      <c r="AI93" s="649"/>
      <c r="AJ93" s="789"/>
      <c r="AK93" s="789"/>
      <c r="AL93" s="789"/>
      <c r="AM93" s="2128"/>
    </row>
    <row r="95" spans="1:39">
      <c r="N95" s="506"/>
    </row>
    <row r="96" spans="1:39">
      <c r="N96" s="506"/>
    </row>
    <row r="97" spans="2:39">
      <c r="N97" s="506"/>
    </row>
    <row r="98" spans="2:39">
      <c r="N98" s="506"/>
    </row>
    <row r="99" spans="2:39">
      <c r="B99"/>
      <c r="O99" s="538"/>
      <c r="Q99" s="538"/>
      <c r="R99" s="538"/>
      <c r="T99" s="506"/>
      <c r="AM99" s="677"/>
    </row>
    <row r="100" spans="2:39" ht="15.75" thickBot="1">
      <c r="B100"/>
      <c r="O100" s="538"/>
      <c r="Q100" s="538"/>
      <c r="R100" s="538"/>
      <c r="T100" s="506"/>
      <c r="AM100" s="677"/>
    </row>
    <row r="101" spans="2:39" ht="15.75" thickBot="1">
      <c r="B101" s="507"/>
      <c r="C101" s="678" t="s">
        <v>1736</v>
      </c>
    </row>
    <row r="102" spans="2:39" ht="15.75" thickBot="1">
      <c r="B102" s="509"/>
      <c r="C102" s="508" t="s">
        <v>342</v>
      </c>
    </row>
    <row r="138" spans="16:33" ht="15.75" thickBot="1"/>
    <row r="139" spans="16:33" ht="23.25">
      <c r="P139" s="506" t="s">
        <v>2557</v>
      </c>
      <c r="Q139" s="1196">
        <v>1.9423759719774858</v>
      </c>
      <c r="R139" s="1191">
        <v>1.4393</v>
      </c>
      <c r="T139" s="498">
        <v>122.96157082595575</v>
      </c>
      <c r="U139" s="506">
        <v>231.10344911003418</v>
      </c>
      <c r="V139" s="506">
        <v>21.021228416942719</v>
      </c>
      <c r="W139" s="506">
        <v>9.7344243785198419</v>
      </c>
      <c r="X139" s="506">
        <v>5.6518052842861657</v>
      </c>
      <c r="Z139" s="1189">
        <v>207.17413923764249</v>
      </c>
      <c r="AA139" s="506">
        <v>46</v>
      </c>
      <c r="AB139" s="506">
        <v>9.8901575600000005</v>
      </c>
      <c r="AE139" s="540">
        <v>4.0443103594255989</v>
      </c>
      <c r="AF139" s="506">
        <v>3.9735349281356509</v>
      </c>
      <c r="AG139" s="506">
        <v>3.9039980668932772</v>
      </c>
    </row>
    <row r="140" spans="16:33" ht="24" thickBot="1">
      <c r="P140" s="506" t="s">
        <v>2557</v>
      </c>
      <c r="Q140" s="1197">
        <v>1.9423759719774858</v>
      </c>
      <c r="R140" s="1192">
        <v>1.4395</v>
      </c>
      <c r="T140" s="498">
        <v>123.53020682595573</v>
      </c>
      <c r="U140" s="506">
        <v>232.14260650563423</v>
      </c>
      <c r="V140" s="506">
        <v>21.120101136942715</v>
      </c>
      <c r="W140" s="506">
        <v>9.7344243785198419</v>
      </c>
      <c r="X140" s="506">
        <v>5.6784244198861655</v>
      </c>
      <c r="Z140" s="1190">
        <v>81.991428214657489</v>
      </c>
      <c r="AA140" s="506">
        <v>45</v>
      </c>
      <c r="AB140" s="506">
        <v>9.8901575600000005</v>
      </c>
      <c r="AE140" s="540">
        <v>4.0624956138485988</v>
      </c>
      <c r="AF140" s="506">
        <v>3.9914019406062482</v>
      </c>
      <c r="AG140" s="506">
        <v>3.9215524066456386</v>
      </c>
    </row>
    <row r="153" spans="17:27">
      <c r="Q153" s="1193"/>
      <c r="R153" s="1193"/>
      <c r="T153" s="1193"/>
      <c r="U153" s="1194"/>
      <c r="AA153" s="1195">
        <v>0</v>
      </c>
    </row>
    <row r="154" spans="17:27">
      <c r="Q154" s="1193"/>
      <c r="R154" s="1193"/>
      <c r="T154" s="1193"/>
      <c r="U154" s="1194"/>
      <c r="AA154" s="1195">
        <v>0</v>
      </c>
    </row>
    <row r="179" spans="1:43" ht="15.75" thickBot="1"/>
    <row r="180" spans="1:43" s="1359" customFormat="1" ht="21">
      <c r="A180" s="1352"/>
      <c r="B180" s="1353"/>
      <c r="C180" s="1353"/>
      <c r="D180" s="1353"/>
      <c r="E180" s="1354"/>
      <c r="F180" s="1355"/>
      <c r="G180" s="1353"/>
      <c r="H180" s="1353"/>
      <c r="I180" s="1354"/>
      <c r="J180" s="1354"/>
      <c r="K180" s="1354"/>
      <c r="L180" s="1354"/>
      <c r="M180" s="1354"/>
      <c r="N180" s="1356"/>
      <c r="O180" s="1354"/>
      <c r="P180" s="1353"/>
      <c r="Q180" s="1349"/>
      <c r="R180" s="1349"/>
      <c r="S180" s="1354"/>
      <c r="T180" s="1364"/>
      <c r="U180" s="1354"/>
      <c r="V180" s="1354"/>
      <c r="W180" s="1354"/>
      <c r="X180" s="1354"/>
      <c r="Y180" s="1354"/>
      <c r="Z180" s="1354"/>
      <c r="AA180" s="1354">
        <v>0</v>
      </c>
      <c r="AB180" s="1364"/>
      <c r="AC180" s="1354"/>
      <c r="AD180" s="1354"/>
      <c r="AE180" s="1357"/>
      <c r="AF180" s="1354"/>
      <c r="AG180" s="1354"/>
      <c r="AH180" s="1353"/>
      <c r="AI180" s="1353"/>
      <c r="AJ180" s="1353"/>
      <c r="AK180" s="1353"/>
      <c r="AL180" s="1353"/>
      <c r="AM180" s="1353"/>
      <c r="AN180" s="1353"/>
      <c r="AO180" s="1353"/>
      <c r="AP180" s="1353"/>
      <c r="AQ180" s="1358"/>
    </row>
    <row r="181" spans="1:43" s="1359" customFormat="1" ht="21.75" thickBot="1">
      <c r="A181" s="1360"/>
      <c r="B181" s="1298"/>
      <c r="C181" s="1298"/>
      <c r="D181" s="1298"/>
      <c r="E181" s="1344"/>
      <c r="F181" s="1361"/>
      <c r="G181" s="1298"/>
      <c r="H181" s="1298"/>
      <c r="I181" s="1344"/>
      <c r="J181" s="1344"/>
      <c r="K181" s="1344"/>
      <c r="L181" s="1344"/>
      <c r="M181" s="1344"/>
      <c r="N181" s="1299"/>
      <c r="O181" s="1344"/>
      <c r="P181" s="1298"/>
      <c r="Q181" s="1351"/>
      <c r="R181" s="1351"/>
      <c r="S181" s="1344"/>
      <c r="T181" s="1364"/>
      <c r="U181" s="1344"/>
      <c r="V181" s="1344"/>
      <c r="W181" s="1344"/>
      <c r="X181" s="1344"/>
      <c r="Y181" s="1344"/>
      <c r="Z181" s="1344"/>
      <c r="AA181" s="1344">
        <v>0</v>
      </c>
      <c r="AB181" s="1364"/>
      <c r="AC181" s="1344"/>
      <c r="AD181" s="1344"/>
      <c r="AE181" s="1362"/>
      <c r="AF181" s="1344"/>
      <c r="AG181" s="1344"/>
      <c r="AH181" s="1298"/>
      <c r="AI181" s="1298"/>
      <c r="AJ181" s="1298"/>
      <c r="AK181" s="1298"/>
      <c r="AL181" s="1298"/>
      <c r="AM181" s="1298"/>
      <c r="AN181" s="1298"/>
      <c r="AO181" s="1298"/>
      <c r="AP181" s="1298"/>
      <c r="AQ181" s="1363"/>
    </row>
    <row r="182" spans="1:43" ht="21.75" thickBot="1">
      <c r="E182" s="1242"/>
      <c r="S182" s="1344"/>
    </row>
    <row r="183" spans="1:43" ht="24" thickBot="1">
      <c r="A183" s="1224"/>
      <c r="B183" s="1221"/>
      <c r="C183" s="1221"/>
      <c r="D183" s="1221"/>
      <c r="E183" s="1367"/>
      <c r="F183" s="1225"/>
      <c r="G183" s="1221"/>
      <c r="H183" s="1221"/>
      <c r="I183" s="1212"/>
      <c r="J183" s="1212"/>
      <c r="K183" s="1212"/>
      <c r="L183" s="1212"/>
      <c r="M183" s="1212"/>
      <c r="N183" s="1198"/>
      <c r="O183" s="1212"/>
      <c r="P183" s="1221"/>
      <c r="Q183" s="1365">
        <v>5.7471347180923074</v>
      </c>
      <c r="R183" s="1365">
        <v>2.8029999999999999</v>
      </c>
      <c r="S183" s="1344"/>
      <c r="T183" s="1369">
        <v>470.72552254650839</v>
      </c>
      <c r="U183" s="1212">
        <v>622.0949300744112</v>
      </c>
      <c r="V183" s="1212">
        <v>33.644822931150117</v>
      </c>
      <c r="W183" s="1212">
        <v>13.104255246386822</v>
      </c>
      <c r="X183" s="1212">
        <v>8.029160109457294</v>
      </c>
      <c r="Y183" s="1212"/>
      <c r="Z183" s="1212">
        <v>653.49409507045118</v>
      </c>
      <c r="AA183" s="1212">
        <v>53.5</v>
      </c>
      <c r="AB183" s="1212">
        <v>70.201470937500005</v>
      </c>
      <c r="AC183" s="1212"/>
      <c r="AD183" s="1212"/>
      <c r="AE183" s="1213">
        <v>6.2209493007441123</v>
      </c>
      <c r="AF183" s="1212">
        <v>6.1587398077366711</v>
      </c>
      <c r="AG183" s="1212">
        <v>6.0971524096593042</v>
      </c>
      <c r="AH183" s="1221"/>
      <c r="AI183" s="1221"/>
      <c r="AJ183" s="1221"/>
      <c r="AK183" s="1221"/>
      <c r="AL183" s="1221"/>
      <c r="AM183" s="1221"/>
      <c r="AN183" s="1221"/>
      <c r="AO183" s="1221"/>
      <c r="AP183" s="1221"/>
      <c r="AQ183" s="1226"/>
    </row>
    <row r="184" spans="1:43" ht="24" thickBot="1">
      <c r="A184" s="1227"/>
      <c r="B184" s="1219"/>
      <c r="C184" s="1219"/>
      <c r="D184" s="1219"/>
      <c r="E184" s="1232"/>
      <c r="F184" s="1223"/>
      <c r="G184" s="1219"/>
      <c r="H184" s="1219"/>
      <c r="I184" s="1217"/>
      <c r="J184" s="1217"/>
      <c r="K184" s="1217"/>
      <c r="L184" s="1217"/>
      <c r="M184" s="1217"/>
      <c r="N184" s="1218"/>
      <c r="O184" s="1217"/>
      <c r="P184" s="1219"/>
      <c r="Q184" s="1366">
        <v>5.7471347180923074</v>
      </c>
      <c r="R184" s="1366">
        <v>2.8029999999999999</v>
      </c>
      <c r="S184" s="1344"/>
      <c r="T184" s="1369">
        <v>574.42829464375393</v>
      </c>
      <c r="U184" s="1217">
        <v>729.64507501646449</v>
      </c>
      <c r="V184" s="1217">
        <v>35.718878373095031</v>
      </c>
      <c r="W184" s="1217">
        <v>13.104255246386822</v>
      </c>
      <c r="X184" s="1217">
        <v>8.2469359308615093</v>
      </c>
      <c r="Y184" s="1217"/>
      <c r="Z184" s="1217">
        <v>0</v>
      </c>
      <c r="AA184" s="1217">
        <v>0</v>
      </c>
      <c r="AB184" s="1217">
        <v>0</v>
      </c>
      <c r="AC184" s="1217"/>
      <c r="AD184" s="1217"/>
      <c r="AE184" s="1220">
        <v>7.2964507501646461</v>
      </c>
      <c r="AF184" s="1217">
        <v>7.2234862426629993</v>
      </c>
      <c r="AG184" s="1217">
        <v>7.1512513802363697</v>
      </c>
      <c r="AH184" s="1219"/>
      <c r="AI184" s="1219"/>
      <c r="AJ184" s="1219"/>
      <c r="AK184" s="1219"/>
      <c r="AL184" s="1219"/>
      <c r="AM184" s="1219"/>
      <c r="AN184" s="1219"/>
      <c r="AO184" s="1219"/>
      <c r="AP184" s="1219"/>
      <c r="AQ184" s="1228"/>
    </row>
    <row r="185" spans="1:43" ht="24" thickBot="1">
      <c r="A185" s="1227"/>
      <c r="B185" s="1219"/>
      <c r="C185" s="1219"/>
      <c r="D185" s="1219"/>
      <c r="E185" s="1232"/>
      <c r="F185" s="1223" t="s">
        <v>2753</v>
      </c>
      <c r="G185" s="1219"/>
      <c r="H185" s="1219"/>
      <c r="I185" s="1217"/>
      <c r="J185" s="1217"/>
      <c r="K185" s="1217"/>
      <c r="L185" s="1217"/>
      <c r="M185" s="1217"/>
      <c r="N185" s="1218"/>
      <c r="O185" s="1217"/>
      <c r="P185" s="1219"/>
      <c r="Q185" s="1366">
        <v>5.7471347180923074</v>
      </c>
      <c r="R185" s="1366">
        <v>2.8058999999999998</v>
      </c>
      <c r="S185" s="1344"/>
      <c r="T185" s="1370">
        <v>470.83053154650844</v>
      </c>
      <c r="U185" s="1217">
        <v>622.20818490831141</v>
      </c>
      <c r="V185" s="1217">
        <v>33.646923111150116</v>
      </c>
      <c r="W185" s="1217">
        <v>13.104255246386822</v>
      </c>
      <c r="X185" s="1217">
        <v>8.029380628357293</v>
      </c>
      <c r="Y185" s="1217"/>
      <c r="Z185" s="1217">
        <v>554.40055601613369</v>
      </c>
      <c r="AA185" s="1217">
        <v>53.5</v>
      </c>
      <c r="AB185" s="1217">
        <v>70.201470937500005</v>
      </c>
      <c r="AC185" s="1217"/>
      <c r="AD185" s="1217"/>
      <c r="AE185" s="1220">
        <v>6.2220818490831116</v>
      </c>
      <c r="AF185" s="1217">
        <v>6.159861030592281</v>
      </c>
      <c r="AG185" s="1217">
        <v>6.0982624202863578</v>
      </c>
      <c r="AH185" s="1219"/>
      <c r="AI185" s="1219"/>
      <c r="AJ185" s="1219"/>
      <c r="AK185" s="1219"/>
      <c r="AL185" s="1219"/>
      <c r="AM185" s="1219"/>
      <c r="AN185" s="1219"/>
      <c r="AO185" s="1219"/>
      <c r="AP185" s="1219"/>
      <c r="AQ185" s="1228"/>
    </row>
    <row r="186" spans="1:43" ht="24" thickBot="1">
      <c r="A186" s="1229"/>
      <c r="B186" s="1222"/>
      <c r="C186" s="1222"/>
      <c r="D186" s="1222"/>
      <c r="E186" s="1368"/>
      <c r="F186" s="1230" t="s">
        <v>2753</v>
      </c>
      <c r="G186" s="1222"/>
      <c r="H186" s="1222"/>
      <c r="I186" s="1214"/>
      <c r="J186" s="1214"/>
      <c r="K186" s="1214"/>
      <c r="L186" s="1214"/>
      <c r="M186" s="1214"/>
      <c r="N186" s="1199"/>
      <c r="O186" s="1214"/>
      <c r="P186" s="1222"/>
      <c r="Q186" s="1345">
        <v>5.7020025797589735</v>
      </c>
      <c r="R186" s="1345">
        <v>2.7804999999999995</v>
      </c>
      <c r="S186" s="1344"/>
      <c r="T186" s="1370">
        <v>571.4558021100371</v>
      </c>
      <c r="U186" s="1214">
        <v>726.52855300974693</v>
      </c>
      <c r="V186" s="1214">
        <v>35.659428522420697</v>
      </c>
      <c r="W186" s="1214">
        <v>13.104255246386822</v>
      </c>
      <c r="X186" s="1214">
        <v>8.2406936965407027</v>
      </c>
      <c r="Y186" s="1214"/>
      <c r="Z186" s="1214">
        <v>7.5357684864000003</v>
      </c>
      <c r="AA186" s="1214">
        <v>1</v>
      </c>
      <c r="AB186" s="1214">
        <v>0</v>
      </c>
      <c r="AC186" s="1214"/>
      <c r="AD186" s="1214"/>
      <c r="AE186" s="1215">
        <v>7.2652855300974686</v>
      </c>
      <c r="AF186" s="1214">
        <v>7.1926326747964939</v>
      </c>
      <c r="AG186" s="1214">
        <v>7.1207063480485289</v>
      </c>
      <c r="AH186" s="1222"/>
      <c r="AI186" s="1222"/>
      <c r="AJ186" s="1222"/>
      <c r="AK186" s="1222"/>
      <c r="AL186" s="1222"/>
      <c r="AM186" s="1222"/>
      <c r="AN186" s="1222"/>
      <c r="AO186" s="1222"/>
      <c r="AP186" s="1222"/>
      <c r="AQ186" s="1231"/>
    </row>
    <row r="187" spans="1:43" s="1359" customFormat="1" ht="21.75" thickBot="1">
      <c r="E187" s="1374" t="s">
        <v>2683</v>
      </c>
      <c r="F187" s="1371"/>
      <c r="N187" s="1372"/>
      <c r="S187" s="1344"/>
      <c r="T187" s="1373"/>
      <c r="AE187" s="1371"/>
    </row>
    <row r="188" spans="1:43" s="1359" customFormat="1" ht="21.75" thickBot="1">
      <c r="E188" s="1375" t="s">
        <v>2778</v>
      </c>
      <c r="F188" s="1371"/>
      <c r="N188" s="1372"/>
      <c r="S188" s="1344"/>
      <c r="T188" s="1373"/>
      <c r="AE188" s="1371"/>
    </row>
    <row r="199" spans="4:33" s="1359" customFormat="1" ht="21.75" thickBot="1">
      <c r="D199" s="1359">
        <v>53654</v>
      </c>
      <c r="F199" s="1371"/>
      <c r="N199" s="1372"/>
      <c r="Q199" s="1379">
        <v>21.123533725721547</v>
      </c>
      <c r="R199" s="1359">
        <v>10.407000000000002</v>
      </c>
      <c r="S199" s="1344"/>
      <c r="T199" s="1373">
        <v>1101.2851598509699</v>
      </c>
      <c r="U199" s="1359">
        <v>1864.4256004806221</v>
      </c>
      <c r="V199" s="1359">
        <v>157.68458461412501</v>
      </c>
      <c r="W199" s="1359">
        <v>88.453327986342813</v>
      </c>
      <c r="X199" s="1359">
        <v>41.731293807457448</v>
      </c>
      <c r="Z199" s="1359">
        <v>968.54708894033763</v>
      </c>
      <c r="AA199" s="1359">
        <v>486.375</v>
      </c>
      <c r="AB199" s="1359">
        <v>84.652840275000059</v>
      </c>
      <c r="AC199" s="1376"/>
      <c r="AD199" s="1376"/>
      <c r="AE199" s="1371">
        <v>37.288512009612447</v>
      </c>
      <c r="AF199" s="1359">
        <v>41.110584490597716</v>
      </c>
      <c r="AG199" s="1359">
        <v>44.650662599510305</v>
      </c>
    </row>
    <row r="200" spans="4:33" s="1359" customFormat="1" ht="21.75" thickBot="1">
      <c r="D200" s="1359">
        <v>53654</v>
      </c>
      <c r="F200" s="1371"/>
      <c r="N200" s="1372"/>
      <c r="Q200" s="1379">
        <v>22.583428398644621</v>
      </c>
      <c r="R200" s="1359">
        <v>11.459</v>
      </c>
      <c r="S200" s="1344"/>
      <c r="T200" s="1373">
        <v>1166.5354613818379</v>
      </c>
      <c r="U200" s="1359">
        <v>2017.1340214775462</v>
      </c>
      <c r="V200" s="1359">
        <v>175.24760068968098</v>
      </c>
      <c r="W200" s="1359">
        <v>88.453327986342813</v>
      </c>
      <c r="X200" s="1359">
        <v>46.592432645158709</v>
      </c>
      <c r="Z200" s="1359">
        <v>89.852924707253393</v>
      </c>
      <c r="AA200" s="1359">
        <v>12</v>
      </c>
      <c r="AB200" s="1359">
        <v>0</v>
      </c>
      <c r="AC200" s="1376"/>
      <c r="AD200" s="1376"/>
      <c r="AE200" s="1371">
        <v>40.342680429550924</v>
      </c>
      <c r="AF200" s="1359">
        <v>44.477805173579895</v>
      </c>
      <c r="AG200" s="1359">
        <v>48.307838396860383</v>
      </c>
    </row>
    <row r="201" spans="4:33" s="1359" customFormat="1" ht="21.75" thickBot="1">
      <c r="D201" s="1359">
        <v>53654</v>
      </c>
      <c r="F201" s="1371"/>
      <c r="N201" s="1372"/>
      <c r="Q201" s="1379">
        <v>23.269351792511287</v>
      </c>
      <c r="R201" s="1359">
        <v>11.870999999999999</v>
      </c>
      <c r="S201" s="1344"/>
      <c r="T201" s="1373">
        <v>1254.4540534758801</v>
      </c>
      <c r="U201" s="1359">
        <v>2118.5316229517366</v>
      </c>
      <c r="V201" s="1359">
        <v>178.87591763353245</v>
      </c>
      <c r="W201" s="1359">
        <v>88.453327986342813</v>
      </c>
      <c r="X201" s="1359">
        <v>47.320414308185953</v>
      </c>
      <c r="Z201" s="1359">
        <v>219.06251932169795</v>
      </c>
      <c r="AA201" s="1359">
        <v>14</v>
      </c>
      <c r="AB201" s="1359">
        <v>0</v>
      </c>
      <c r="AC201" s="1376"/>
      <c r="AD201" s="1376"/>
      <c r="AE201" s="1371">
        <v>42.370632459034731</v>
      </c>
      <c r="AF201" s="1359">
        <v>46.713622286085787</v>
      </c>
      <c r="AG201" s="1359">
        <v>50.736184205165401</v>
      </c>
    </row>
    <row r="202" spans="4:33" s="1359" customFormat="1" ht="21.75" thickBot="1">
      <c r="D202" s="1359">
        <v>53654</v>
      </c>
      <c r="F202" s="1371"/>
      <c r="N202" s="1372"/>
      <c r="Q202" s="1379">
        <v>23.518856826751289</v>
      </c>
      <c r="R202" s="1359">
        <v>12.001200000000001</v>
      </c>
      <c r="S202" s="1344"/>
      <c r="T202" s="1373">
        <v>1281.3031983434339</v>
      </c>
      <c r="U202" s="1359">
        <v>2156.5496259043443</v>
      </c>
      <c r="V202" s="1359">
        <v>181.35652449908298</v>
      </c>
      <c r="W202" s="1359">
        <v>88.453327986342813</v>
      </c>
      <c r="X202" s="1359">
        <v>47.941559105453194</v>
      </c>
      <c r="Z202" s="1359">
        <v>98.459140301496973</v>
      </c>
      <c r="AA202" s="1359">
        <v>14.5</v>
      </c>
      <c r="AB202" s="1359">
        <v>0</v>
      </c>
      <c r="AC202" s="1376"/>
      <c r="AD202" s="1376"/>
      <c r="AE202" s="1371">
        <v>43.130992518086899</v>
      </c>
      <c r="AF202" s="1359">
        <v>47.551919251190803</v>
      </c>
      <c r="AG202" s="1359">
        <v>51.646667853376691</v>
      </c>
    </row>
    <row r="203" spans="4:33" s="1359" customFormat="1" ht="21.75" thickBot="1">
      <c r="D203" s="1359">
        <v>53654</v>
      </c>
      <c r="F203" s="1371"/>
      <c r="N203" s="1372"/>
      <c r="Q203" s="1379">
        <v>23.518856826751286</v>
      </c>
      <c r="R203" s="1359">
        <v>12</v>
      </c>
      <c r="S203" s="1344"/>
      <c r="T203" s="1373">
        <v>1207.7367324027523</v>
      </c>
      <c r="U203" s="1359">
        <v>2080.2520440772637</v>
      </c>
      <c r="V203" s="1359">
        <v>179.88519518026936</v>
      </c>
      <c r="W203" s="1359">
        <v>88.453327986342813</v>
      </c>
      <c r="X203" s="1359">
        <v>47.787069526977767</v>
      </c>
      <c r="Z203" s="1359">
        <v>0</v>
      </c>
      <c r="AA203" s="1359">
        <v>0</v>
      </c>
      <c r="AB203" s="1359">
        <v>0</v>
      </c>
      <c r="AC203" s="1376"/>
      <c r="AD203" s="1376"/>
      <c r="AE203" s="1371">
        <v>41.605040881545271</v>
      </c>
      <c r="AF203" s="1359">
        <v>45.869557571903663</v>
      </c>
      <c r="AG203" s="1359">
        <v>49.819436140595371</v>
      </c>
    </row>
    <row r="204" spans="4:33" s="1359" customFormat="1" ht="21.75" thickBot="1">
      <c r="D204" s="1359">
        <v>53654</v>
      </c>
      <c r="F204" s="1371"/>
      <c r="N204" s="1372"/>
      <c r="Q204" s="1379">
        <v>21.008599760340495</v>
      </c>
      <c r="R204" s="1359">
        <v>11.023000000000001</v>
      </c>
      <c r="S204" s="1344"/>
      <c r="T204" s="1373">
        <v>1152.9315495033911</v>
      </c>
      <c r="U204" s="1359">
        <v>1930.2976400070941</v>
      </c>
      <c r="V204" s="1359">
        <v>160.93543920980105</v>
      </c>
      <c r="W204" s="1359">
        <v>88.453327986342813</v>
      </c>
      <c r="X204" s="1359">
        <v>42.48421738523389</v>
      </c>
      <c r="Z204" s="1359">
        <v>890.65469156120275</v>
      </c>
      <c r="AA204" s="1359">
        <v>481.625</v>
      </c>
      <c r="AB204" s="1359">
        <v>84.652840275000059</v>
      </c>
      <c r="AC204" s="1376"/>
      <c r="AD204" s="1376"/>
      <c r="AE204" s="1371">
        <v>38.605952800141885</v>
      </c>
      <c r="AF204" s="1359">
        <v>42.563062962156422</v>
      </c>
      <c r="AG204" s="1359">
        <v>46.228215606119896</v>
      </c>
    </row>
    <row r="205" spans="4:33" s="1359" customFormat="1" ht="21.75" thickBot="1">
      <c r="D205" s="1359">
        <v>53654</v>
      </c>
      <c r="F205" s="1371"/>
      <c r="N205" s="1372"/>
      <c r="Q205" s="1380">
        <v>21.52326452634049</v>
      </c>
      <c r="R205" s="1359">
        <v>11.173999999999999</v>
      </c>
      <c r="S205" s="1344"/>
      <c r="T205" s="1373">
        <v>1159.7506950735512</v>
      </c>
      <c r="U205" s="1359">
        <v>1943.1121448779077</v>
      </c>
      <c r="V205" s="1359">
        <v>162.14632212120426</v>
      </c>
      <c r="W205" s="1359">
        <v>88.453327986342813</v>
      </c>
      <c r="X205" s="1359">
        <v>42.810756590931227</v>
      </c>
      <c r="Z205" s="1359">
        <v>0</v>
      </c>
      <c r="AA205" s="1359">
        <v>0</v>
      </c>
      <c r="AB205" s="1359">
        <v>0</v>
      </c>
      <c r="AC205" s="1376"/>
      <c r="AD205" s="1376"/>
      <c r="AE205" s="1371">
        <v>38.862242897558147</v>
      </c>
      <c r="AF205" s="1359">
        <v>42.845622794557855</v>
      </c>
      <c r="AG205" s="1359">
        <v>46.535106979644787</v>
      </c>
    </row>
    <row r="206" spans="4:33" s="1359" customFormat="1" ht="21.75" thickBot="1">
      <c r="D206" s="1359">
        <v>53654</v>
      </c>
      <c r="F206" s="1371"/>
      <c r="N206" s="1372"/>
      <c r="Q206" s="1380">
        <v>24.047140451366676</v>
      </c>
      <c r="R206" s="1359">
        <v>12.503</v>
      </c>
      <c r="S206" s="1344"/>
      <c r="T206" s="1373">
        <v>1417.6978365663676</v>
      </c>
      <c r="U206" s="1359">
        <v>2339.6299974337635</v>
      </c>
      <c r="V206" s="1359">
        <v>192.39626803436863</v>
      </c>
      <c r="W206" s="1359">
        <v>88.453327986342813</v>
      </c>
      <c r="X206" s="1359">
        <v>50.643174198273087</v>
      </c>
      <c r="Z206" s="1359">
        <v>226.10404011396543</v>
      </c>
      <c r="AA206" s="1359">
        <v>13</v>
      </c>
      <c r="AB206" s="1359">
        <v>0</v>
      </c>
      <c r="AC206" s="1376"/>
      <c r="AD206" s="1376"/>
      <c r="AE206" s="1371">
        <v>46.79259994867526</v>
      </c>
      <c r="AF206" s="1359">
        <v>51.588841443414474</v>
      </c>
      <c r="AG206" s="1359">
        <v>56.031213901041838</v>
      </c>
    </row>
    <row r="207" spans="4:33" s="1359" customFormat="1" ht="21.75" thickBot="1">
      <c r="D207" s="1359">
        <v>53654</v>
      </c>
      <c r="F207" s="1371"/>
      <c r="N207" s="1372"/>
      <c r="Q207" s="1380">
        <v>23.85782632636667</v>
      </c>
      <c r="R207" s="1359">
        <v>12.43</v>
      </c>
      <c r="S207" s="1344"/>
      <c r="T207" s="1373">
        <v>1411.3056500992875</v>
      </c>
      <c r="U207" s="1359">
        <v>2331.1642106517456</v>
      </c>
      <c r="V207" s="1359">
        <v>191.58224543879834</v>
      </c>
      <c r="W207" s="1359">
        <v>88.453327986342813</v>
      </c>
      <c r="X207" s="1359">
        <v>50.43036663327662</v>
      </c>
      <c r="Z207" s="1359">
        <v>98.560849659125694</v>
      </c>
      <c r="AA207" s="1359">
        <v>6.5</v>
      </c>
      <c r="AB207" s="1359">
        <v>0</v>
      </c>
      <c r="AC207" s="1376"/>
      <c r="AD207" s="1376"/>
      <c r="AE207" s="1371">
        <v>46.623284213034907</v>
      </c>
      <c r="AF207" s="1359">
        <v>51.40217084487098</v>
      </c>
      <c r="AG207" s="1359">
        <v>55.828468889845993</v>
      </c>
    </row>
    <row r="208" spans="4:33" s="1359" customFormat="1" ht="21.75" thickBot="1">
      <c r="D208" s="1359">
        <v>53654</v>
      </c>
      <c r="F208" s="1371"/>
      <c r="N208" s="1372"/>
      <c r="Q208" s="1380">
        <v>23.857826326366673</v>
      </c>
      <c r="R208" s="1359">
        <v>12.430999999999999</v>
      </c>
      <c r="S208" s="1344"/>
      <c r="T208" s="1373">
        <v>1327.3803342234905</v>
      </c>
      <c r="U208" s="1359">
        <v>2243.6775905569566</v>
      </c>
      <c r="V208" s="1359">
        <v>189.81623912128236</v>
      </c>
      <c r="W208" s="1359">
        <v>88.453327986342813</v>
      </c>
      <c r="X208" s="1359">
        <v>50.228698469937441</v>
      </c>
      <c r="Z208" s="1359">
        <v>0</v>
      </c>
      <c r="AA208" s="1359">
        <v>0</v>
      </c>
      <c r="AB208" s="1359">
        <v>0</v>
      </c>
      <c r="AC208" s="1376"/>
      <c r="AD208" s="1376"/>
      <c r="AE208" s="1371">
        <v>44.873551811139123</v>
      </c>
      <c r="AF208" s="1359">
        <v>49.473090871780876</v>
      </c>
      <c r="AG208" s="1359">
        <v>53.733273696850894</v>
      </c>
    </row>
    <row r="209" spans="1:43" s="684" customFormat="1" ht="21.75" thickBot="1">
      <c r="A209" s="1206"/>
      <c r="B209" s="1188"/>
      <c r="C209" s="1188"/>
      <c r="D209" s="1188"/>
      <c r="E209" s="1212"/>
      <c r="F209" s="1207"/>
      <c r="G209" s="1188"/>
      <c r="H209" s="1188"/>
      <c r="I209" s="1212"/>
      <c r="J209" s="1212"/>
      <c r="K209" s="1212"/>
      <c r="L209" s="1212"/>
      <c r="M209" s="1212"/>
      <c r="N209" s="1198"/>
      <c r="O209" s="1212"/>
      <c r="P209" s="1232"/>
      <c r="Q209" s="1212">
        <v>2.3540901228076914</v>
      </c>
      <c r="R209" s="1212">
        <v>1.5820000000000003</v>
      </c>
      <c r="S209" s="1344"/>
      <c r="T209" s="1200">
        <v>178.7986612187554</v>
      </c>
      <c r="U209" s="1212">
        <v>315.76648747723436</v>
      </c>
      <c r="V209" s="1212">
        <v>27.178474721499775</v>
      </c>
      <c r="W209" s="1212">
        <v>14.097305918546317</v>
      </c>
      <c r="X209" s="1212">
        <v>7.2336897664381823</v>
      </c>
      <c r="Y209" s="1212"/>
      <c r="Z209" s="1212">
        <v>326.1142006197075</v>
      </c>
      <c r="AA209" s="1235">
        <v>108.1</v>
      </c>
      <c r="AB209" s="1212">
        <v>34.015874775</v>
      </c>
      <c r="AC209" s="1212"/>
      <c r="AD209" s="1212"/>
      <c r="AE209" s="1236">
        <v>4.7364973121585141</v>
      </c>
      <c r="AF209" s="1236">
        <v>4.6654498524761365</v>
      </c>
      <c r="AG209" s="1236">
        <v>4.5954681046889947</v>
      </c>
      <c r="AH209" s="1188"/>
      <c r="AI209" s="1188"/>
      <c r="AJ209" s="1188"/>
      <c r="AK209" s="1188"/>
      <c r="AL209" s="1188"/>
      <c r="AM209" s="1188"/>
      <c r="AN209" s="1188"/>
      <c r="AO209" s="1188"/>
      <c r="AP209" s="1188"/>
      <c r="AQ209" s="1208"/>
    </row>
    <row r="210" spans="1:43" s="684" customFormat="1" ht="21.75" thickBot="1">
      <c r="A210" s="1233"/>
      <c r="B210" s="1204"/>
      <c r="C210" s="1204"/>
      <c r="D210" s="1204"/>
      <c r="E210" s="1217"/>
      <c r="F210" s="1205"/>
      <c r="G210" s="1204"/>
      <c r="H210" s="1204"/>
      <c r="I210" s="1217"/>
      <c r="J210" s="1217"/>
      <c r="K210" s="1217"/>
      <c r="L210" s="1217"/>
      <c r="M210" s="1217"/>
      <c r="N210" s="1218"/>
      <c r="O210" s="1217"/>
      <c r="P210" s="1217"/>
      <c r="Q210" s="1217">
        <v>2.3540901228076914</v>
      </c>
      <c r="R210" s="1217">
        <v>1.5820000000000003</v>
      </c>
      <c r="S210" s="1344"/>
      <c r="T210" s="1237">
        <v>231.64351481875536</v>
      </c>
      <c r="U210" s="1217">
        <v>370.57188514579434</v>
      </c>
      <c r="V210" s="1217">
        <v>28.235371793499773</v>
      </c>
      <c r="W210" s="1217">
        <v>14.097305918546317</v>
      </c>
      <c r="X210" s="1217">
        <v>7.3446639589981828</v>
      </c>
      <c r="Y210" s="1217"/>
      <c r="Z210" s="1217">
        <v>0</v>
      </c>
      <c r="AA210" s="1238">
        <v>0</v>
      </c>
      <c r="AB210" s="1217">
        <v>0</v>
      </c>
      <c r="AC210" s="1217"/>
      <c r="AD210" s="1217"/>
      <c r="AE210" s="1239">
        <v>5.5585782771869141</v>
      </c>
      <c r="AF210" s="1239">
        <v>5.4751996030291101</v>
      </c>
      <c r="AG210" s="1239">
        <v>5.3930716089836732</v>
      </c>
      <c r="AH210" s="1204"/>
      <c r="AI210" s="1204"/>
      <c r="AJ210" s="1204"/>
      <c r="AK210" s="1204"/>
      <c r="AL210" s="1204"/>
      <c r="AM210" s="1204"/>
      <c r="AN210" s="1204"/>
      <c r="AO210" s="1204"/>
      <c r="AP210" s="1204"/>
      <c r="AQ210" s="1234"/>
    </row>
    <row r="211" spans="1:43" s="684" customFormat="1" ht="21.75" thickBot="1">
      <c r="A211" s="1233"/>
      <c r="B211" s="1204"/>
      <c r="C211" s="1204"/>
      <c r="D211" s="1204"/>
      <c r="E211" s="1217"/>
      <c r="F211" s="1205"/>
      <c r="G211" s="1204"/>
      <c r="H211" s="1204"/>
      <c r="I211" s="1217"/>
      <c r="J211" s="1217"/>
      <c r="K211" s="1217"/>
      <c r="L211" s="1217"/>
      <c r="M211" s="1217"/>
      <c r="N211" s="1218"/>
      <c r="O211" s="1217"/>
      <c r="P211" s="1217"/>
      <c r="Q211" s="1217">
        <v>3.4150054933076928</v>
      </c>
      <c r="R211" s="1217">
        <v>2.1770000000000005</v>
      </c>
      <c r="S211" s="1344"/>
      <c r="T211" s="1237">
        <v>295.02315486803536</v>
      </c>
      <c r="U211" s="1217">
        <v>455.18983726044848</v>
      </c>
      <c r="V211" s="1217">
        <v>33.008307499166783</v>
      </c>
      <c r="W211" s="1217">
        <v>14.097305918546317</v>
      </c>
      <c r="X211" s="1217">
        <v>8.4963136985476666</v>
      </c>
      <c r="Y211" s="1217"/>
      <c r="Z211" s="1217">
        <v>43.347658883759998</v>
      </c>
      <c r="AA211" s="1238">
        <v>7</v>
      </c>
      <c r="AB211" s="1217">
        <v>0</v>
      </c>
      <c r="AC211" s="1217"/>
      <c r="AD211" s="1217"/>
      <c r="AE211" s="1239">
        <v>6.8278475589067273</v>
      </c>
      <c r="AF211" s="1239">
        <v>6.7254298455231263</v>
      </c>
      <c r="AG211" s="1239">
        <v>6.6245483978402788</v>
      </c>
      <c r="AH211" s="1204"/>
      <c r="AI211" s="1204"/>
      <c r="AJ211" s="1204"/>
      <c r="AK211" s="1204"/>
      <c r="AL211" s="1204"/>
      <c r="AM211" s="1204"/>
      <c r="AN211" s="1204"/>
      <c r="AO211" s="1204"/>
      <c r="AP211" s="1204"/>
      <c r="AQ211" s="1234"/>
    </row>
    <row r="212" spans="1:43" s="684" customFormat="1" ht="21.75" thickBot="1">
      <c r="A212" s="1233"/>
      <c r="B212" s="1204"/>
      <c r="C212" s="1204"/>
      <c r="D212" s="1204"/>
      <c r="E212" s="1217"/>
      <c r="F212" s="1205"/>
      <c r="G212" s="1204"/>
      <c r="H212" s="1204"/>
      <c r="I212" s="1217"/>
      <c r="J212" s="1217"/>
      <c r="K212" s="1217"/>
      <c r="L212" s="1217"/>
      <c r="M212" s="1217"/>
      <c r="N212" s="1218"/>
      <c r="O212" s="1217"/>
      <c r="P212" s="1217"/>
      <c r="Q212" s="1217">
        <v>2.2617163728076917</v>
      </c>
      <c r="R212" s="1217">
        <v>1.5190000000000003</v>
      </c>
      <c r="S212" s="1344"/>
      <c r="T212" s="1237">
        <v>172.52688521875541</v>
      </c>
      <c r="U212" s="1217">
        <v>301.16730040718028</v>
      </c>
      <c r="V212" s="1217">
        <v>25.494582106181184</v>
      </c>
      <c r="W212" s="1217">
        <v>14.097305918546317</v>
      </c>
      <c r="X212" s="1217">
        <v>6.7676759322841802</v>
      </c>
      <c r="Y212" s="1217"/>
      <c r="Z212" s="1217">
        <v>0</v>
      </c>
      <c r="AA212" s="1238">
        <v>0</v>
      </c>
      <c r="AB212" s="1217">
        <v>0</v>
      </c>
      <c r="AC212" s="1217"/>
      <c r="AD212" s="1217"/>
      <c r="AE212" s="1239">
        <v>4.5175095061077037</v>
      </c>
      <c r="AF212" s="1239">
        <v>4.4497468635160882</v>
      </c>
      <c r="AG212" s="1239">
        <v>4.3830006605633463</v>
      </c>
      <c r="AH212" s="1204"/>
      <c r="AI212" s="1204"/>
      <c r="AJ212" s="1204"/>
      <c r="AK212" s="1204"/>
      <c r="AL212" s="1204"/>
      <c r="AM212" s="1204"/>
      <c r="AN212" s="1204"/>
      <c r="AO212" s="1204"/>
      <c r="AP212" s="1204"/>
      <c r="AQ212" s="1234"/>
    </row>
    <row r="213" spans="1:43" s="684" customFormat="1" ht="21.75" thickBot="1">
      <c r="A213" s="1233"/>
      <c r="B213" s="1204"/>
      <c r="C213" s="1204"/>
      <c r="D213" s="1204"/>
      <c r="E213" s="1217"/>
      <c r="F213" s="1205"/>
      <c r="G213" s="1204"/>
      <c r="H213" s="1204"/>
      <c r="I213" s="1217"/>
      <c r="J213" s="1217"/>
      <c r="K213" s="1217"/>
      <c r="L213" s="1217"/>
      <c r="M213" s="1217"/>
      <c r="N213" s="1218"/>
      <c r="O213" s="1217"/>
      <c r="P213" s="1217"/>
      <c r="Q213" s="1217">
        <v>5.6904962185076924</v>
      </c>
      <c r="R213" s="1217">
        <v>3.8670000000000009</v>
      </c>
      <c r="S213" s="1344"/>
      <c r="T213" s="1237">
        <v>381.77059849433937</v>
      </c>
      <c r="U213" s="1217">
        <v>619.38916934380723</v>
      </c>
      <c r="V213" s="1217">
        <v>48.710248860411966</v>
      </c>
      <c r="W213" s="1217">
        <v>14.097305918546317</v>
      </c>
      <c r="X213" s="1217">
        <v>12.736892290456428</v>
      </c>
      <c r="Y213" s="1217"/>
      <c r="Z213" s="1217">
        <v>192.88798554563999</v>
      </c>
      <c r="AA213" s="1238">
        <v>23.5</v>
      </c>
      <c r="AB213" s="1217">
        <v>0</v>
      </c>
      <c r="AC213" s="1217"/>
      <c r="AD213" s="1217"/>
      <c r="AE213" s="1239">
        <v>9.2908375401571099</v>
      </c>
      <c r="AF213" s="1239">
        <v>9.1514749770547539</v>
      </c>
      <c r="AG213" s="1239">
        <v>9.0142028523989328</v>
      </c>
      <c r="AH213" s="1204"/>
      <c r="AI213" s="1204"/>
      <c r="AJ213" s="1204"/>
      <c r="AK213" s="1204"/>
      <c r="AL213" s="1204"/>
      <c r="AM213" s="1204"/>
      <c r="AN213" s="1204"/>
      <c r="AO213" s="1204"/>
      <c r="AP213" s="1204"/>
      <c r="AQ213" s="1234"/>
    </row>
    <row r="214" spans="1:43" s="684" customFormat="1" ht="21.75" thickBot="1">
      <c r="A214" s="1209"/>
      <c r="B214" s="1117"/>
      <c r="C214" s="1117"/>
      <c r="D214" s="1117"/>
      <c r="E214" s="1214"/>
      <c r="F214" s="1210"/>
      <c r="G214" s="1117"/>
      <c r="H214" s="1117"/>
      <c r="I214" s="1214"/>
      <c r="J214" s="1214"/>
      <c r="K214" s="1214"/>
      <c r="L214" s="1214"/>
      <c r="M214" s="1214"/>
      <c r="N214" s="1199"/>
      <c r="O214" s="1214"/>
      <c r="P214" s="1214"/>
      <c r="Q214" s="1214">
        <v>5.6904962185076924</v>
      </c>
      <c r="R214" s="1214">
        <v>3.8670000000000009</v>
      </c>
      <c r="S214" s="1344"/>
      <c r="T214" s="1201">
        <v>462.98202070071528</v>
      </c>
      <c r="U214" s="1214">
        <v>703.61353531403972</v>
      </c>
      <c r="V214" s="1214">
        <v>50.334477304539483</v>
      </c>
      <c r="W214" s="1214">
        <v>14.097305918546317</v>
      </c>
      <c r="X214" s="1214">
        <v>12.907436277089818</v>
      </c>
      <c r="Y214" s="1214"/>
      <c r="Z214" s="1214">
        <v>0</v>
      </c>
      <c r="AA214" s="1240">
        <v>0</v>
      </c>
      <c r="AB214" s="1214">
        <v>0</v>
      </c>
      <c r="AC214" s="1214"/>
      <c r="AD214" s="1214"/>
      <c r="AE214" s="1241">
        <v>10.554203029710598</v>
      </c>
      <c r="AF214" s="1241">
        <v>10.395889984264938</v>
      </c>
      <c r="AG214" s="1241">
        <v>10.239951634500963</v>
      </c>
      <c r="AH214" s="1117"/>
      <c r="AI214" s="1117"/>
      <c r="AJ214" s="1117"/>
      <c r="AK214" s="1117"/>
      <c r="AL214" s="1117"/>
      <c r="AM214" s="1117"/>
      <c r="AN214" s="1117"/>
      <c r="AO214" s="1117"/>
      <c r="AP214" s="1117"/>
      <c r="AQ214" s="1211"/>
    </row>
    <row r="215" spans="1:43" ht="21.75" thickBot="1">
      <c r="E215" s="1242"/>
      <c r="S215" s="1344"/>
    </row>
    <row r="219" spans="1:43" ht="15.75" thickBot="1"/>
    <row r="220" spans="1:43" s="684" customFormat="1" ht="15.75">
      <c r="A220" s="1206"/>
      <c r="B220" s="1188"/>
      <c r="C220" s="1188"/>
      <c r="D220" s="1188"/>
      <c r="E220" s="1188"/>
      <c r="F220" s="1207"/>
      <c r="G220" s="1188"/>
      <c r="H220" s="1188"/>
      <c r="I220" s="1212"/>
      <c r="J220" s="1212"/>
      <c r="K220" s="1212"/>
      <c r="L220" s="1212"/>
      <c r="M220" s="1212"/>
      <c r="N220" s="1198"/>
      <c r="O220" s="1212"/>
      <c r="P220" s="506"/>
      <c r="Q220" s="1212">
        <v>1.7756283930000001</v>
      </c>
      <c r="R220" s="1212">
        <v>0.98899999999999999</v>
      </c>
      <c r="S220" s="1212"/>
      <c r="T220" s="1200">
        <v>83.466132780190009</v>
      </c>
      <c r="U220" s="1212">
        <v>140.50530536908772</v>
      </c>
      <c r="V220" s="1212">
        <v>11.638154845064118</v>
      </c>
      <c r="W220" s="1212">
        <v>7.2851175994083972</v>
      </c>
      <c r="X220" s="1212">
        <v>3.0719366893187261</v>
      </c>
      <c r="Y220" s="1212"/>
      <c r="Z220" s="1212">
        <v>129.19923165129751</v>
      </c>
      <c r="AA220" s="1212">
        <v>27.15</v>
      </c>
      <c r="AB220" s="1212">
        <v>7.2814186999999988</v>
      </c>
      <c r="AC220" s="1212"/>
      <c r="AD220" s="1212"/>
      <c r="AE220" s="1213">
        <v>2.1075795805363158</v>
      </c>
      <c r="AF220" s="1212">
        <v>2.0759658868282713</v>
      </c>
      <c r="AG220" s="1212">
        <v>2.044826398525847</v>
      </c>
      <c r="AH220" s="1188"/>
      <c r="AI220" s="1188"/>
      <c r="AJ220" s="1188"/>
      <c r="AK220" s="1188"/>
      <c r="AL220" s="1188"/>
      <c r="AM220" s="1188"/>
      <c r="AN220" s="1188"/>
      <c r="AO220" s="1188"/>
      <c r="AP220" s="1188"/>
      <c r="AQ220" s="1208"/>
    </row>
    <row r="221" spans="1:43" s="684" customFormat="1" ht="16.5" thickBot="1">
      <c r="A221" s="1209"/>
      <c r="B221" s="1117"/>
      <c r="C221" s="1117"/>
      <c r="D221" s="1117"/>
      <c r="E221" s="1117"/>
      <c r="F221" s="1210"/>
      <c r="G221" s="1117"/>
      <c r="H221" s="1117"/>
      <c r="I221" s="1214"/>
      <c r="J221" s="1214"/>
      <c r="K221" s="1214"/>
      <c r="L221" s="1214"/>
      <c r="M221" s="1214"/>
      <c r="N221" s="1199"/>
      <c r="O221" s="1214"/>
      <c r="P221" s="1214"/>
      <c r="Q221" s="1214">
        <v>1.7756283930000001</v>
      </c>
      <c r="R221" s="1214">
        <v>0.98799999999999999</v>
      </c>
      <c r="S221" s="1214"/>
      <c r="T221" s="1201">
        <v>83.42295278019003</v>
      </c>
      <c r="U221" s="1214">
        <v>140.45927339108772</v>
      </c>
      <c r="V221" s="1214">
        <v>11.637291245064121</v>
      </c>
      <c r="W221" s="1214">
        <v>7.2851175994083972</v>
      </c>
      <c r="X221" s="1214">
        <v>3.0718460113187263</v>
      </c>
      <c r="Y221" s="1214"/>
      <c r="Z221" s="1214">
        <v>129.19923165129751</v>
      </c>
      <c r="AA221" s="1214">
        <v>27.15</v>
      </c>
      <c r="AB221" s="1214">
        <v>7.2814186999999988</v>
      </c>
      <c r="AC221" s="1214"/>
      <c r="AD221" s="1214"/>
      <c r="AE221" s="1215">
        <v>2.1068891008663164</v>
      </c>
      <c r="AF221" s="1214">
        <v>2.075285764353322</v>
      </c>
      <c r="AG221" s="1214">
        <v>2.0441564778880221</v>
      </c>
      <c r="AH221" s="1117"/>
      <c r="AI221" s="1117"/>
      <c r="AJ221" s="1117"/>
      <c r="AK221" s="1117"/>
      <c r="AL221" s="1117"/>
      <c r="AM221" s="1117"/>
      <c r="AN221" s="1117"/>
      <c r="AO221" s="1117"/>
      <c r="AP221" s="1117"/>
      <c r="AQ221" s="1211"/>
    </row>
    <row r="222" spans="1:43">
      <c r="I222" s="1242"/>
      <c r="J222" s="1242"/>
    </row>
    <row r="223" spans="1:43">
      <c r="I223" s="1242"/>
      <c r="J223" s="1242"/>
    </row>
    <row r="224" spans="1:43">
      <c r="I224" s="1242"/>
      <c r="J224" s="1242"/>
    </row>
    <row r="225" spans="1:43" ht="15.75" thickBot="1"/>
    <row r="226" spans="1:43" s="684" customFormat="1" ht="15.75">
      <c r="A226" s="1206"/>
      <c r="B226" s="1188"/>
      <c r="C226" s="1188"/>
      <c r="D226" s="1188"/>
      <c r="E226" s="1188" t="s">
        <v>2779</v>
      </c>
      <c r="F226" s="1207"/>
      <c r="G226" s="1188"/>
      <c r="H226" s="1188"/>
      <c r="I226" s="1212"/>
      <c r="J226" s="1212"/>
      <c r="K226" s="1212"/>
      <c r="L226" s="1212"/>
      <c r="M226" s="1212"/>
      <c r="N226" s="1198"/>
      <c r="O226" s="1212"/>
      <c r="P226" s="1221"/>
      <c r="Q226" s="1365">
        <v>8.9795130450789458</v>
      </c>
      <c r="R226" s="1365">
        <v>5.7337000000000007</v>
      </c>
      <c r="S226" s="1212"/>
      <c r="T226" s="1202">
        <v>449.15719858518622</v>
      </c>
      <c r="U226" s="1202">
        <v>851.81808133165077</v>
      </c>
      <c r="V226" s="1212">
        <v>80.746859810721773</v>
      </c>
      <c r="W226" s="1212">
        <v>103.60352900608677</v>
      </c>
      <c r="X226" s="1212">
        <v>21.79571554796642</v>
      </c>
      <c r="Y226" s="1212"/>
      <c r="Z226" s="1200">
        <v>241.76720778383248</v>
      </c>
      <c r="AA226" s="1212">
        <v>249.25</v>
      </c>
      <c r="AB226" s="1212">
        <v>33.475919975000004</v>
      </c>
      <c r="AC226" s="1212"/>
      <c r="AD226" s="1212"/>
      <c r="AE226" s="1213">
        <v>12.777271219974763</v>
      </c>
      <c r="AF226" s="1212">
        <v>12.585612151675141</v>
      </c>
      <c r="AG226" s="1212">
        <v>12.396827969400015</v>
      </c>
      <c r="AH226" s="1188"/>
      <c r="AI226" s="1188"/>
      <c r="AJ226" s="1188"/>
      <c r="AK226" s="1188"/>
      <c r="AL226" s="1188"/>
      <c r="AM226" s="1188"/>
      <c r="AN226" s="1188"/>
      <c r="AO226" s="1188"/>
      <c r="AP226" s="1188"/>
      <c r="AQ226" s="1208"/>
    </row>
    <row r="227" spans="1:43" s="684" customFormat="1" ht="16.5" thickBot="1">
      <c r="A227" s="1209"/>
      <c r="B227" s="1117"/>
      <c r="C227" s="1117"/>
      <c r="D227" s="1117"/>
      <c r="E227" s="1117" t="s">
        <v>2780</v>
      </c>
      <c r="F227" s="1210"/>
      <c r="G227" s="1117"/>
      <c r="H227" s="1117"/>
      <c r="I227" s="1214"/>
      <c r="J227" s="1214"/>
      <c r="K227" s="1214"/>
      <c r="L227" s="1214"/>
      <c r="M227" s="1214"/>
      <c r="N227" s="1199"/>
      <c r="O227" s="1214"/>
      <c r="P227" s="1222"/>
      <c r="Q227" s="1345">
        <v>8.9434405580789456</v>
      </c>
      <c r="R227" s="1345">
        <v>5.653900000000001</v>
      </c>
      <c r="S227" s="1214"/>
      <c r="T227" s="1203">
        <v>445.02985249089619</v>
      </c>
      <c r="U227" s="1203">
        <v>849.77357069726258</v>
      </c>
      <c r="V227" s="1214">
        <v>81.119312888835964</v>
      </c>
      <c r="W227" s="1214">
        <v>103.60352900608677</v>
      </c>
      <c r="X227" s="1214">
        <v>21.919258121168415</v>
      </c>
      <c r="Y227" s="1214"/>
      <c r="Z227" s="1201">
        <v>108.55069948799999</v>
      </c>
      <c r="AA227" s="1214">
        <v>6.25</v>
      </c>
      <c r="AB227" s="1214">
        <v>0</v>
      </c>
      <c r="AC227" s="1214"/>
      <c r="AD227" s="1214"/>
      <c r="AE227" s="1215">
        <v>12.746603560458938</v>
      </c>
      <c r="AF227" s="1214">
        <v>12.555404507052053</v>
      </c>
      <c r="AG227" s="1214">
        <v>12.367073439446273</v>
      </c>
      <c r="AH227" s="1117"/>
      <c r="AI227" s="1117"/>
      <c r="AJ227" s="1117"/>
      <c r="AK227" s="1117"/>
      <c r="AL227" s="1117"/>
      <c r="AM227" s="1117"/>
      <c r="AN227" s="1117"/>
      <c r="AO227" s="1117"/>
      <c r="AP227" s="1117"/>
      <c r="AQ227" s="1211"/>
    </row>
    <row r="228" spans="1:43" s="684" customFormat="1" ht="16.5" thickBot="1">
      <c r="F228" s="1243"/>
      <c r="I228" s="1244"/>
      <c r="J228" s="1244"/>
      <c r="K228" s="1244"/>
      <c r="L228" s="1244"/>
      <c r="M228" s="1244"/>
      <c r="N228" s="1245"/>
      <c r="O228" s="1244"/>
      <c r="P228" s="1214"/>
      <c r="Q228" s="1378">
        <v>3.78</v>
      </c>
      <c r="R228" s="1378">
        <v>1.67</v>
      </c>
      <c r="S228" s="1214"/>
      <c r="T228" s="1244">
        <v>174.69</v>
      </c>
      <c r="U228" s="1244">
        <v>283.7</v>
      </c>
      <c r="V228" s="1244">
        <v>21.72</v>
      </c>
      <c r="W228" s="1244">
        <v>11.47</v>
      </c>
      <c r="X228" s="1244">
        <v>5.66</v>
      </c>
      <c r="Y228" s="1214"/>
      <c r="Z228" s="1244">
        <v>332.94</v>
      </c>
      <c r="AA228" s="1244">
        <v>37.15</v>
      </c>
      <c r="AB228" s="1244">
        <v>11.67</v>
      </c>
      <c r="AC228" s="1214"/>
      <c r="AD228" s="1214"/>
      <c r="AE228" s="1246">
        <v>4.26</v>
      </c>
      <c r="AF228" s="1244">
        <v>4.1900000000000004</v>
      </c>
      <c r="AG228" s="1244">
        <v>4.13</v>
      </c>
    </row>
    <row r="229" spans="1:43" s="684" customFormat="1" ht="15.75">
      <c r="F229" s="683"/>
      <c r="I229" s="1244"/>
      <c r="J229" s="1244"/>
      <c r="K229" s="1244"/>
      <c r="L229" s="1244"/>
      <c r="M229" s="1244"/>
      <c r="N229" s="1245"/>
      <c r="O229" s="1244"/>
      <c r="P229" s="1244"/>
      <c r="Q229" s="1377">
        <v>1.0679391369230768</v>
      </c>
      <c r="R229" s="1377">
        <v>0.57290000000000008</v>
      </c>
      <c r="S229" s="1248"/>
      <c r="T229" s="1244">
        <v>59.916433439815378</v>
      </c>
      <c r="U229" s="1244">
        <v>117.42972705236963</v>
      </c>
      <c r="V229" s="1244">
        <v>10.989501438834198</v>
      </c>
      <c r="W229" s="1244">
        <v>19.376417413518261</v>
      </c>
      <c r="X229" s="1244">
        <v>2.9708595694031934</v>
      </c>
      <c r="Y229" s="1248"/>
      <c r="Z229" s="1244">
        <v>117.42972705236963</v>
      </c>
      <c r="AA229" s="1247">
        <v>37.968678662960002</v>
      </c>
      <c r="AB229" s="1244">
        <v>8.9453792700000001</v>
      </c>
      <c r="AC229" s="1248"/>
      <c r="AD229" s="1248"/>
      <c r="AE229" s="1246">
        <v>1.4678715881546205</v>
      </c>
      <c r="AF229" s="1244">
        <v>1.4495231933026878</v>
      </c>
      <c r="AG229" s="1244">
        <v>1.4314041533864041</v>
      </c>
    </row>
    <row r="230" spans="1:43" s="1204" customFormat="1" ht="15.75">
      <c r="F230" s="1205"/>
      <c r="I230" s="1217"/>
      <c r="J230" s="1217"/>
      <c r="K230" s="1217"/>
      <c r="L230" s="1217"/>
      <c r="M230" s="1217"/>
      <c r="N230" s="1218"/>
      <c r="O230" s="1217"/>
      <c r="P230" s="1217"/>
      <c r="Q230" s="1249"/>
      <c r="R230" s="1216"/>
      <c r="S230" s="1217"/>
      <c r="T230" s="1217"/>
      <c r="U230" s="1217"/>
      <c r="V230" s="1217"/>
      <c r="W230" s="1217"/>
      <c r="X230" s="1217"/>
      <c r="Y230" s="1217"/>
      <c r="Z230" s="1217"/>
      <c r="AA230" s="1250"/>
      <c r="AB230" s="1217"/>
      <c r="AC230" s="1217"/>
      <c r="AD230" s="1217"/>
      <c r="AE230" s="1220"/>
      <c r="AF230" s="1217"/>
      <c r="AG230" s="1217"/>
    </row>
    <row r="231" spans="1:43" s="1204" customFormat="1" ht="15.75">
      <c r="F231" s="1205"/>
      <c r="I231" s="1217"/>
      <c r="J231" s="1217"/>
      <c r="K231" s="1217"/>
      <c r="L231" s="1217"/>
      <c r="M231" s="1217"/>
      <c r="N231" s="1218"/>
      <c r="O231" s="1217"/>
      <c r="P231" s="1217"/>
      <c r="Q231" s="1249"/>
      <c r="R231" s="1216"/>
      <c r="S231" s="1217"/>
      <c r="T231" s="1217"/>
      <c r="U231" s="1217"/>
      <c r="V231" s="1217"/>
      <c r="W231" s="1217"/>
      <c r="X231" s="1217"/>
      <c r="Y231" s="1217"/>
      <c r="Z231" s="1217"/>
      <c r="AA231" s="1250"/>
      <c r="AB231" s="1217"/>
      <c r="AC231" s="1217"/>
      <c r="AD231" s="1217"/>
      <c r="AE231" s="1220"/>
      <c r="AF231" s="1217"/>
      <c r="AG231" s="1217"/>
    </row>
    <row r="232" spans="1:43" s="1204" customFormat="1" ht="15.75">
      <c r="F232" s="1205"/>
      <c r="I232" s="1217"/>
      <c r="J232" s="1217"/>
      <c r="K232" s="1217"/>
      <c r="L232" s="1217"/>
      <c r="M232" s="1217"/>
      <c r="N232" s="1218"/>
      <c r="O232" s="1217"/>
      <c r="P232" s="1217"/>
      <c r="Q232" s="1249"/>
      <c r="R232" s="1216"/>
      <c r="S232" s="1217"/>
      <c r="T232" s="1217"/>
      <c r="U232" s="1217"/>
      <c r="V232" s="1217"/>
      <c r="W232" s="1217"/>
      <c r="X232" s="1217"/>
      <c r="Y232" s="1217"/>
      <c r="Z232" s="1217"/>
      <c r="AA232" s="1250"/>
      <c r="AB232" s="1217"/>
      <c r="AC232" s="1217"/>
      <c r="AD232" s="1217"/>
      <c r="AE232" s="1220"/>
      <c r="AF232" s="1217"/>
      <c r="AG232" s="1217"/>
    </row>
    <row r="233" spans="1:43" s="1204" customFormat="1" ht="15.75">
      <c r="F233" s="1205"/>
      <c r="I233" s="1217"/>
      <c r="J233" s="1217"/>
      <c r="K233" s="1217"/>
      <c r="L233" s="1217"/>
      <c r="M233" s="1217"/>
      <c r="N233" s="1218"/>
      <c r="O233" s="1217"/>
      <c r="P233" s="1217"/>
      <c r="Q233" s="1249"/>
      <c r="R233" s="1216"/>
      <c r="S233" s="1217"/>
      <c r="T233" s="1217"/>
      <c r="U233" s="1217"/>
      <c r="V233" s="1217"/>
      <c r="W233" s="1217"/>
      <c r="X233" s="1217"/>
      <c r="Y233" s="1217"/>
      <c r="Z233" s="1217"/>
      <c r="AA233" s="1250"/>
      <c r="AB233" s="1217"/>
      <c r="AC233" s="1217"/>
      <c r="AD233" s="1217"/>
      <c r="AE233" s="1220"/>
      <c r="AF233" s="1217"/>
      <c r="AG233" s="1217"/>
    </row>
    <row r="234" spans="1:43" s="1204" customFormat="1" ht="15.75">
      <c r="F234" s="1205"/>
      <c r="I234" s="1217"/>
      <c r="J234" s="1217"/>
      <c r="K234" s="1217"/>
      <c r="L234" s="1217"/>
      <c r="M234" s="1217"/>
      <c r="N234" s="1218"/>
      <c r="O234" s="1217"/>
      <c r="P234" s="1217"/>
      <c r="Q234" s="1249"/>
      <c r="R234" s="1216"/>
      <c r="S234" s="1217"/>
      <c r="T234" s="1217"/>
      <c r="U234" s="1217"/>
      <c r="V234" s="1217"/>
      <c r="W234" s="1217"/>
      <c r="X234" s="1217"/>
      <c r="Y234" s="1217"/>
      <c r="Z234" s="1217"/>
      <c r="AA234" s="1250"/>
      <c r="AB234" s="1217"/>
      <c r="AC234" s="1217"/>
      <c r="AD234" s="1217"/>
      <c r="AE234" s="1220"/>
      <c r="AF234" s="1217"/>
      <c r="AG234" s="1217"/>
    </row>
  </sheetData>
  <autoFilter ref="A2:AM98"/>
  <mergeCells count="234">
    <mergeCell ref="AE87:AE93"/>
    <mergeCell ref="AM87:AM93"/>
    <mergeCell ref="A87:A93"/>
    <mergeCell ref="B87:B93"/>
    <mergeCell ref="C87:C93"/>
    <mergeCell ref="D87:D93"/>
    <mergeCell ref="G87:G93"/>
    <mergeCell ref="I87:I93"/>
    <mergeCell ref="J87:J93"/>
    <mergeCell ref="K87:K93"/>
    <mergeCell ref="L87:L93"/>
    <mergeCell ref="F87:F93"/>
    <mergeCell ref="AM78:AM81"/>
    <mergeCell ref="AD75:AD76"/>
    <mergeCell ref="AE78:AE81"/>
    <mergeCell ref="AE36:AE39"/>
    <mergeCell ref="AE70:AE71"/>
    <mergeCell ref="AE72:AE73"/>
    <mergeCell ref="M78:M81"/>
    <mergeCell ref="N78:N81"/>
    <mergeCell ref="O78:O81"/>
    <mergeCell ref="Q78:Q81"/>
    <mergeCell ref="P78:P81"/>
    <mergeCell ref="R78:R81"/>
    <mergeCell ref="S78:S81"/>
    <mergeCell ref="AD63:AD66"/>
    <mergeCell ref="AM72:AM73"/>
    <mergeCell ref="AM70:AM71"/>
    <mergeCell ref="AM63:AM66"/>
    <mergeCell ref="N72:N73"/>
    <mergeCell ref="O70:O71"/>
    <mergeCell ref="O72:O73"/>
    <mergeCell ref="S72:S73"/>
    <mergeCell ref="S70:S71"/>
    <mergeCell ref="P70:P71"/>
    <mergeCell ref="Q70:Q71"/>
    <mergeCell ref="A78:A81"/>
    <mergeCell ref="B78:B81"/>
    <mergeCell ref="C78:C81"/>
    <mergeCell ref="D78:D81"/>
    <mergeCell ref="G78:G81"/>
    <mergeCell ref="I78:I81"/>
    <mergeCell ref="J78:J81"/>
    <mergeCell ref="K78:K81"/>
    <mergeCell ref="L78:L81"/>
    <mergeCell ref="J34:J35"/>
    <mergeCell ref="AE1:AE2"/>
    <mergeCell ref="AE42:AE49"/>
    <mergeCell ref="AE40:AE41"/>
    <mergeCell ref="AE31:AE33"/>
    <mergeCell ref="A1:A2"/>
    <mergeCell ref="B1:B2"/>
    <mergeCell ref="C1:C2"/>
    <mergeCell ref="D1:D2"/>
    <mergeCell ref="E1:E2"/>
    <mergeCell ref="F1:F2"/>
    <mergeCell ref="G1:G2"/>
    <mergeCell ref="H1:H2"/>
    <mergeCell ref="I1:I2"/>
    <mergeCell ref="A31:A33"/>
    <mergeCell ref="B31:B33"/>
    <mergeCell ref="C31:C33"/>
    <mergeCell ref="D31:D33"/>
    <mergeCell ref="F31:F33"/>
    <mergeCell ref="G31:G33"/>
    <mergeCell ref="I31:I33"/>
    <mergeCell ref="AC1:AC2"/>
    <mergeCell ref="AD1:AD2"/>
    <mergeCell ref="I34:I35"/>
    <mergeCell ref="L1:L2"/>
    <mergeCell ref="AM36:AM39"/>
    <mergeCell ref="N34:N35"/>
    <mergeCell ref="O34:O35"/>
    <mergeCell ref="P34:P35"/>
    <mergeCell ref="Q34:Q35"/>
    <mergeCell ref="R34:R35"/>
    <mergeCell ref="P36:P39"/>
    <mergeCell ref="Q36:Q39"/>
    <mergeCell ref="R36:R39"/>
    <mergeCell ref="S36:S39"/>
    <mergeCell ref="AM34:AM35"/>
    <mergeCell ref="AM1:AM2"/>
    <mergeCell ref="S1:S2"/>
    <mergeCell ref="T1:Y1"/>
    <mergeCell ref="AD36:AD39"/>
    <mergeCell ref="AD34:AD35"/>
    <mergeCell ref="R31:R33"/>
    <mergeCell ref="AA1:AA2"/>
    <mergeCell ref="AB1:AB2"/>
    <mergeCell ref="AG16:AI16"/>
    <mergeCell ref="AF1:AL1"/>
    <mergeCell ref="J1:J2"/>
    <mergeCell ref="K1:K2"/>
    <mergeCell ref="N31:N33"/>
    <mergeCell ref="Q31:Q33"/>
    <mergeCell ref="S31:S33"/>
    <mergeCell ref="AD31:AD33"/>
    <mergeCell ref="AM40:AM41"/>
    <mergeCell ref="J36:J39"/>
    <mergeCell ref="L36:L39"/>
    <mergeCell ref="M36:M39"/>
    <mergeCell ref="S34:S35"/>
    <mergeCell ref="N36:N39"/>
    <mergeCell ref="O36:O39"/>
    <mergeCell ref="K34:K35"/>
    <mergeCell ref="K36:K39"/>
    <mergeCell ref="L34:L35"/>
    <mergeCell ref="M34:M35"/>
    <mergeCell ref="R1:R2"/>
    <mergeCell ref="Y3:Y14"/>
    <mergeCell ref="M1:M2"/>
    <mergeCell ref="N1:N2"/>
    <mergeCell ref="O1:O2"/>
    <mergeCell ref="P1:P2"/>
    <mergeCell ref="Q1:Q2"/>
    <mergeCell ref="P42:P49"/>
    <mergeCell ref="Q42:Q49"/>
    <mergeCell ref="R42:R49"/>
    <mergeCell ref="S42:S49"/>
    <mergeCell ref="A40:A41"/>
    <mergeCell ref="S40:S41"/>
    <mergeCell ref="J40:J41"/>
    <mergeCell ref="L40:L41"/>
    <mergeCell ref="M40:M41"/>
    <mergeCell ref="K40:K41"/>
    <mergeCell ref="N40:N41"/>
    <mergeCell ref="O40:O41"/>
    <mergeCell ref="P40:P41"/>
    <mergeCell ref="Q40:Q41"/>
    <mergeCell ref="R40:R41"/>
    <mergeCell ref="AM50:AM57"/>
    <mergeCell ref="I50:I57"/>
    <mergeCell ref="J50:J57"/>
    <mergeCell ref="L50:L57"/>
    <mergeCell ref="M50:M57"/>
    <mergeCell ref="N50:N57"/>
    <mergeCell ref="O50:O57"/>
    <mergeCell ref="P50:P57"/>
    <mergeCell ref="Q50:Q57"/>
    <mergeCell ref="R50:R57"/>
    <mergeCell ref="S50:S57"/>
    <mergeCell ref="Y50:Y53"/>
    <mergeCell ref="Y54:Y57"/>
    <mergeCell ref="K50:K57"/>
    <mergeCell ref="AD50:AD57"/>
    <mergeCell ref="AM42:AM49"/>
    <mergeCell ref="A34:A35"/>
    <mergeCell ref="B34:B35"/>
    <mergeCell ref="C34:C35"/>
    <mergeCell ref="D34:D35"/>
    <mergeCell ref="G34:G35"/>
    <mergeCell ref="B40:B41"/>
    <mergeCell ref="C40:C41"/>
    <mergeCell ref="D40:D41"/>
    <mergeCell ref="G40:G41"/>
    <mergeCell ref="K42:K49"/>
    <mergeCell ref="Y42:Y45"/>
    <mergeCell ref="Y46:Y49"/>
    <mergeCell ref="AD42:AD49"/>
    <mergeCell ref="AD40:AD41"/>
    <mergeCell ref="A42:A49"/>
    <mergeCell ref="B42:B49"/>
    <mergeCell ref="C42:C49"/>
    <mergeCell ref="D42:D49"/>
    <mergeCell ref="G42:G49"/>
    <mergeCell ref="I42:I49"/>
    <mergeCell ref="M42:M49"/>
    <mergeCell ref="N42:N49"/>
    <mergeCell ref="O42:O49"/>
    <mergeCell ref="I63:I66"/>
    <mergeCell ref="J63:J66"/>
    <mergeCell ref="K63:K66"/>
    <mergeCell ref="L63:L66"/>
    <mergeCell ref="A36:A39"/>
    <mergeCell ref="B36:B39"/>
    <mergeCell ref="C36:C39"/>
    <mergeCell ref="D36:D39"/>
    <mergeCell ref="G36:G39"/>
    <mergeCell ref="I40:I41"/>
    <mergeCell ref="D50:D57"/>
    <mergeCell ref="I36:I39"/>
    <mergeCell ref="J42:J49"/>
    <mergeCell ref="L42:L49"/>
    <mergeCell ref="M63:M66"/>
    <mergeCell ref="N63:N66"/>
    <mergeCell ref="O63:O66"/>
    <mergeCell ref="P63:P66"/>
    <mergeCell ref="Q63:Q66"/>
    <mergeCell ref="R63:R66"/>
    <mergeCell ref="S63:S66"/>
    <mergeCell ref="Y63:Y64"/>
    <mergeCell ref="Y65:Y66"/>
    <mergeCell ref="A75:A76"/>
    <mergeCell ref="B75:B76"/>
    <mergeCell ref="C75:C76"/>
    <mergeCell ref="AE34:AE35"/>
    <mergeCell ref="AE50:AE57"/>
    <mergeCell ref="AE63:AE66"/>
    <mergeCell ref="A70:A71"/>
    <mergeCell ref="B70:B71"/>
    <mergeCell ref="C70:C71"/>
    <mergeCell ref="D70:D71"/>
    <mergeCell ref="A72:A73"/>
    <mergeCell ref="B72:B73"/>
    <mergeCell ref="C72:C73"/>
    <mergeCell ref="D72:D73"/>
    <mergeCell ref="A63:A66"/>
    <mergeCell ref="B63:B66"/>
    <mergeCell ref="C63:C66"/>
    <mergeCell ref="D63:D66"/>
    <mergeCell ref="G63:G66"/>
    <mergeCell ref="G70:G71"/>
    <mergeCell ref="A50:A57"/>
    <mergeCell ref="B50:B57"/>
    <mergeCell ref="C50:C57"/>
    <mergeCell ref="G50:G57"/>
    <mergeCell ref="G72:G73"/>
    <mergeCell ref="N70:N71"/>
    <mergeCell ref="M70:M71"/>
    <mergeCell ref="M72:M73"/>
    <mergeCell ref="AD78:AD81"/>
    <mergeCell ref="AD87:AD93"/>
    <mergeCell ref="P72:P73"/>
    <mergeCell ref="Q72:Q73"/>
    <mergeCell ref="R72:R73"/>
    <mergeCell ref="R70:R71"/>
    <mergeCell ref="M87:M93"/>
    <mergeCell ref="N87:N93"/>
    <mergeCell ref="O87:O93"/>
    <mergeCell ref="P87:P93"/>
    <mergeCell ref="Q87:Q93"/>
    <mergeCell ref="R87:R93"/>
    <mergeCell ref="S87:S93"/>
    <mergeCell ref="Y87:Y93"/>
  </mergeCells>
  <phoneticPr fontId="155" type="noConversion"/>
  <pageMargins left="0.7" right="0.7" top="0.75" bottom="0.75" header="0.3" footer="0.3"/>
  <pageSetup scale="21"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EQ164"/>
  <sheetViews>
    <sheetView showGridLines="0" zoomScale="80" zoomScaleNormal="80" workbookViewId="0">
      <pane xSplit="5" ySplit="2" topLeftCell="F3" activePane="bottomRight" state="frozen"/>
      <selection activeCell="S37" sqref="S37:S43"/>
      <selection pane="topRight" activeCell="S37" sqref="S37:S43"/>
      <selection pane="bottomLeft" activeCell="S37" sqref="S37:S43"/>
      <selection pane="bottomRight" activeCell="S37" sqref="S37:S44"/>
    </sheetView>
  </sheetViews>
  <sheetFormatPr defaultColWidth="9.140625" defaultRowHeight="15"/>
  <cols>
    <col min="1" max="1" width="5.5703125" style="506" bestFit="1" customWidth="1"/>
    <col min="2" max="2" width="13.42578125" style="506" bestFit="1" customWidth="1"/>
    <col min="3" max="3" width="20" style="506" bestFit="1" customWidth="1"/>
    <col min="4" max="4" width="22.42578125" style="506" customWidth="1"/>
    <col min="5" max="5" width="30" style="506" bestFit="1" customWidth="1"/>
    <col min="6" max="6" width="38.7109375" style="540" bestFit="1" customWidth="1"/>
    <col min="7" max="7" width="21" style="506" bestFit="1" customWidth="1"/>
    <col min="8" max="8" width="14.28515625" style="506" customWidth="1"/>
    <col min="9" max="9" width="8.85546875" style="506" customWidth="1"/>
    <col min="10" max="10" width="7" style="506" customWidth="1"/>
    <col min="11" max="11" width="13" style="506" customWidth="1"/>
    <col min="12" max="12" width="8.5703125" style="506" customWidth="1"/>
    <col min="13" max="13" width="11" style="506" customWidth="1"/>
    <col min="14" max="14" width="15.7109375" style="538" customWidth="1"/>
    <col min="15" max="15" width="13.140625" style="506" customWidth="1"/>
    <col min="16" max="16" width="14" style="506" customWidth="1"/>
    <col min="17" max="17" width="11.28515625" style="506" customWidth="1"/>
    <col min="18" max="18" width="22.85546875" style="506" customWidth="1"/>
    <col min="19" max="19" width="12.85546875" style="506" customWidth="1"/>
    <col min="20" max="20" width="20.7109375" style="506" customWidth="1"/>
    <col min="21" max="21" width="12" style="498" customWidth="1"/>
    <col min="22" max="22" width="13" style="506" bestFit="1" customWidth="1"/>
    <col min="23" max="23" width="8.85546875" style="506" customWidth="1"/>
    <col min="24" max="24" width="9.140625" style="506" customWidth="1"/>
    <col min="25" max="25" width="9.5703125" style="506" customWidth="1"/>
    <col min="26" max="26" width="8.42578125" style="506" customWidth="1"/>
    <col min="27" max="27" width="15.28515625" style="506" customWidth="1"/>
    <col min="28" max="28" width="15.28515625" style="506" hidden="1" customWidth="1"/>
    <col min="29" max="31" width="8.28515625" style="506" bestFit="1" customWidth="1"/>
    <col min="32" max="32" width="22" style="506" bestFit="1" customWidth="1"/>
    <col min="33" max="33" width="8.85546875" style="506" customWidth="1"/>
    <col min="34" max="34" width="9.140625" style="506" customWidth="1"/>
    <col min="35" max="35" width="9.5703125" style="506" customWidth="1"/>
    <col min="36" max="36" width="8.42578125" style="506" customWidth="1"/>
    <col min="37" max="37" width="8.28515625" style="506" customWidth="1"/>
    <col min="38" max="16384" width="9.140625" style="498"/>
  </cols>
  <sheetData>
    <row r="1" spans="1:823" ht="25.5" customHeight="1">
      <c r="A1" s="2167" t="s">
        <v>0</v>
      </c>
      <c r="B1" s="2156" t="s">
        <v>1</v>
      </c>
      <c r="C1" s="2156" t="s">
        <v>2</v>
      </c>
      <c r="D1" s="2156" t="s">
        <v>5</v>
      </c>
      <c r="E1" s="2156" t="s">
        <v>3</v>
      </c>
      <c r="F1" s="2156" t="s">
        <v>4</v>
      </c>
      <c r="G1" s="2156" t="s">
        <v>6</v>
      </c>
      <c r="H1" s="2156" t="s">
        <v>7</v>
      </c>
      <c r="I1" s="2156" t="s">
        <v>8</v>
      </c>
      <c r="J1" s="2156" t="s">
        <v>9</v>
      </c>
      <c r="K1" s="2156" t="s">
        <v>10</v>
      </c>
      <c r="L1" s="2156" t="s">
        <v>11</v>
      </c>
      <c r="M1" s="2156" t="s">
        <v>12</v>
      </c>
      <c r="N1" s="2161" t="s">
        <v>55</v>
      </c>
      <c r="O1" s="2156" t="s">
        <v>116</v>
      </c>
      <c r="P1" s="2156" t="s">
        <v>1239</v>
      </c>
      <c r="Q1" s="2156" t="s">
        <v>15</v>
      </c>
      <c r="R1" s="2156" t="s">
        <v>1174</v>
      </c>
      <c r="S1" s="2156" t="s">
        <v>1249</v>
      </c>
      <c r="T1" s="2156" t="s">
        <v>1215</v>
      </c>
      <c r="U1" s="2163" t="s">
        <v>349</v>
      </c>
      <c r="V1" s="2163"/>
      <c r="W1" s="2163"/>
      <c r="X1" s="2163"/>
      <c r="Y1" s="2163"/>
      <c r="Z1" s="2163"/>
      <c r="AA1" s="519"/>
      <c r="AB1" s="519"/>
      <c r="AC1" s="2156" t="s">
        <v>24</v>
      </c>
      <c r="AD1" s="2156" t="s">
        <v>25</v>
      </c>
      <c r="AE1" s="2156" t="s">
        <v>26</v>
      </c>
      <c r="AF1" s="2156" t="s">
        <v>1554</v>
      </c>
      <c r="AG1" s="2156" t="s">
        <v>1583</v>
      </c>
      <c r="AH1" s="2156"/>
      <c r="AI1" s="2156"/>
      <c r="AJ1" s="2156"/>
      <c r="AK1" s="2159" t="s">
        <v>23</v>
      </c>
    </row>
    <row r="2" spans="1:823" s="510" customFormat="1" ht="66" customHeight="1" thickBot="1">
      <c r="A2" s="2168"/>
      <c r="B2" s="2157"/>
      <c r="C2" s="2157"/>
      <c r="D2" s="2157"/>
      <c r="E2" s="2157"/>
      <c r="F2" s="2157"/>
      <c r="G2" s="2157"/>
      <c r="H2" s="2157"/>
      <c r="I2" s="2157"/>
      <c r="J2" s="2157"/>
      <c r="K2" s="2157"/>
      <c r="L2" s="2157"/>
      <c r="M2" s="2157"/>
      <c r="N2" s="2162"/>
      <c r="O2" s="2157"/>
      <c r="P2" s="2157"/>
      <c r="Q2" s="2157"/>
      <c r="R2" s="2157"/>
      <c r="S2" s="2157"/>
      <c r="T2" s="2157"/>
      <c r="U2" s="516" t="s">
        <v>856</v>
      </c>
      <c r="V2" s="516" t="s">
        <v>1240</v>
      </c>
      <c r="W2" s="520" t="s">
        <v>249</v>
      </c>
      <c r="X2" s="516" t="s">
        <v>168</v>
      </c>
      <c r="Y2" s="516" t="s">
        <v>169</v>
      </c>
      <c r="Z2" s="516" t="s">
        <v>350</v>
      </c>
      <c r="AA2" s="520" t="s">
        <v>19</v>
      </c>
      <c r="AB2" s="520" t="s">
        <v>1051</v>
      </c>
      <c r="AC2" s="2157"/>
      <c r="AD2" s="2157"/>
      <c r="AE2" s="2157"/>
      <c r="AF2" s="2157"/>
      <c r="AG2" s="520" t="s">
        <v>1584</v>
      </c>
      <c r="AH2" s="516" t="s">
        <v>168</v>
      </c>
      <c r="AI2" s="516" t="s">
        <v>169</v>
      </c>
      <c r="AJ2" s="516" t="s">
        <v>350</v>
      </c>
      <c r="AK2" s="2160"/>
      <c r="AL2" s="498"/>
      <c r="AM2" s="498"/>
      <c r="AN2" s="498"/>
      <c r="AO2" s="498"/>
      <c r="AP2" s="498"/>
      <c r="AQ2" s="498"/>
      <c r="AR2" s="498"/>
      <c r="AS2" s="498"/>
      <c r="AT2" s="498"/>
      <c r="AU2" s="498"/>
      <c r="AV2" s="498"/>
      <c r="AW2" s="498"/>
      <c r="AX2" s="498"/>
      <c r="AY2" s="498"/>
      <c r="AZ2" s="498"/>
      <c r="BA2" s="498"/>
      <c r="BB2" s="498"/>
      <c r="BC2" s="498"/>
      <c r="BD2" s="498"/>
      <c r="BE2" s="498"/>
      <c r="BF2" s="498"/>
      <c r="BG2" s="498"/>
      <c r="BH2" s="498"/>
      <c r="BI2" s="498"/>
      <c r="BJ2" s="498"/>
      <c r="BK2" s="498"/>
      <c r="BL2" s="498"/>
      <c r="BM2" s="498"/>
      <c r="BN2" s="498"/>
      <c r="BO2" s="498"/>
      <c r="BP2" s="498"/>
      <c r="BQ2" s="498"/>
      <c r="BR2" s="498"/>
      <c r="BS2" s="498"/>
      <c r="BT2" s="498"/>
      <c r="BU2" s="498"/>
      <c r="BV2" s="498"/>
      <c r="BW2" s="498"/>
      <c r="BX2" s="498"/>
      <c r="BY2" s="498"/>
      <c r="BZ2" s="498"/>
      <c r="CA2" s="498"/>
      <c r="CB2" s="498"/>
      <c r="CC2" s="498"/>
      <c r="CD2" s="498"/>
      <c r="CE2" s="498"/>
      <c r="CF2" s="498"/>
      <c r="CG2" s="498"/>
      <c r="CH2" s="498"/>
      <c r="CI2" s="498"/>
      <c r="CJ2" s="498"/>
      <c r="CK2" s="498"/>
      <c r="CL2" s="498"/>
      <c r="CM2" s="498"/>
      <c r="CN2" s="498"/>
      <c r="CO2" s="498"/>
      <c r="CP2" s="498"/>
      <c r="CQ2" s="498"/>
      <c r="CR2" s="498"/>
      <c r="CS2" s="498"/>
      <c r="CT2" s="498"/>
      <c r="CU2" s="498"/>
      <c r="CV2" s="498"/>
      <c r="CW2" s="498"/>
      <c r="CX2" s="498"/>
      <c r="CY2" s="498"/>
      <c r="CZ2" s="498"/>
      <c r="DA2" s="498"/>
      <c r="DB2" s="498"/>
      <c r="DC2" s="498"/>
      <c r="DD2" s="498"/>
      <c r="DE2" s="498"/>
      <c r="DF2" s="498"/>
      <c r="DG2" s="498"/>
      <c r="DH2" s="498"/>
      <c r="DI2" s="498"/>
      <c r="DJ2" s="498"/>
      <c r="DK2" s="498"/>
      <c r="DL2" s="498"/>
      <c r="DM2" s="498"/>
      <c r="DN2" s="498"/>
      <c r="DO2" s="498"/>
      <c r="DP2" s="498"/>
      <c r="DQ2" s="498"/>
      <c r="DR2" s="498"/>
      <c r="DS2" s="498"/>
      <c r="DT2" s="498"/>
      <c r="DU2" s="498"/>
      <c r="DV2" s="498"/>
      <c r="DW2" s="498"/>
      <c r="DX2" s="498"/>
      <c r="DY2" s="498"/>
      <c r="DZ2" s="498"/>
      <c r="EA2" s="498"/>
      <c r="EB2" s="498"/>
      <c r="EC2" s="498"/>
      <c r="ED2" s="498"/>
      <c r="EE2" s="498"/>
      <c r="EF2" s="498"/>
      <c r="EG2" s="498"/>
      <c r="EH2" s="498"/>
      <c r="EI2" s="498"/>
      <c r="EJ2" s="498"/>
      <c r="EK2" s="498"/>
      <c r="EL2" s="498"/>
      <c r="EM2" s="498"/>
      <c r="EN2" s="498"/>
      <c r="EO2" s="498"/>
      <c r="EP2" s="498"/>
      <c r="EQ2" s="498"/>
      <c r="ER2" s="498"/>
      <c r="ES2" s="498"/>
      <c r="ET2" s="498"/>
      <c r="EU2" s="498"/>
      <c r="EV2" s="498"/>
      <c r="EW2" s="498"/>
      <c r="EX2" s="498"/>
      <c r="EY2" s="498"/>
      <c r="EZ2" s="498"/>
      <c r="FA2" s="498"/>
      <c r="FB2" s="498"/>
      <c r="FC2" s="498"/>
      <c r="FD2" s="498"/>
      <c r="FE2" s="498"/>
      <c r="FF2" s="498"/>
      <c r="FG2" s="498"/>
      <c r="FH2" s="498"/>
      <c r="FI2" s="498"/>
      <c r="FJ2" s="498"/>
      <c r="FK2" s="498"/>
      <c r="FL2" s="498"/>
      <c r="FM2" s="498"/>
      <c r="FN2" s="498"/>
      <c r="FO2" s="498"/>
      <c r="FP2" s="498"/>
      <c r="FQ2" s="498"/>
      <c r="FR2" s="498"/>
      <c r="FS2" s="498"/>
      <c r="FT2" s="498"/>
      <c r="FU2" s="498"/>
      <c r="FV2" s="498"/>
      <c r="FW2" s="498"/>
      <c r="FX2" s="498"/>
      <c r="FY2" s="498"/>
      <c r="FZ2" s="498"/>
      <c r="GA2" s="498"/>
      <c r="GB2" s="498"/>
      <c r="GC2" s="498"/>
      <c r="GD2" s="498"/>
      <c r="GE2" s="498"/>
      <c r="GF2" s="498"/>
      <c r="GG2" s="498"/>
      <c r="GH2" s="498"/>
      <c r="GI2" s="498"/>
      <c r="GJ2" s="498"/>
      <c r="GK2" s="498"/>
      <c r="GL2" s="498"/>
      <c r="GM2" s="498"/>
      <c r="GN2" s="498"/>
      <c r="GO2" s="498"/>
      <c r="GP2" s="498"/>
      <c r="GQ2" s="498"/>
      <c r="GR2" s="498"/>
      <c r="GS2" s="498"/>
      <c r="GT2" s="498"/>
      <c r="GU2" s="498"/>
      <c r="GV2" s="498"/>
      <c r="GW2" s="498"/>
      <c r="GX2" s="498"/>
      <c r="GY2" s="498"/>
      <c r="GZ2" s="498"/>
      <c r="HA2" s="498"/>
      <c r="HB2" s="498"/>
      <c r="HC2" s="498"/>
      <c r="HD2" s="498"/>
      <c r="HE2" s="498"/>
      <c r="HF2" s="498"/>
      <c r="HG2" s="498"/>
      <c r="HH2" s="498"/>
      <c r="HI2" s="498"/>
      <c r="HJ2" s="498"/>
      <c r="HK2" s="498"/>
      <c r="HL2" s="498"/>
      <c r="HM2" s="498"/>
      <c r="HN2" s="498"/>
      <c r="HO2" s="498"/>
      <c r="HP2" s="498"/>
      <c r="HQ2" s="498"/>
      <c r="HR2" s="498"/>
      <c r="HS2" s="498"/>
      <c r="HT2" s="498"/>
      <c r="HU2" s="498"/>
      <c r="HV2" s="498"/>
      <c r="HW2" s="498"/>
      <c r="HX2" s="498"/>
      <c r="HY2" s="498"/>
      <c r="HZ2" s="498"/>
      <c r="IA2" s="498"/>
      <c r="IB2" s="498"/>
      <c r="IC2" s="498"/>
      <c r="ID2" s="498"/>
      <c r="IE2" s="498"/>
      <c r="IF2" s="498"/>
      <c r="IG2" s="498"/>
      <c r="IH2" s="498"/>
      <c r="II2" s="498"/>
      <c r="IJ2" s="498"/>
      <c r="IK2" s="498"/>
      <c r="IL2" s="498"/>
      <c r="IM2" s="498"/>
      <c r="IN2" s="498"/>
      <c r="IO2" s="498"/>
      <c r="IP2" s="498"/>
      <c r="IQ2" s="498"/>
      <c r="IR2" s="498"/>
      <c r="IS2" s="498"/>
      <c r="IT2" s="498"/>
      <c r="IU2" s="498"/>
      <c r="IV2" s="498"/>
      <c r="IW2" s="498"/>
      <c r="IX2" s="498"/>
      <c r="IY2" s="498"/>
      <c r="IZ2" s="498"/>
      <c r="JA2" s="498"/>
      <c r="JB2" s="498"/>
      <c r="JC2" s="498"/>
      <c r="JD2" s="498"/>
      <c r="JE2" s="498"/>
      <c r="JF2" s="498"/>
      <c r="JG2" s="498"/>
      <c r="JH2" s="498"/>
      <c r="JI2" s="498"/>
      <c r="JJ2" s="498"/>
      <c r="JK2" s="498"/>
      <c r="JL2" s="498"/>
      <c r="JM2" s="498"/>
      <c r="JN2" s="498"/>
      <c r="JO2" s="498"/>
      <c r="JP2" s="498"/>
      <c r="JQ2" s="498"/>
      <c r="JR2" s="498"/>
      <c r="JS2" s="498"/>
      <c r="JT2" s="498"/>
      <c r="JU2" s="498"/>
      <c r="JV2" s="498"/>
      <c r="JW2" s="498"/>
      <c r="JX2" s="498"/>
      <c r="JY2" s="498"/>
      <c r="JZ2" s="498"/>
      <c r="KA2" s="498"/>
      <c r="KB2" s="498"/>
      <c r="KC2" s="498"/>
      <c r="KD2" s="498"/>
      <c r="KE2" s="498"/>
      <c r="KF2" s="498"/>
      <c r="KG2" s="498"/>
      <c r="KH2" s="498"/>
      <c r="KI2" s="498"/>
      <c r="KJ2" s="498"/>
      <c r="KK2" s="498"/>
      <c r="KL2" s="498"/>
      <c r="KM2" s="498"/>
      <c r="KN2" s="498"/>
      <c r="KO2" s="498"/>
      <c r="KP2" s="498"/>
      <c r="KQ2" s="498"/>
      <c r="KR2" s="498"/>
      <c r="KS2" s="498"/>
      <c r="KT2" s="498"/>
      <c r="KU2" s="498"/>
      <c r="KV2" s="498"/>
      <c r="KW2" s="498"/>
      <c r="KX2" s="498"/>
      <c r="KY2" s="498"/>
      <c r="KZ2" s="498"/>
      <c r="LA2" s="498"/>
      <c r="LB2" s="498"/>
      <c r="LC2" s="498"/>
      <c r="LD2" s="498"/>
      <c r="LE2" s="498"/>
      <c r="LF2" s="498"/>
      <c r="LG2" s="498"/>
      <c r="LH2" s="498"/>
      <c r="LI2" s="498"/>
      <c r="LJ2" s="498"/>
      <c r="LK2" s="498"/>
      <c r="LL2" s="498"/>
      <c r="LM2" s="498"/>
      <c r="LN2" s="498"/>
      <c r="LO2" s="498"/>
      <c r="LP2" s="498"/>
      <c r="LQ2" s="498"/>
      <c r="LR2" s="498"/>
      <c r="LS2" s="498"/>
      <c r="LT2" s="498"/>
      <c r="LU2" s="498"/>
      <c r="LV2" s="498"/>
      <c r="LW2" s="498"/>
      <c r="LX2" s="498"/>
      <c r="LY2" s="498"/>
      <c r="LZ2" s="498"/>
      <c r="MA2" s="498"/>
      <c r="MB2" s="498"/>
      <c r="MC2" s="498"/>
      <c r="MD2" s="498"/>
      <c r="ME2" s="498"/>
      <c r="MF2" s="498"/>
      <c r="MG2" s="498"/>
      <c r="MH2" s="498"/>
      <c r="MI2" s="498"/>
      <c r="MJ2" s="498"/>
      <c r="MK2" s="498"/>
      <c r="ML2" s="498"/>
      <c r="MM2" s="498"/>
      <c r="MN2" s="498"/>
      <c r="MO2" s="498"/>
      <c r="MP2" s="498"/>
      <c r="MQ2" s="498"/>
      <c r="MR2" s="498"/>
      <c r="MS2" s="498"/>
      <c r="MT2" s="498"/>
      <c r="MU2" s="498"/>
      <c r="MV2" s="498"/>
      <c r="MW2" s="498"/>
      <c r="MX2" s="498"/>
      <c r="MY2" s="498"/>
      <c r="MZ2" s="498"/>
      <c r="NA2" s="498"/>
      <c r="NB2" s="498"/>
      <c r="NC2" s="498"/>
      <c r="ND2" s="498"/>
      <c r="NE2" s="498"/>
      <c r="NF2" s="498"/>
      <c r="NG2" s="498"/>
      <c r="NH2" s="498"/>
      <c r="NI2" s="498"/>
      <c r="NJ2" s="498"/>
      <c r="NK2" s="498"/>
      <c r="NL2" s="498"/>
      <c r="NM2" s="498"/>
      <c r="NN2" s="498"/>
      <c r="NO2" s="498"/>
      <c r="NP2" s="498"/>
      <c r="NQ2" s="498"/>
      <c r="NR2" s="498"/>
      <c r="NS2" s="498"/>
      <c r="NT2" s="498"/>
      <c r="NU2" s="498"/>
      <c r="NV2" s="498"/>
      <c r="NW2" s="498"/>
      <c r="NX2" s="498"/>
      <c r="NY2" s="498"/>
      <c r="NZ2" s="498"/>
      <c r="OA2" s="498"/>
      <c r="OB2" s="498"/>
      <c r="OC2" s="498"/>
      <c r="OD2" s="498"/>
      <c r="OE2" s="498"/>
      <c r="OF2" s="498"/>
      <c r="OG2" s="498"/>
      <c r="OH2" s="498"/>
      <c r="OI2" s="498"/>
      <c r="OJ2" s="498"/>
      <c r="OK2" s="498"/>
      <c r="OL2" s="498"/>
      <c r="OM2" s="498"/>
      <c r="ON2" s="498"/>
      <c r="OO2" s="498"/>
      <c r="OP2" s="498"/>
      <c r="OQ2" s="498"/>
      <c r="OR2" s="498"/>
      <c r="OS2" s="498"/>
      <c r="OT2" s="498"/>
      <c r="OU2" s="498"/>
      <c r="OV2" s="498"/>
      <c r="OW2" s="498"/>
      <c r="OX2" s="498"/>
      <c r="OY2" s="498"/>
      <c r="OZ2" s="498"/>
      <c r="PA2" s="498"/>
      <c r="PB2" s="498"/>
      <c r="PC2" s="498"/>
      <c r="PD2" s="498"/>
      <c r="PE2" s="498"/>
      <c r="PF2" s="498"/>
      <c r="PG2" s="498"/>
      <c r="PH2" s="498"/>
      <c r="PI2" s="498"/>
      <c r="PJ2" s="498"/>
      <c r="PK2" s="498"/>
      <c r="PL2" s="498"/>
      <c r="PM2" s="498"/>
      <c r="PN2" s="498"/>
      <c r="PO2" s="498"/>
      <c r="PP2" s="498"/>
      <c r="PQ2" s="498"/>
      <c r="PR2" s="498"/>
      <c r="PS2" s="498"/>
      <c r="PT2" s="498"/>
      <c r="PU2" s="498"/>
      <c r="PV2" s="498"/>
      <c r="PW2" s="498"/>
      <c r="PX2" s="498"/>
      <c r="PY2" s="498"/>
      <c r="PZ2" s="498"/>
      <c r="QA2" s="498"/>
      <c r="QB2" s="498"/>
      <c r="QC2" s="498"/>
      <c r="QD2" s="498"/>
      <c r="QE2" s="498"/>
      <c r="QF2" s="498"/>
      <c r="QG2" s="498"/>
      <c r="QH2" s="498"/>
      <c r="QI2" s="498"/>
      <c r="QJ2" s="498"/>
      <c r="QK2" s="498"/>
      <c r="QL2" s="498"/>
      <c r="QM2" s="498"/>
      <c r="QN2" s="498"/>
      <c r="QO2" s="498"/>
      <c r="QP2" s="498"/>
      <c r="QQ2" s="498"/>
      <c r="QR2" s="498"/>
      <c r="QS2" s="498"/>
      <c r="QT2" s="498"/>
      <c r="QU2" s="498"/>
      <c r="QV2" s="498"/>
      <c r="QW2" s="498"/>
      <c r="QX2" s="498"/>
      <c r="QY2" s="498"/>
      <c r="QZ2" s="498"/>
      <c r="RA2" s="498"/>
      <c r="RB2" s="498"/>
      <c r="RC2" s="498"/>
      <c r="RD2" s="498"/>
      <c r="RE2" s="498"/>
      <c r="RF2" s="498"/>
      <c r="RG2" s="498"/>
      <c r="RH2" s="498"/>
      <c r="RI2" s="498"/>
      <c r="RJ2" s="498"/>
      <c r="RK2" s="498"/>
      <c r="RL2" s="498"/>
      <c r="RM2" s="498"/>
      <c r="RN2" s="498"/>
      <c r="RO2" s="498"/>
      <c r="RP2" s="498"/>
      <c r="RQ2" s="498"/>
      <c r="RR2" s="498"/>
      <c r="RS2" s="498"/>
      <c r="RT2" s="498"/>
      <c r="RU2" s="498"/>
      <c r="RV2" s="498"/>
      <c r="RW2" s="498"/>
      <c r="RX2" s="498"/>
      <c r="RY2" s="498"/>
      <c r="RZ2" s="498"/>
      <c r="SA2" s="498"/>
      <c r="SB2" s="498"/>
      <c r="SC2" s="498"/>
      <c r="SD2" s="498"/>
      <c r="SE2" s="498"/>
      <c r="SF2" s="498"/>
      <c r="SG2" s="498"/>
      <c r="SH2" s="498"/>
      <c r="SI2" s="498"/>
      <c r="SJ2" s="498"/>
      <c r="SK2" s="498"/>
      <c r="SL2" s="498"/>
      <c r="SM2" s="498"/>
      <c r="SN2" s="498"/>
      <c r="SO2" s="498"/>
      <c r="SP2" s="498"/>
      <c r="SQ2" s="498"/>
      <c r="SR2" s="498"/>
      <c r="SS2" s="498"/>
      <c r="ST2" s="498"/>
      <c r="SU2" s="498"/>
      <c r="SV2" s="498"/>
      <c r="SW2" s="498"/>
      <c r="SX2" s="498"/>
      <c r="SY2" s="498"/>
      <c r="SZ2" s="498"/>
      <c r="TA2" s="498"/>
      <c r="TB2" s="498"/>
      <c r="TC2" s="498"/>
      <c r="TD2" s="498"/>
      <c r="TE2" s="498"/>
      <c r="TF2" s="498"/>
      <c r="TG2" s="498"/>
      <c r="TH2" s="498"/>
      <c r="TI2" s="498"/>
      <c r="TJ2" s="498"/>
      <c r="TK2" s="498"/>
      <c r="TL2" s="498"/>
      <c r="TM2" s="498"/>
      <c r="TN2" s="498"/>
      <c r="TO2" s="498"/>
      <c r="TP2" s="498"/>
      <c r="TQ2" s="498"/>
      <c r="TR2" s="498"/>
      <c r="TS2" s="498"/>
      <c r="TT2" s="498"/>
      <c r="TU2" s="498"/>
      <c r="TV2" s="498"/>
      <c r="TW2" s="498"/>
      <c r="TX2" s="498"/>
      <c r="TY2" s="498"/>
      <c r="TZ2" s="498"/>
      <c r="UA2" s="498"/>
      <c r="UB2" s="498"/>
      <c r="UC2" s="498"/>
      <c r="UD2" s="498"/>
      <c r="UE2" s="498"/>
      <c r="UF2" s="498"/>
      <c r="UG2" s="498"/>
      <c r="UH2" s="498"/>
      <c r="UI2" s="498"/>
      <c r="UJ2" s="498"/>
      <c r="UK2" s="498"/>
      <c r="UL2" s="498"/>
      <c r="UM2" s="498"/>
      <c r="UN2" s="498"/>
      <c r="UO2" s="498"/>
      <c r="UP2" s="498"/>
      <c r="UQ2" s="498"/>
      <c r="UR2" s="498"/>
      <c r="US2" s="498"/>
      <c r="UT2" s="498"/>
      <c r="UU2" s="498"/>
      <c r="UV2" s="498"/>
      <c r="UW2" s="498"/>
      <c r="UX2" s="498"/>
      <c r="UY2" s="498"/>
      <c r="UZ2" s="498"/>
      <c r="VA2" s="498"/>
      <c r="VB2" s="498"/>
      <c r="VC2" s="498"/>
      <c r="VD2" s="498"/>
      <c r="VE2" s="498"/>
      <c r="VF2" s="498"/>
      <c r="VG2" s="498"/>
      <c r="VH2" s="498"/>
      <c r="VI2" s="498"/>
      <c r="VJ2" s="498"/>
      <c r="VK2" s="498"/>
      <c r="VL2" s="498"/>
      <c r="VM2" s="498"/>
      <c r="VN2" s="498"/>
      <c r="VO2" s="498"/>
      <c r="VP2" s="498"/>
      <c r="VQ2" s="498"/>
      <c r="VR2" s="498"/>
      <c r="VS2" s="498"/>
      <c r="VT2" s="498"/>
      <c r="VU2" s="498"/>
      <c r="VV2" s="498"/>
      <c r="VW2" s="498"/>
      <c r="VX2" s="498"/>
      <c r="VY2" s="498"/>
      <c r="VZ2" s="498"/>
      <c r="WA2" s="498"/>
      <c r="WB2" s="498"/>
      <c r="WC2" s="498"/>
      <c r="WD2" s="498"/>
      <c r="WE2" s="498"/>
      <c r="WF2" s="498"/>
      <c r="WG2" s="498"/>
      <c r="WH2" s="498"/>
      <c r="WI2" s="498"/>
      <c r="WJ2" s="498"/>
      <c r="WK2" s="498"/>
      <c r="WL2" s="498"/>
      <c r="WM2" s="498"/>
      <c r="WN2" s="498"/>
      <c r="WO2" s="498"/>
      <c r="WP2" s="498"/>
      <c r="WQ2" s="498"/>
      <c r="WR2" s="498"/>
      <c r="WS2" s="498"/>
      <c r="WT2" s="498"/>
      <c r="WU2" s="498"/>
      <c r="WV2" s="498"/>
      <c r="WW2" s="498"/>
      <c r="WX2" s="498"/>
      <c r="WY2" s="498"/>
      <c r="WZ2" s="498"/>
      <c r="XA2" s="498"/>
      <c r="XB2" s="498"/>
      <c r="XC2" s="498"/>
      <c r="XD2" s="498"/>
      <c r="XE2" s="498"/>
      <c r="XF2" s="498"/>
      <c r="XG2" s="498"/>
      <c r="XH2" s="498"/>
      <c r="XI2" s="498"/>
      <c r="XJ2" s="498"/>
      <c r="XK2" s="498"/>
      <c r="XL2" s="498"/>
      <c r="XM2" s="498"/>
      <c r="XN2" s="498"/>
      <c r="XO2" s="498"/>
      <c r="XP2" s="498"/>
      <c r="XQ2" s="498"/>
      <c r="XR2" s="498"/>
      <c r="XS2" s="498"/>
      <c r="XT2" s="498"/>
      <c r="XU2" s="498"/>
      <c r="XV2" s="498"/>
      <c r="XW2" s="498"/>
      <c r="XX2" s="498"/>
      <c r="XY2" s="498"/>
      <c r="XZ2" s="498"/>
      <c r="YA2" s="498"/>
      <c r="YB2" s="498"/>
      <c r="YC2" s="498"/>
      <c r="YD2" s="498"/>
      <c r="YE2" s="498"/>
      <c r="YF2" s="498"/>
      <c r="YG2" s="498"/>
      <c r="YH2" s="498"/>
      <c r="YI2" s="498"/>
      <c r="YJ2" s="498"/>
      <c r="YK2" s="498"/>
      <c r="YL2" s="498"/>
      <c r="YM2" s="498"/>
      <c r="YN2" s="498"/>
      <c r="YO2" s="498"/>
      <c r="YP2" s="498"/>
      <c r="YQ2" s="498"/>
      <c r="YR2" s="498"/>
      <c r="YS2" s="498"/>
      <c r="YT2" s="498"/>
      <c r="YU2" s="498"/>
      <c r="YV2" s="498"/>
      <c r="YW2" s="498"/>
      <c r="YX2" s="498"/>
      <c r="YY2" s="498"/>
      <c r="YZ2" s="498"/>
      <c r="ZA2" s="498"/>
      <c r="ZB2" s="498"/>
      <c r="ZC2" s="498"/>
      <c r="ZD2" s="498"/>
      <c r="ZE2" s="498"/>
      <c r="ZF2" s="498"/>
      <c r="ZG2" s="498"/>
      <c r="ZH2" s="498"/>
      <c r="ZI2" s="498"/>
      <c r="ZJ2" s="498"/>
      <c r="ZK2" s="498"/>
      <c r="ZL2" s="498"/>
      <c r="ZM2" s="498"/>
      <c r="ZN2" s="498"/>
      <c r="ZO2" s="498"/>
      <c r="ZP2" s="498"/>
      <c r="ZQ2" s="498"/>
      <c r="ZR2" s="498"/>
      <c r="ZS2" s="498"/>
      <c r="ZT2" s="498"/>
      <c r="ZU2" s="498"/>
      <c r="ZV2" s="498"/>
      <c r="ZW2" s="498"/>
      <c r="ZX2" s="498"/>
      <c r="ZY2" s="498"/>
      <c r="ZZ2" s="498"/>
      <c r="AAA2" s="498"/>
      <c r="AAB2" s="498"/>
      <c r="AAC2" s="498"/>
      <c r="AAD2" s="498"/>
      <c r="AAE2" s="498"/>
      <c r="AAF2" s="498"/>
      <c r="AAG2" s="498"/>
      <c r="AAH2" s="498"/>
      <c r="AAI2" s="498"/>
      <c r="AAJ2" s="498"/>
      <c r="AAK2" s="498"/>
      <c r="AAL2" s="498"/>
      <c r="AAM2" s="498"/>
      <c r="AAN2" s="498"/>
      <c r="AAO2" s="498"/>
      <c r="AAP2" s="498"/>
      <c r="AAQ2" s="498"/>
      <c r="AAR2" s="498"/>
      <c r="AAS2" s="498"/>
      <c r="AAT2" s="498"/>
      <c r="AAU2" s="498"/>
      <c r="AAV2" s="498"/>
      <c r="AAW2" s="498"/>
      <c r="AAX2" s="498"/>
      <c r="AAY2" s="498"/>
      <c r="AAZ2" s="498"/>
      <c r="ABA2" s="498"/>
      <c r="ABB2" s="498"/>
      <c r="ABC2" s="498"/>
      <c r="ABD2" s="498"/>
      <c r="ABE2" s="498"/>
      <c r="ABF2" s="498"/>
      <c r="ABG2" s="498"/>
      <c r="ABH2" s="498"/>
      <c r="ABI2" s="498"/>
      <c r="ABJ2" s="498"/>
      <c r="ABK2" s="498"/>
      <c r="ABL2" s="498"/>
      <c r="ABM2" s="498"/>
      <c r="ABN2" s="498"/>
      <c r="ABO2" s="498"/>
      <c r="ABP2" s="498"/>
      <c r="ABQ2" s="498"/>
      <c r="ABR2" s="498"/>
      <c r="ABS2" s="498"/>
      <c r="ABT2" s="498"/>
      <c r="ABU2" s="498"/>
      <c r="ABV2" s="498"/>
      <c r="ABW2" s="498"/>
      <c r="ABX2" s="498"/>
      <c r="ABY2" s="498"/>
      <c r="ABZ2" s="498"/>
      <c r="ACA2" s="498"/>
      <c r="ACB2" s="498"/>
      <c r="ACC2" s="498"/>
      <c r="ACD2" s="498"/>
      <c r="ACE2" s="498"/>
      <c r="ACF2" s="498"/>
      <c r="ACG2" s="498"/>
      <c r="ACH2" s="498"/>
      <c r="ACI2" s="498"/>
      <c r="ACJ2" s="498"/>
      <c r="ACK2" s="498"/>
      <c r="ACL2" s="498"/>
      <c r="ACM2" s="498"/>
      <c r="ACN2" s="498"/>
      <c r="ACO2" s="498"/>
      <c r="ACP2" s="498"/>
      <c r="ACQ2" s="498"/>
      <c r="ACR2" s="498"/>
      <c r="ACS2" s="498"/>
      <c r="ACT2" s="498"/>
      <c r="ACU2" s="498"/>
      <c r="ACV2" s="498"/>
      <c r="ACW2" s="498"/>
      <c r="ACX2" s="498"/>
      <c r="ACY2" s="498"/>
      <c r="ACZ2" s="498"/>
      <c r="ADA2" s="498"/>
      <c r="ADB2" s="498"/>
      <c r="ADC2" s="498"/>
      <c r="ADD2" s="498"/>
      <c r="ADE2" s="498"/>
      <c r="ADF2" s="498"/>
      <c r="ADG2" s="498"/>
      <c r="ADH2" s="498"/>
      <c r="ADI2" s="498"/>
      <c r="ADJ2" s="498"/>
      <c r="ADK2" s="498"/>
      <c r="ADL2" s="498"/>
      <c r="ADM2" s="498"/>
      <c r="ADN2" s="498"/>
      <c r="ADO2" s="498"/>
      <c r="ADP2" s="498"/>
      <c r="ADQ2" s="498"/>
      <c r="ADR2" s="498"/>
      <c r="ADS2" s="498"/>
      <c r="ADT2" s="498"/>
      <c r="ADU2" s="498"/>
      <c r="ADV2" s="498"/>
      <c r="ADW2" s="498"/>
      <c r="ADX2" s="498"/>
      <c r="ADY2" s="498"/>
      <c r="ADZ2" s="498"/>
      <c r="AEA2" s="498"/>
      <c r="AEB2" s="498"/>
      <c r="AEC2" s="498"/>
      <c r="AED2" s="498"/>
      <c r="AEE2" s="498"/>
      <c r="AEF2" s="498"/>
      <c r="AEG2" s="498"/>
      <c r="AEH2" s="498"/>
      <c r="AEI2" s="498"/>
      <c r="AEJ2" s="498"/>
      <c r="AEK2" s="498"/>
      <c r="AEL2" s="498"/>
      <c r="AEM2" s="498"/>
      <c r="AEN2" s="498"/>
      <c r="AEO2" s="498"/>
      <c r="AEP2" s="498"/>
      <c r="AEQ2" s="498"/>
    </row>
    <row r="3" spans="1:823">
      <c r="A3" s="2140">
        <v>1</v>
      </c>
      <c r="B3" s="2140" t="s">
        <v>1030</v>
      </c>
      <c r="C3" s="2140" t="s">
        <v>29</v>
      </c>
      <c r="D3" s="2140" t="s">
        <v>1031</v>
      </c>
      <c r="E3" s="521" t="s">
        <v>1032</v>
      </c>
      <c r="F3" s="653" t="s">
        <v>572</v>
      </c>
      <c r="G3" s="2140" t="s">
        <v>299</v>
      </c>
      <c r="H3" s="521">
        <v>30000</v>
      </c>
      <c r="I3" s="521" t="s">
        <v>34</v>
      </c>
      <c r="J3" s="521" t="s">
        <v>34</v>
      </c>
      <c r="K3" s="521" t="s">
        <v>34</v>
      </c>
      <c r="L3" s="521" t="s">
        <v>35</v>
      </c>
      <c r="M3" s="521" t="s">
        <v>237</v>
      </c>
      <c r="N3" s="2165">
        <v>43941</v>
      </c>
      <c r="O3" s="2140" t="s">
        <v>1040</v>
      </c>
      <c r="P3" s="2140" t="s">
        <v>1178</v>
      </c>
      <c r="Q3" s="2140" t="s">
        <v>1003</v>
      </c>
      <c r="R3" s="2140" t="s">
        <v>1178</v>
      </c>
      <c r="S3" s="2140" t="s">
        <v>1179</v>
      </c>
      <c r="T3" s="2140" t="s">
        <v>1216</v>
      </c>
      <c r="U3" s="511">
        <v>172.04888485892801</v>
      </c>
      <c r="V3" s="512">
        <v>461.61169948039174</v>
      </c>
      <c r="W3" s="521"/>
      <c r="X3" s="512">
        <v>457.00376224423599</v>
      </c>
      <c r="Y3" s="521">
        <v>78.5</v>
      </c>
      <c r="Z3" s="512">
        <v>17.735749999999999</v>
      </c>
      <c r="AA3" s="513">
        <f t="shared" ref="AA3:AA66" si="0">H3*V3/10^7</f>
        <v>1.3848350984411752</v>
      </c>
      <c r="AB3" s="2164"/>
      <c r="AC3" s="514">
        <v>0.01</v>
      </c>
      <c r="AD3" s="514">
        <v>0.01</v>
      </c>
      <c r="AE3" s="514">
        <v>0.01</v>
      </c>
      <c r="AF3" s="515" t="s">
        <v>1546</v>
      </c>
      <c r="AG3" s="521"/>
      <c r="AH3" s="521"/>
      <c r="AI3" s="521"/>
      <c r="AJ3" s="521"/>
      <c r="AK3" s="2158" t="s">
        <v>1581</v>
      </c>
    </row>
    <row r="4" spans="1:823">
      <c r="A4" s="2149"/>
      <c r="B4" s="2149"/>
      <c r="C4" s="2149"/>
      <c r="D4" s="2149"/>
      <c r="E4" s="504" t="s">
        <v>1033</v>
      </c>
      <c r="F4" s="654" t="s">
        <v>569</v>
      </c>
      <c r="G4" s="2149"/>
      <c r="H4" s="504">
        <v>30000</v>
      </c>
      <c r="I4" s="504" t="s">
        <v>34</v>
      </c>
      <c r="J4" s="504" t="s">
        <v>34</v>
      </c>
      <c r="K4" s="504" t="s">
        <v>34</v>
      </c>
      <c r="L4" s="504" t="s">
        <v>35</v>
      </c>
      <c r="M4" s="504" t="s">
        <v>237</v>
      </c>
      <c r="N4" s="2153"/>
      <c r="O4" s="2149"/>
      <c r="P4" s="2149"/>
      <c r="Q4" s="2149"/>
      <c r="R4" s="2149"/>
      <c r="S4" s="2149"/>
      <c r="T4" s="2149"/>
      <c r="U4" s="524">
        <v>165.50923535892798</v>
      </c>
      <c r="V4" s="525">
        <v>447.16770898394157</v>
      </c>
      <c r="W4" s="504"/>
      <c r="X4" s="525">
        <v>486.79766681793848</v>
      </c>
      <c r="Y4" s="502">
        <v>10.75</v>
      </c>
      <c r="Z4" s="525"/>
      <c r="AA4" s="499">
        <f t="shared" si="0"/>
        <v>1.3415031269518247</v>
      </c>
      <c r="AB4" s="2150"/>
      <c r="AC4" s="526">
        <v>0.01</v>
      </c>
      <c r="AD4" s="526">
        <v>0.01</v>
      </c>
      <c r="AE4" s="526">
        <v>0.01</v>
      </c>
      <c r="AF4" s="500" t="s">
        <v>1546</v>
      </c>
      <c r="AG4" s="504"/>
      <c r="AH4" s="504"/>
      <c r="AI4" s="504"/>
      <c r="AJ4" s="504"/>
      <c r="AK4" s="2142"/>
    </row>
    <row r="5" spans="1:823">
      <c r="A5" s="2149"/>
      <c r="B5" s="2149"/>
      <c r="C5" s="2149"/>
      <c r="D5" s="2149"/>
      <c r="E5" s="504" t="s">
        <v>1034</v>
      </c>
      <c r="F5" s="654" t="s">
        <v>572</v>
      </c>
      <c r="G5" s="2149"/>
      <c r="H5" s="504">
        <v>30000</v>
      </c>
      <c r="I5" s="504" t="s">
        <v>34</v>
      </c>
      <c r="J5" s="504" t="s">
        <v>34</v>
      </c>
      <c r="K5" s="504" t="s">
        <v>34</v>
      </c>
      <c r="L5" s="504" t="s">
        <v>35</v>
      </c>
      <c r="M5" s="504" t="s">
        <v>237</v>
      </c>
      <c r="N5" s="2153"/>
      <c r="O5" s="2149"/>
      <c r="P5" s="2149"/>
      <c r="Q5" s="2149"/>
      <c r="R5" s="2149"/>
      <c r="S5" s="2149"/>
      <c r="T5" s="2149"/>
      <c r="U5" s="524">
        <v>165.513235358928</v>
      </c>
      <c r="V5" s="525">
        <v>447.17185738394164</v>
      </c>
      <c r="W5" s="504"/>
      <c r="X5" s="525">
        <v>0</v>
      </c>
      <c r="Y5" s="504"/>
      <c r="Z5" s="525"/>
      <c r="AA5" s="499">
        <f t="shared" si="0"/>
        <v>1.341515572151825</v>
      </c>
      <c r="AB5" s="2150"/>
      <c r="AC5" s="526">
        <v>0.01</v>
      </c>
      <c r="AD5" s="526">
        <v>0.01</v>
      </c>
      <c r="AE5" s="526">
        <v>0.01</v>
      </c>
      <c r="AF5" s="500" t="s">
        <v>1546</v>
      </c>
      <c r="AG5" s="504"/>
      <c r="AH5" s="504"/>
      <c r="AI5" s="504"/>
      <c r="AJ5" s="504"/>
      <c r="AK5" s="2142"/>
    </row>
    <row r="6" spans="1:823">
      <c r="A6" s="2149"/>
      <c r="B6" s="2149"/>
      <c r="C6" s="2149"/>
      <c r="D6" s="2149"/>
      <c r="E6" s="504" t="s">
        <v>1035</v>
      </c>
      <c r="F6" s="654" t="s">
        <v>569</v>
      </c>
      <c r="G6" s="2149"/>
      <c r="H6" s="504">
        <v>30000</v>
      </c>
      <c r="I6" s="504" t="s">
        <v>34</v>
      </c>
      <c r="J6" s="504" t="s">
        <v>34</v>
      </c>
      <c r="K6" s="504" t="s">
        <v>34</v>
      </c>
      <c r="L6" s="504" t="s">
        <v>35</v>
      </c>
      <c r="M6" s="504" t="s">
        <v>237</v>
      </c>
      <c r="N6" s="2153"/>
      <c r="O6" s="2149"/>
      <c r="P6" s="2149"/>
      <c r="Q6" s="2149"/>
      <c r="R6" s="2149"/>
      <c r="S6" s="2149"/>
      <c r="T6" s="2149"/>
      <c r="U6" s="524">
        <v>172.04888485892801</v>
      </c>
      <c r="V6" s="525">
        <v>461.61169948039174</v>
      </c>
      <c r="W6" s="504"/>
      <c r="X6" s="525">
        <v>0</v>
      </c>
      <c r="Y6" s="504"/>
      <c r="Z6" s="525"/>
      <c r="AA6" s="499">
        <f t="shared" si="0"/>
        <v>1.3848350984411752</v>
      </c>
      <c r="AB6" s="2150"/>
      <c r="AC6" s="526">
        <v>0.01</v>
      </c>
      <c r="AD6" s="526">
        <v>0.01</v>
      </c>
      <c r="AE6" s="526">
        <v>0.01</v>
      </c>
      <c r="AF6" s="500" t="s">
        <v>1546</v>
      </c>
      <c r="AG6" s="504"/>
      <c r="AH6" s="504"/>
      <c r="AI6" s="504"/>
      <c r="AJ6" s="504"/>
      <c r="AK6" s="2142"/>
    </row>
    <row r="7" spans="1:823">
      <c r="A7" s="2149"/>
      <c r="B7" s="2149"/>
      <c r="C7" s="2149"/>
      <c r="D7" s="2149"/>
      <c r="E7" s="504" t="s">
        <v>1036</v>
      </c>
      <c r="F7" s="654" t="s">
        <v>572</v>
      </c>
      <c r="G7" s="2149"/>
      <c r="H7" s="504">
        <v>15000</v>
      </c>
      <c r="I7" s="504" t="s">
        <v>34</v>
      </c>
      <c r="J7" s="504" t="s">
        <v>34</v>
      </c>
      <c r="K7" s="504" t="s">
        <v>34</v>
      </c>
      <c r="L7" s="504" t="s">
        <v>35</v>
      </c>
      <c r="M7" s="504" t="s">
        <v>237</v>
      </c>
      <c r="N7" s="2153"/>
      <c r="O7" s="2149"/>
      <c r="P7" s="2149"/>
      <c r="Q7" s="2149"/>
      <c r="R7" s="2149"/>
      <c r="S7" s="2149"/>
      <c r="T7" s="2149"/>
      <c r="U7" s="524">
        <v>120.42270535672799</v>
      </c>
      <c r="V7" s="525">
        <v>373.06585598658467</v>
      </c>
      <c r="W7" s="504"/>
      <c r="X7" s="525">
        <v>41.973206118292964</v>
      </c>
      <c r="Y7" s="504">
        <v>2.5</v>
      </c>
      <c r="Z7" s="525">
        <v>17.735749999999999</v>
      </c>
      <c r="AA7" s="499">
        <f t="shared" si="0"/>
        <v>0.55959878397987695</v>
      </c>
      <c r="AB7" s="2150"/>
      <c r="AC7" s="526">
        <v>0.01</v>
      </c>
      <c r="AD7" s="526">
        <v>0.01</v>
      </c>
      <c r="AE7" s="526">
        <v>0.01</v>
      </c>
      <c r="AF7" s="500" t="s">
        <v>1546</v>
      </c>
      <c r="AG7" s="504"/>
      <c r="AH7" s="504"/>
      <c r="AI7" s="504"/>
      <c r="AJ7" s="504"/>
      <c r="AK7" s="2142"/>
    </row>
    <row r="8" spans="1:823">
      <c r="A8" s="2149"/>
      <c r="B8" s="2149"/>
      <c r="C8" s="2149"/>
      <c r="D8" s="2149"/>
      <c r="E8" s="504" t="s">
        <v>1037</v>
      </c>
      <c r="F8" s="654" t="s">
        <v>569</v>
      </c>
      <c r="G8" s="2149"/>
      <c r="H8" s="504">
        <v>15000</v>
      </c>
      <c r="I8" s="504" t="s">
        <v>34</v>
      </c>
      <c r="J8" s="504" t="s">
        <v>34</v>
      </c>
      <c r="K8" s="504" t="s">
        <v>34</v>
      </c>
      <c r="L8" s="504" t="s">
        <v>35</v>
      </c>
      <c r="M8" s="504" t="s">
        <v>237</v>
      </c>
      <c r="N8" s="2153"/>
      <c r="O8" s="2149"/>
      <c r="P8" s="2149"/>
      <c r="Q8" s="2149"/>
      <c r="R8" s="2149"/>
      <c r="S8" s="2149"/>
      <c r="T8" s="2149"/>
      <c r="U8" s="524">
        <v>113.47505585672799</v>
      </c>
      <c r="V8" s="525">
        <v>357.81564269013461</v>
      </c>
      <c r="W8" s="504"/>
      <c r="X8" s="525">
        <v>41.973206118292964</v>
      </c>
      <c r="Y8" s="504">
        <v>2.5</v>
      </c>
      <c r="Z8" s="525"/>
      <c r="AA8" s="499">
        <f t="shared" si="0"/>
        <v>0.53672346403520188</v>
      </c>
      <c r="AB8" s="2150"/>
      <c r="AC8" s="526">
        <v>0.01</v>
      </c>
      <c r="AD8" s="526">
        <v>0.01</v>
      </c>
      <c r="AE8" s="526">
        <v>0.01</v>
      </c>
      <c r="AF8" s="500" t="s">
        <v>1546</v>
      </c>
      <c r="AG8" s="504"/>
      <c r="AH8" s="504"/>
      <c r="AI8" s="504"/>
      <c r="AJ8" s="504"/>
      <c r="AK8" s="2142"/>
    </row>
    <row r="9" spans="1:823">
      <c r="A9" s="2149"/>
      <c r="B9" s="2149"/>
      <c r="C9" s="2149"/>
      <c r="D9" s="2149"/>
      <c r="E9" s="504" t="s">
        <v>1038</v>
      </c>
      <c r="F9" s="654" t="s">
        <v>569</v>
      </c>
      <c r="G9" s="2149"/>
      <c r="H9" s="504">
        <v>15000</v>
      </c>
      <c r="I9" s="504" t="s">
        <v>34</v>
      </c>
      <c r="J9" s="504" t="s">
        <v>34</v>
      </c>
      <c r="K9" s="504" t="s">
        <v>34</v>
      </c>
      <c r="L9" s="504" t="s">
        <v>35</v>
      </c>
      <c r="M9" s="504" t="s">
        <v>237</v>
      </c>
      <c r="N9" s="2153"/>
      <c r="O9" s="2149"/>
      <c r="P9" s="2149"/>
      <c r="Q9" s="2149"/>
      <c r="R9" s="2149"/>
      <c r="S9" s="2149"/>
      <c r="T9" s="2149"/>
      <c r="U9" s="524">
        <v>120.42270535672799</v>
      </c>
      <c r="V9" s="525">
        <v>373.06585598658467</v>
      </c>
      <c r="W9" s="504"/>
      <c r="X9" s="525">
        <v>0</v>
      </c>
      <c r="Y9" s="504"/>
      <c r="Z9" s="525"/>
      <c r="AA9" s="499">
        <f t="shared" si="0"/>
        <v>0.55959878397987695</v>
      </c>
      <c r="AB9" s="2150"/>
      <c r="AC9" s="526">
        <v>0.01</v>
      </c>
      <c r="AD9" s="526">
        <v>0.01</v>
      </c>
      <c r="AE9" s="526">
        <v>0.01</v>
      </c>
      <c r="AF9" s="500" t="s">
        <v>1546</v>
      </c>
      <c r="AG9" s="504"/>
      <c r="AH9" s="504"/>
      <c r="AI9" s="504"/>
      <c r="AJ9" s="504"/>
      <c r="AK9" s="2142"/>
    </row>
    <row r="10" spans="1:823">
      <c r="A10" s="2149"/>
      <c r="B10" s="2149"/>
      <c r="C10" s="2149"/>
      <c r="D10" s="2149"/>
      <c r="E10" s="504" t="s">
        <v>1168</v>
      </c>
      <c r="F10" s="654" t="s">
        <v>572</v>
      </c>
      <c r="G10" s="2149"/>
      <c r="H10" s="504">
        <v>15000</v>
      </c>
      <c r="I10" s="504" t="s">
        <v>34</v>
      </c>
      <c r="J10" s="504" t="s">
        <v>34</v>
      </c>
      <c r="K10" s="504" t="s">
        <v>34</v>
      </c>
      <c r="L10" s="504" t="s">
        <v>35</v>
      </c>
      <c r="M10" s="504" t="s">
        <v>237</v>
      </c>
      <c r="N10" s="2153"/>
      <c r="O10" s="2149"/>
      <c r="P10" s="2149"/>
      <c r="Q10" s="2149"/>
      <c r="R10" s="2149"/>
      <c r="S10" s="2149"/>
      <c r="T10" s="2149"/>
      <c r="U10" s="524">
        <v>113.47505585672799</v>
      </c>
      <c r="V10" s="525">
        <v>357.81564269013461</v>
      </c>
      <c r="W10" s="504"/>
      <c r="X10" s="525">
        <v>0</v>
      </c>
      <c r="Y10" s="504"/>
      <c r="Z10" s="504"/>
      <c r="AA10" s="499">
        <f t="shared" si="0"/>
        <v>0.53672346403520188</v>
      </c>
      <c r="AB10" s="2150"/>
      <c r="AC10" s="526">
        <v>0.01</v>
      </c>
      <c r="AD10" s="526">
        <v>0.01</v>
      </c>
      <c r="AE10" s="526">
        <v>0.01</v>
      </c>
      <c r="AF10" s="500" t="s">
        <v>1546</v>
      </c>
      <c r="AG10" s="504"/>
      <c r="AH10" s="504"/>
      <c r="AI10" s="504"/>
      <c r="AJ10" s="504"/>
      <c r="AK10" s="2143"/>
    </row>
    <row r="11" spans="1:823">
      <c r="A11" s="2149"/>
      <c r="B11" s="2149" t="s">
        <v>1395</v>
      </c>
      <c r="C11" s="2149" t="s">
        <v>1396</v>
      </c>
      <c r="D11" s="2149"/>
      <c r="E11" s="504" t="s">
        <v>1397</v>
      </c>
      <c r="F11" s="654" t="s">
        <v>1390</v>
      </c>
      <c r="G11" s="2149" t="s">
        <v>1394</v>
      </c>
      <c r="H11" s="504">
        <v>12000</v>
      </c>
      <c r="I11" s="504"/>
      <c r="J11" s="504"/>
      <c r="K11" s="504"/>
      <c r="L11" s="504"/>
      <c r="M11" s="504"/>
      <c r="N11" s="2153">
        <v>43948</v>
      </c>
      <c r="O11" s="2149" t="s">
        <v>1388</v>
      </c>
      <c r="P11" s="2149" t="s">
        <v>1235</v>
      </c>
      <c r="Q11" s="2149" t="s">
        <v>1387</v>
      </c>
      <c r="R11" s="2149" t="s">
        <v>1389</v>
      </c>
      <c r="S11" s="2149" t="s">
        <v>1384</v>
      </c>
      <c r="T11" s="2149" t="s">
        <v>1216</v>
      </c>
      <c r="U11" s="524">
        <v>340.76</v>
      </c>
      <c r="V11" s="525">
        <v>927.71</v>
      </c>
      <c r="W11" s="504">
        <v>66</v>
      </c>
      <c r="X11" s="525"/>
      <c r="Y11" s="504"/>
      <c r="Z11" s="2149">
        <v>94.06</v>
      </c>
      <c r="AA11" s="499">
        <f t="shared" si="0"/>
        <v>1.1132519999999999</v>
      </c>
      <c r="AB11" s="2150"/>
      <c r="AC11" s="526"/>
      <c r="AD11" s="526"/>
      <c r="AE11" s="526"/>
      <c r="AF11" s="500" t="s">
        <v>1546</v>
      </c>
      <c r="AG11" s="504"/>
      <c r="AH11" s="504"/>
      <c r="AI11" s="504"/>
      <c r="AJ11" s="504"/>
      <c r="AK11" s="2138" t="s">
        <v>1585</v>
      </c>
    </row>
    <row r="12" spans="1:823">
      <c r="A12" s="2149"/>
      <c r="B12" s="2149"/>
      <c r="C12" s="2149"/>
      <c r="D12" s="2149"/>
      <c r="E12" s="504" t="s">
        <v>1398</v>
      </c>
      <c r="F12" s="654" t="s">
        <v>1390</v>
      </c>
      <c r="G12" s="2149"/>
      <c r="H12" s="504">
        <v>45000</v>
      </c>
      <c r="I12" s="504"/>
      <c r="J12" s="504"/>
      <c r="K12" s="504"/>
      <c r="L12" s="504"/>
      <c r="M12" s="504"/>
      <c r="N12" s="2153"/>
      <c r="O12" s="2149"/>
      <c r="P12" s="2149"/>
      <c r="Q12" s="2149"/>
      <c r="R12" s="2149"/>
      <c r="S12" s="2149"/>
      <c r="T12" s="2149"/>
      <c r="U12" s="524">
        <v>349.79</v>
      </c>
      <c r="V12" s="525">
        <v>964.35</v>
      </c>
      <c r="W12" s="504">
        <v>72.260000000000005</v>
      </c>
      <c r="X12" s="525">
        <v>305.57</v>
      </c>
      <c r="Y12" s="504"/>
      <c r="Z12" s="2149"/>
      <c r="AA12" s="499">
        <f t="shared" si="0"/>
        <v>4.339575</v>
      </c>
      <c r="AB12" s="2150"/>
      <c r="AC12" s="526"/>
      <c r="AD12" s="526"/>
      <c r="AE12" s="526"/>
      <c r="AF12" s="500" t="s">
        <v>1546</v>
      </c>
      <c r="AG12" s="504"/>
      <c r="AH12" s="504"/>
      <c r="AI12" s="504"/>
      <c r="AJ12" s="504"/>
      <c r="AK12" s="2139"/>
    </row>
    <row r="13" spans="1:823">
      <c r="A13" s="2149"/>
      <c r="B13" s="2149"/>
      <c r="C13" s="2149"/>
      <c r="D13" s="2149"/>
      <c r="E13" s="504" t="s">
        <v>1399</v>
      </c>
      <c r="F13" s="654" t="s">
        <v>1391</v>
      </c>
      <c r="G13" s="2149"/>
      <c r="H13" s="504">
        <v>93000</v>
      </c>
      <c r="I13" s="504"/>
      <c r="J13" s="504"/>
      <c r="K13" s="504"/>
      <c r="L13" s="504"/>
      <c r="M13" s="504"/>
      <c r="N13" s="2153"/>
      <c r="O13" s="2149"/>
      <c r="P13" s="2149"/>
      <c r="Q13" s="2149"/>
      <c r="R13" s="2149"/>
      <c r="S13" s="2149"/>
      <c r="T13" s="2149"/>
      <c r="U13" s="524">
        <v>170.39</v>
      </c>
      <c r="V13" s="525">
        <v>472.16</v>
      </c>
      <c r="W13" s="504">
        <v>38.64</v>
      </c>
      <c r="X13" s="525">
        <v>114.95</v>
      </c>
      <c r="Y13" s="504"/>
      <c r="Z13" s="2149"/>
      <c r="AA13" s="499">
        <f t="shared" si="0"/>
        <v>4.3910879999999999</v>
      </c>
      <c r="AB13" s="2150"/>
      <c r="AC13" s="526"/>
      <c r="AD13" s="526"/>
      <c r="AE13" s="526"/>
      <c r="AF13" s="500" t="s">
        <v>1546</v>
      </c>
      <c r="AG13" s="504"/>
      <c r="AH13" s="504"/>
      <c r="AI13" s="504"/>
      <c r="AJ13" s="504"/>
      <c r="AK13" s="2139"/>
    </row>
    <row r="14" spans="1:823">
      <c r="A14" s="2149"/>
      <c r="B14" s="2149"/>
      <c r="C14" s="2149"/>
      <c r="D14" s="2149"/>
      <c r="E14" s="504" t="s">
        <v>1400</v>
      </c>
      <c r="F14" s="654" t="s">
        <v>1392</v>
      </c>
      <c r="G14" s="2149"/>
      <c r="H14" s="504">
        <v>93000</v>
      </c>
      <c r="I14" s="504"/>
      <c r="J14" s="504"/>
      <c r="K14" s="504"/>
      <c r="L14" s="504"/>
      <c r="M14" s="504"/>
      <c r="N14" s="2153"/>
      <c r="O14" s="2149"/>
      <c r="P14" s="2149"/>
      <c r="Q14" s="2149"/>
      <c r="R14" s="2149"/>
      <c r="S14" s="2149"/>
      <c r="T14" s="2149"/>
      <c r="U14" s="524">
        <v>214.57</v>
      </c>
      <c r="V14" s="525">
        <v>462.64</v>
      </c>
      <c r="W14" s="504">
        <v>50.03</v>
      </c>
      <c r="X14" s="525">
        <v>158.08000000000001</v>
      </c>
      <c r="Y14" s="504"/>
      <c r="Z14" s="2149"/>
      <c r="AA14" s="499">
        <f t="shared" si="0"/>
        <v>4.3025520000000004</v>
      </c>
      <c r="AB14" s="2150"/>
      <c r="AC14" s="526"/>
      <c r="AD14" s="526"/>
      <c r="AE14" s="526"/>
      <c r="AF14" s="500" t="s">
        <v>1546</v>
      </c>
      <c r="AG14" s="504"/>
      <c r="AH14" s="504"/>
      <c r="AI14" s="504"/>
      <c r="AJ14" s="504"/>
      <c r="AK14" s="2139"/>
    </row>
    <row r="15" spans="1:823">
      <c r="A15" s="2149"/>
      <c r="B15" s="2149"/>
      <c r="C15" s="2149"/>
      <c r="D15" s="2149"/>
      <c r="E15" s="504" t="s">
        <v>1401</v>
      </c>
      <c r="F15" s="654" t="s">
        <v>1393</v>
      </c>
      <c r="G15" s="2149"/>
      <c r="H15" s="504">
        <v>93000</v>
      </c>
      <c r="I15" s="504"/>
      <c r="J15" s="504"/>
      <c r="K15" s="504"/>
      <c r="L15" s="504"/>
      <c r="M15" s="504"/>
      <c r="N15" s="2153"/>
      <c r="O15" s="2149"/>
      <c r="P15" s="2149"/>
      <c r="Q15" s="2149"/>
      <c r="R15" s="2149"/>
      <c r="S15" s="2149"/>
      <c r="T15" s="2149"/>
      <c r="U15" s="524">
        <v>10.25</v>
      </c>
      <c r="V15" s="525">
        <v>108.31</v>
      </c>
      <c r="W15" s="504">
        <v>9.33</v>
      </c>
      <c r="X15" s="525">
        <v>22.2</v>
      </c>
      <c r="Y15" s="504"/>
      <c r="Z15" s="2149"/>
      <c r="AA15" s="499">
        <f t="shared" si="0"/>
        <v>1.0072829999999999</v>
      </c>
      <c r="AB15" s="2150"/>
      <c r="AC15" s="526"/>
      <c r="AD15" s="526"/>
      <c r="AE15" s="526"/>
      <c r="AF15" s="500" t="s">
        <v>1546</v>
      </c>
      <c r="AG15" s="504"/>
      <c r="AH15" s="504"/>
      <c r="AI15" s="504"/>
      <c r="AJ15" s="504"/>
      <c r="AK15" s="2140"/>
    </row>
    <row r="16" spans="1:823">
      <c r="A16" s="504">
        <v>2</v>
      </c>
      <c r="B16" s="504" t="s">
        <v>973</v>
      </c>
      <c r="C16" s="504" t="s">
        <v>29</v>
      </c>
      <c r="D16" s="504" t="s">
        <v>1044</v>
      </c>
      <c r="E16" s="504" t="s">
        <v>1041</v>
      </c>
      <c r="F16" s="654" t="s">
        <v>1042</v>
      </c>
      <c r="G16" s="504" t="s">
        <v>979</v>
      </c>
      <c r="H16" s="504">
        <v>8080</v>
      </c>
      <c r="I16" s="504" t="s">
        <v>34</v>
      </c>
      <c r="J16" s="504" t="s">
        <v>34</v>
      </c>
      <c r="K16" s="504" t="s">
        <v>34</v>
      </c>
      <c r="L16" s="504" t="s">
        <v>35</v>
      </c>
      <c r="M16" s="504" t="s">
        <v>36</v>
      </c>
      <c r="N16" s="651">
        <v>43963</v>
      </c>
      <c r="O16" s="504" t="s">
        <v>1182</v>
      </c>
      <c r="P16" s="504" t="s">
        <v>1182</v>
      </c>
      <c r="Q16" s="504" t="s">
        <v>1043</v>
      </c>
      <c r="R16" s="504" t="s">
        <v>1180</v>
      </c>
      <c r="S16" s="504" t="s">
        <v>1173</v>
      </c>
      <c r="T16" s="504" t="s">
        <v>1216</v>
      </c>
      <c r="U16" s="503">
        <v>750.96</v>
      </c>
      <c r="V16" s="504">
        <v>1194.1400000000001</v>
      </c>
      <c r="W16" s="504">
        <v>65.67</v>
      </c>
      <c r="X16" s="504">
        <v>23.81</v>
      </c>
      <c r="Y16" s="504">
        <v>15.78</v>
      </c>
      <c r="Z16" s="504">
        <v>52.3</v>
      </c>
      <c r="AA16" s="499">
        <f t="shared" si="0"/>
        <v>0.96486512000000013</v>
      </c>
      <c r="AB16" s="500"/>
      <c r="AC16" s="504"/>
      <c r="AD16" s="504"/>
      <c r="AE16" s="504"/>
      <c r="AF16" s="500" t="s">
        <v>1546</v>
      </c>
      <c r="AG16" s="504"/>
      <c r="AH16" s="504"/>
      <c r="AI16" s="504"/>
      <c r="AJ16" s="504"/>
      <c r="AK16" s="523">
        <v>44713</v>
      </c>
    </row>
    <row r="17" spans="1:37">
      <c r="A17" s="2149">
        <v>3</v>
      </c>
      <c r="B17" s="504" t="s">
        <v>1006</v>
      </c>
      <c r="C17" s="504" t="s">
        <v>29</v>
      </c>
      <c r="D17" s="2149" t="s">
        <v>1004</v>
      </c>
      <c r="E17" s="504" t="s">
        <v>1045</v>
      </c>
      <c r="F17" s="654" t="s">
        <v>1046</v>
      </c>
      <c r="G17" s="504" t="s">
        <v>1250</v>
      </c>
      <c r="H17" s="504">
        <v>200000</v>
      </c>
      <c r="I17" s="504" t="s">
        <v>48</v>
      </c>
      <c r="J17" s="504" t="s">
        <v>34</v>
      </c>
      <c r="K17" s="504" t="s">
        <v>48</v>
      </c>
      <c r="L17" s="504" t="s">
        <v>1047</v>
      </c>
      <c r="M17" s="504" t="s">
        <v>36</v>
      </c>
      <c r="N17" s="2166">
        <v>43924</v>
      </c>
      <c r="O17" s="504" t="s">
        <v>1048</v>
      </c>
      <c r="P17" s="2149" t="s">
        <v>1048</v>
      </c>
      <c r="Q17" s="504" t="s">
        <v>1012</v>
      </c>
      <c r="R17" s="2149"/>
      <c r="S17" s="2149" t="s">
        <v>1003</v>
      </c>
      <c r="T17" s="2149" t="s">
        <v>1216</v>
      </c>
      <c r="U17" s="524">
        <v>1147.5395928964908</v>
      </c>
      <c r="V17" s="525">
        <v>2440.7399999999998</v>
      </c>
      <c r="W17" s="504"/>
      <c r="X17" s="525">
        <v>539.6</v>
      </c>
      <c r="Y17" s="504">
        <v>196</v>
      </c>
      <c r="Z17" s="504">
        <v>112</v>
      </c>
      <c r="AA17" s="499">
        <f t="shared" si="0"/>
        <v>48.814799999999991</v>
      </c>
      <c r="AB17" s="2150"/>
      <c r="AC17" s="526">
        <v>0.01</v>
      </c>
      <c r="AD17" s="526">
        <v>0.01</v>
      </c>
      <c r="AE17" s="526">
        <v>0.01</v>
      </c>
      <c r="AF17" s="500" t="s">
        <v>1546</v>
      </c>
      <c r="AG17" s="504"/>
      <c r="AH17" s="504"/>
      <c r="AI17" s="504"/>
      <c r="AJ17" s="504"/>
      <c r="AK17" s="504"/>
    </row>
    <row r="18" spans="1:37">
      <c r="A18" s="2149"/>
      <c r="B18" s="504" t="s">
        <v>495</v>
      </c>
      <c r="C18" s="504" t="s">
        <v>29</v>
      </c>
      <c r="D18" s="2149"/>
      <c r="E18" s="504" t="s">
        <v>1045</v>
      </c>
      <c r="F18" s="654" t="s">
        <v>1046</v>
      </c>
      <c r="G18" s="504" t="str">
        <f>G17</f>
        <v>Aayush Aggarwal</v>
      </c>
      <c r="H18" s="504">
        <v>150000</v>
      </c>
      <c r="I18" s="504" t="s">
        <v>48</v>
      </c>
      <c r="J18" s="504" t="s">
        <v>34</v>
      </c>
      <c r="K18" s="504" t="s">
        <v>48</v>
      </c>
      <c r="L18" s="504" t="s">
        <v>1047</v>
      </c>
      <c r="M18" s="504" t="s">
        <v>36</v>
      </c>
      <c r="N18" s="2165"/>
      <c r="O18" s="504" t="s">
        <v>1048</v>
      </c>
      <c r="P18" s="2149"/>
      <c r="Q18" s="504" t="s">
        <v>1012</v>
      </c>
      <c r="R18" s="2149"/>
      <c r="S18" s="2149"/>
      <c r="T18" s="2149"/>
      <c r="U18" s="503">
        <v>1145.47</v>
      </c>
      <c r="V18" s="525">
        <v>2333.3000000000002</v>
      </c>
      <c r="W18" s="504"/>
      <c r="X18" s="525">
        <v>0</v>
      </c>
      <c r="Y18" s="504">
        <v>50</v>
      </c>
      <c r="Z18" s="504"/>
      <c r="AA18" s="499">
        <f t="shared" si="0"/>
        <v>34.999499999999998</v>
      </c>
      <c r="AB18" s="2150"/>
      <c r="AC18" s="526">
        <v>0.01</v>
      </c>
      <c r="AD18" s="526">
        <v>0.01</v>
      </c>
      <c r="AE18" s="526">
        <v>0.01</v>
      </c>
      <c r="AF18" s="500" t="s">
        <v>1547</v>
      </c>
      <c r="AG18" s="504"/>
      <c r="AH18" s="504"/>
      <c r="AI18" s="504"/>
      <c r="AJ18" s="504"/>
      <c r="AK18" s="504" t="s">
        <v>1585</v>
      </c>
    </row>
    <row r="19" spans="1:37">
      <c r="A19" s="504">
        <v>4</v>
      </c>
      <c r="B19" s="504" t="s">
        <v>973</v>
      </c>
      <c r="C19" s="504" t="s">
        <v>29</v>
      </c>
      <c r="D19" s="504" t="s">
        <v>1005</v>
      </c>
      <c r="E19" s="504" t="s">
        <v>1007</v>
      </c>
      <c r="F19" s="654" t="s">
        <v>1010</v>
      </c>
      <c r="G19" s="504" t="s">
        <v>299</v>
      </c>
      <c r="H19" s="504">
        <v>121917</v>
      </c>
      <c r="I19" s="504" t="s">
        <v>34</v>
      </c>
      <c r="J19" s="504" t="s">
        <v>34</v>
      </c>
      <c r="K19" s="504" t="s">
        <v>34</v>
      </c>
      <c r="L19" s="504" t="s">
        <v>35</v>
      </c>
      <c r="M19" s="504" t="s">
        <v>36</v>
      </c>
      <c r="N19" s="651">
        <v>43928</v>
      </c>
      <c r="O19" s="504" t="s">
        <v>1016</v>
      </c>
      <c r="P19" s="504" t="s">
        <v>1016</v>
      </c>
      <c r="Q19" s="504" t="s">
        <v>1015</v>
      </c>
      <c r="R19" s="504" t="s">
        <v>1181</v>
      </c>
      <c r="S19" s="504" t="s">
        <v>1178</v>
      </c>
      <c r="T19" s="504" t="s">
        <v>1216</v>
      </c>
      <c r="U19" s="499">
        <v>205.91</v>
      </c>
      <c r="V19" s="502">
        <v>287.83</v>
      </c>
      <c r="W19" s="502">
        <v>16.16</v>
      </c>
      <c r="X19" s="502">
        <v>57.44</v>
      </c>
      <c r="Y19" s="502"/>
      <c r="Z19" s="502">
        <v>15.31</v>
      </c>
      <c r="AA19" s="499">
        <f t="shared" si="0"/>
        <v>3.509137011</v>
      </c>
      <c r="AB19" s="500"/>
      <c r="AC19" s="517">
        <v>0</v>
      </c>
      <c r="AD19" s="517">
        <v>0</v>
      </c>
      <c r="AE19" s="517">
        <v>0</v>
      </c>
      <c r="AF19" s="500" t="s">
        <v>1546</v>
      </c>
      <c r="AG19" s="502"/>
      <c r="AH19" s="502"/>
      <c r="AI19" s="504"/>
      <c r="AJ19" s="504"/>
      <c r="AK19" s="523">
        <v>44713</v>
      </c>
    </row>
    <row r="20" spans="1:37">
      <c r="A20" s="497">
        <v>5</v>
      </c>
      <c r="B20" s="497" t="s">
        <v>1030</v>
      </c>
      <c r="C20" s="497" t="s">
        <v>29</v>
      </c>
      <c r="D20" s="497" t="s">
        <v>1170</v>
      </c>
      <c r="E20" s="497" t="s">
        <v>1171</v>
      </c>
      <c r="F20" s="655" t="s">
        <v>1172</v>
      </c>
      <c r="G20" s="497" t="s">
        <v>299</v>
      </c>
      <c r="H20" s="497">
        <v>94378</v>
      </c>
      <c r="I20" s="497" t="s">
        <v>34</v>
      </c>
      <c r="J20" s="497" t="s">
        <v>34</v>
      </c>
      <c r="K20" s="497" t="s">
        <v>34</v>
      </c>
      <c r="L20" s="497" t="s">
        <v>35</v>
      </c>
      <c r="M20" s="497" t="s">
        <v>36</v>
      </c>
      <c r="N20" s="652">
        <v>43980</v>
      </c>
      <c r="O20" s="497" t="s">
        <v>1169</v>
      </c>
      <c r="P20" s="497" t="s">
        <v>1169</v>
      </c>
      <c r="Q20" s="497" t="s">
        <v>1173</v>
      </c>
      <c r="R20" s="497" t="s">
        <v>1175</v>
      </c>
      <c r="S20" s="497" t="s">
        <v>1173</v>
      </c>
      <c r="T20" s="497" t="s">
        <v>1216</v>
      </c>
      <c r="U20" s="497">
        <v>314.5</v>
      </c>
      <c r="V20" s="527">
        <v>585.79999999999995</v>
      </c>
      <c r="W20" s="527"/>
      <c r="X20" s="527">
        <v>172.35</v>
      </c>
      <c r="Y20" s="527">
        <v>20</v>
      </c>
      <c r="Z20" s="527">
        <v>25.7</v>
      </c>
      <c r="AA20" s="501">
        <f t="shared" si="0"/>
        <v>5.5286632400000002</v>
      </c>
      <c r="AB20" s="528"/>
      <c r="AC20" s="529">
        <v>0.01</v>
      </c>
      <c r="AD20" s="529">
        <v>0.01</v>
      </c>
      <c r="AE20" s="529">
        <v>0.01</v>
      </c>
      <c r="AF20" s="528" t="s">
        <v>342</v>
      </c>
      <c r="AG20" s="501">
        <v>409</v>
      </c>
      <c r="AH20" s="2148">
        <v>217.22</v>
      </c>
      <c r="AI20" s="2148"/>
      <c r="AJ20" s="2148"/>
      <c r="AK20" s="522" t="s">
        <v>1581</v>
      </c>
    </row>
    <row r="21" spans="1:37" ht="15.75" customHeight="1">
      <c r="A21" s="2149">
        <v>6</v>
      </c>
      <c r="B21" s="2149" t="s">
        <v>1030</v>
      </c>
      <c r="C21" s="2149" t="s">
        <v>29</v>
      </c>
      <c r="D21" s="2149" t="s">
        <v>1052</v>
      </c>
      <c r="E21" s="504" t="s">
        <v>1067</v>
      </c>
      <c r="F21" s="654" t="s">
        <v>1266</v>
      </c>
      <c r="G21" s="2149" t="s">
        <v>1120</v>
      </c>
      <c r="H21" s="504">
        <v>60220</v>
      </c>
      <c r="I21" s="504" t="s">
        <v>34</v>
      </c>
      <c r="J21" s="504" t="s">
        <v>34</v>
      </c>
      <c r="K21" s="504" t="s">
        <v>34</v>
      </c>
      <c r="L21" s="504" t="s">
        <v>35</v>
      </c>
      <c r="M21" s="504" t="s">
        <v>36</v>
      </c>
      <c r="N21" s="2153">
        <v>43984</v>
      </c>
      <c r="O21" s="2149" t="s">
        <v>1242</v>
      </c>
      <c r="P21" s="2149" t="s">
        <v>1243</v>
      </c>
      <c r="Q21" s="2149" t="s">
        <v>1123</v>
      </c>
      <c r="R21" s="2149" t="s">
        <v>1167</v>
      </c>
      <c r="S21" s="2149" t="s">
        <v>1122</v>
      </c>
      <c r="T21" s="2149" t="s">
        <v>1216</v>
      </c>
      <c r="U21" s="524">
        <v>593.14151114415802</v>
      </c>
      <c r="V21" s="525">
        <v>1053.872997136936</v>
      </c>
      <c r="W21" s="525">
        <v>101.64711360963877</v>
      </c>
      <c r="X21" s="525">
        <v>221.91016975495597</v>
      </c>
      <c r="Y21" s="504">
        <v>117.75</v>
      </c>
      <c r="Z21" s="504">
        <v>22.95</v>
      </c>
      <c r="AA21" s="499">
        <f t="shared" si="0"/>
        <v>6.346423188758628</v>
      </c>
      <c r="AB21" s="504"/>
      <c r="AC21" s="517">
        <v>1.2500000000000001E-2</v>
      </c>
      <c r="AD21" s="517">
        <v>1.2500000000000001E-2</v>
      </c>
      <c r="AE21" s="517">
        <v>1.2500000000000001E-2</v>
      </c>
      <c r="AF21" s="500" t="s">
        <v>1546</v>
      </c>
      <c r="AG21" s="504"/>
      <c r="AH21" s="504"/>
      <c r="AI21" s="504"/>
      <c r="AJ21" s="504"/>
      <c r="AK21" s="2141" t="s">
        <v>1581</v>
      </c>
    </row>
    <row r="22" spans="1:37">
      <c r="A22" s="2149"/>
      <c r="B22" s="2149"/>
      <c r="C22" s="2149"/>
      <c r="D22" s="2149"/>
      <c r="E22" s="504" t="s">
        <v>1267</v>
      </c>
      <c r="F22" s="654" t="s">
        <v>1268</v>
      </c>
      <c r="G22" s="2149"/>
      <c r="H22" s="504">
        <v>60220</v>
      </c>
      <c r="I22" s="504" t="s">
        <v>34</v>
      </c>
      <c r="J22" s="504" t="s">
        <v>34</v>
      </c>
      <c r="K22" s="504" t="s">
        <v>34</v>
      </c>
      <c r="L22" s="504" t="s">
        <v>35</v>
      </c>
      <c r="M22" s="504" t="s">
        <v>36</v>
      </c>
      <c r="N22" s="2153"/>
      <c r="O22" s="2149"/>
      <c r="P22" s="2149"/>
      <c r="Q22" s="2149"/>
      <c r="R22" s="2149"/>
      <c r="S22" s="2149"/>
      <c r="T22" s="2149"/>
      <c r="U22" s="524">
        <v>602.4228098867851</v>
      </c>
      <c r="V22" s="525">
        <v>1016.1701213355549</v>
      </c>
      <c r="W22" s="525">
        <v>91.290339584491321</v>
      </c>
      <c r="X22" s="525">
        <v>120.84542396745901</v>
      </c>
      <c r="Y22" s="525">
        <v>6.25</v>
      </c>
      <c r="Z22" s="525">
        <v>22.95</v>
      </c>
      <c r="AA22" s="499">
        <f t="shared" si="0"/>
        <v>6.1193764706827114</v>
      </c>
      <c r="AB22" s="504"/>
      <c r="AC22" s="517">
        <v>1.2500000000000001E-2</v>
      </c>
      <c r="AD22" s="517">
        <v>1.2500000000000001E-2</v>
      </c>
      <c r="AE22" s="517">
        <v>1.2500000000000001E-2</v>
      </c>
      <c r="AF22" s="500" t="s">
        <v>1546</v>
      </c>
      <c r="AG22" s="504"/>
      <c r="AH22" s="504"/>
      <c r="AI22" s="504"/>
      <c r="AJ22" s="504"/>
      <c r="AK22" s="2142"/>
    </row>
    <row r="23" spans="1:37">
      <c r="A23" s="2149"/>
      <c r="B23" s="2149"/>
      <c r="C23" s="2149"/>
      <c r="D23" s="2149"/>
      <c r="E23" s="504" t="s">
        <v>1068</v>
      </c>
      <c r="F23" s="654" t="s">
        <v>1266</v>
      </c>
      <c r="G23" s="2149"/>
      <c r="H23" s="504">
        <v>34158</v>
      </c>
      <c r="I23" s="504" t="s">
        <v>34</v>
      </c>
      <c r="J23" s="504" t="s">
        <v>34</v>
      </c>
      <c r="K23" s="504" t="s">
        <v>34</v>
      </c>
      <c r="L23" s="504" t="s">
        <v>35</v>
      </c>
      <c r="M23" s="504" t="s">
        <v>36</v>
      </c>
      <c r="N23" s="2153"/>
      <c r="O23" s="2149"/>
      <c r="P23" s="2149"/>
      <c r="Q23" s="2149"/>
      <c r="R23" s="2149"/>
      <c r="S23" s="2149"/>
      <c r="T23" s="2149"/>
      <c r="U23" s="524">
        <v>543.41120403454852</v>
      </c>
      <c r="V23" s="525">
        <v>895.01445927848988</v>
      </c>
      <c r="W23" s="525">
        <v>76.722107467446563</v>
      </c>
      <c r="X23" s="525" t="s">
        <v>1261</v>
      </c>
      <c r="Y23" s="504"/>
      <c r="Z23" s="504"/>
      <c r="AA23" s="499">
        <f t="shared" si="0"/>
        <v>3.0571903900034658</v>
      </c>
      <c r="AB23" s="504"/>
      <c r="AC23" s="517">
        <v>1.2500000000000001E-2</v>
      </c>
      <c r="AD23" s="517">
        <v>1.2500000000000001E-2</v>
      </c>
      <c r="AE23" s="517">
        <v>1.2500000000000001E-2</v>
      </c>
      <c r="AF23" s="500" t="s">
        <v>1546</v>
      </c>
      <c r="AG23" s="504"/>
      <c r="AH23" s="504"/>
      <c r="AI23" s="504"/>
      <c r="AJ23" s="504"/>
      <c r="AK23" s="2142"/>
    </row>
    <row r="24" spans="1:37">
      <c r="A24" s="2149"/>
      <c r="B24" s="2149"/>
      <c r="C24" s="2149"/>
      <c r="D24" s="2149"/>
      <c r="E24" s="504" t="s">
        <v>1269</v>
      </c>
      <c r="F24" s="654" t="s">
        <v>1268</v>
      </c>
      <c r="G24" s="2149"/>
      <c r="H24" s="504">
        <v>34158</v>
      </c>
      <c r="I24" s="504" t="s">
        <v>34</v>
      </c>
      <c r="J24" s="504" t="s">
        <v>34</v>
      </c>
      <c r="K24" s="504" t="s">
        <v>34</v>
      </c>
      <c r="L24" s="504" t="s">
        <v>35</v>
      </c>
      <c r="M24" s="504" t="s">
        <v>36</v>
      </c>
      <c r="N24" s="2153"/>
      <c r="O24" s="2149"/>
      <c r="P24" s="2149"/>
      <c r="Q24" s="2149"/>
      <c r="R24" s="2149"/>
      <c r="S24" s="2149"/>
      <c r="T24" s="2149"/>
      <c r="U24" s="524">
        <v>648.66698961760403</v>
      </c>
      <c r="V24" s="525">
        <v>1150.1515623569524</v>
      </c>
      <c r="W24" s="525">
        <v>111.40602317910771</v>
      </c>
      <c r="X24" s="525">
        <v>19.614452030814</v>
      </c>
      <c r="Y24" s="525">
        <v>2.25</v>
      </c>
      <c r="Z24" s="504"/>
      <c r="AA24" s="499">
        <f t="shared" si="0"/>
        <v>3.9286877066988781</v>
      </c>
      <c r="AB24" s="504"/>
      <c r="AC24" s="517">
        <v>1.2500000000000001E-2</v>
      </c>
      <c r="AD24" s="517">
        <v>1.2500000000000001E-2</v>
      </c>
      <c r="AE24" s="517">
        <v>1.2500000000000001E-2</v>
      </c>
      <c r="AF24" s="500" t="s">
        <v>1546</v>
      </c>
      <c r="AG24" s="504"/>
      <c r="AH24" s="504"/>
      <c r="AI24" s="504"/>
      <c r="AJ24" s="504"/>
      <c r="AK24" s="2143"/>
    </row>
    <row r="25" spans="1:37">
      <c r="A25" s="504">
        <v>7</v>
      </c>
      <c r="B25" s="504" t="str">
        <f>B21</f>
        <v>YWD</v>
      </c>
      <c r="C25" s="504" t="s">
        <v>29</v>
      </c>
      <c r="D25" s="504" t="s">
        <v>1053</v>
      </c>
      <c r="E25" s="504" t="s">
        <v>1071</v>
      </c>
      <c r="F25" s="654" t="s">
        <v>1103</v>
      </c>
      <c r="G25" s="504" t="s">
        <v>299</v>
      </c>
      <c r="H25" s="504">
        <v>94378</v>
      </c>
      <c r="I25" s="504" t="s">
        <v>34</v>
      </c>
      <c r="J25" s="504" t="s">
        <v>34</v>
      </c>
      <c r="K25" s="504" t="s">
        <v>34</v>
      </c>
      <c r="L25" s="504" t="s">
        <v>35</v>
      </c>
      <c r="M25" s="504" t="s">
        <v>36</v>
      </c>
      <c r="N25" s="651">
        <f>N21</f>
        <v>43984</v>
      </c>
      <c r="O25" s="530" t="s">
        <v>1244</v>
      </c>
      <c r="P25" s="504" t="s">
        <v>1245</v>
      </c>
      <c r="Q25" s="504" t="str">
        <f>Q21</f>
        <v>03.06.2020</v>
      </c>
      <c r="R25" s="504" t="s">
        <v>1167</v>
      </c>
      <c r="S25" s="504" t="s">
        <v>1183</v>
      </c>
      <c r="T25" s="504" t="s">
        <v>1216</v>
      </c>
      <c r="U25" s="503">
        <v>466.99</v>
      </c>
      <c r="V25" s="504">
        <v>778.57</v>
      </c>
      <c r="W25" s="504"/>
      <c r="X25" s="504">
        <v>127.59</v>
      </c>
      <c r="Y25" s="504">
        <v>75.2</v>
      </c>
      <c r="Z25" s="504">
        <v>35.61</v>
      </c>
      <c r="AA25" s="499">
        <f t="shared" si="0"/>
        <v>7.3479879460000008</v>
      </c>
      <c r="AB25" s="504"/>
      <c r="AC25" s="517">
        <v>1.2500000000000001E-2</v>
      </c>
      <c r="AD25" s="517">
        <v>1.2500000000000001E-2</v>
      </c>
      <c r="AE25" s="517">
        <v>1.2500000000000001E-2</v>
      </c>
      <c r="AF25" s="500" t="s">
        <v>1546</v>
      </c>
      <c r="AG25" s="504"/>
      <c r="AH25" s="504"/>
      <c r="AI25" s="504"/>
      <c r="AJ25" s="504"/>
      <c r="AK25" s="523" t="s">
        <v>1581</v>
      </c>
    </row>
    <row r="26" spans="1:37" ht="15.75" customHeight="1">
      <c r="A26" s="2149">
        <v>8</v>
      </c>
      <c r="B26" s="2149" t="str">
        <f>B25</f>
        <v>YWD</v>
      </c>
      <c r="C26" s="2149" t="s">
        <v>29</v>
      </c>
      <c r="D26" s="2149" t="s">
        <v>1054</v>
      </c>
      <c r="E26" s="504" t="s">
        <v>1072</v>
      </c>
      <c r="F26" s="654" t="s">
        <v>1264</v>
      </c>
      <c r="G26" s="2149" t="str">
        <f>G21</f>
        <v>Akshit chandra</v>
      </c>
      <c r="H26" s="504">
        <v>26171</v>
      </c>
      <c r="I26" s="504" t="s">
        <v>34</v>
      </c>
      <c r="J26" s="504" t="s">
        <v>34</v>
      </c>
      <c r="K26" s="504" t="s">
        <v>34</v>
      </c>
      <c r="L26" s="504" t="s">
        <v>35</v>
      </c>
      <c r="M26" s="504" t="s">
        <v>36</v>
      </c>
      <c r="N26" s="2153">
        <f>N25</f>
        <v>43984</v>
      </c>
      <c r="O26" s="2149" t="s">
        <v>1242</v>
      </c>
      <c r="P26" s="2149" t="s">
        <v>1243</v>
      </c>
      <c r="Q26" s="2149" t="str">
        <f>Q25</f>
        <v>03.06.2020</v>
      </c>
      <c r="R26" s="2149" t="s">
        <v>1167</v>
      </c>
      <c r="S26" s="2149" t="s">
        <v>1234</v>
      </c>
      <c r="T26" s="2149" t="s">
        <v>1216</v>
      </c>
      <c r="U26" s="524">
        <v>1172.3387167685569</v>
      </c>
      <c r="V26" s="504">
        <v>2073.0163538390548</v>
      </c>
      <c r="W26" s="525">
        <v>207.72431466824702</v>
      </c>
      <c r="X26" s="525">
        <v>838.80780541086369</v>
      </c>
      <c r="Y26" s="504">
        <v>418.6</v>
      </c>
      <c r="Z26" s="504"/>
      <c r="AA26" s="499">
        <f t="shared" si="0"/>
        <v>5.4252910996321901</v>
      </c>
      <c r="AB26" s="504"/>
      <c r="AC26" s="517">
        <v>1.4999999999999999E-2</v>
      </c>
      <c r="AD26" s="517">
        <v>1.4999999999999999E-2</v>
      </c>
      <c r="AE26" s="517">
        <v>1.4999999999999999E-2</v>
      </c>
      <c r="AF26" s="500" t="s">
        <v>1546</v>
      </c>
      <c r="AG26" s="504"/>
      <c r="AH26" s="504"/>
      <c r="AI26" s="504"/>
      <c r="AJ26" s="504"/>
      <c r="AK26" s="2141" t="s">
        <v>1581</v>
      </c>
    </row>
    <row r="27" spans="1:37">
      <c r="A27" s="2149"/>
      <c r="B27" s="2149"/>
      <c r="C27" s="2149"/>
      <c r="D27" s="2149"/>
      <c r="E27" s="504" t="s">
        <v>1074</v>
      </c>
      <c r="F27" s="654" t="s">
        <v>1265</v>
      </c>
      <c r="G27" s="2149"/>
      <c r="H27" s="504">
        <v>26171</v>
      </c>
      <c r="I27" s="504" t="s">
        <v>34</v>
      </c>
      <c r="J27" s="504" t="s">
        <v>34</v>
      </c>
      <c r="K27" s="504" t="s">
        <v>34</v>
      </c>
      <c r="L27" s="504" t="s">
        <v>35</v>
      </c>
      <c r="M27" s="504" t="s">
        <v>36</v>
      </c>
      <c r="N27" s="2153"/>
      <c r="O27" s="2149"/>
      <c r="P27" s="2149"/>
      <c r="Q27" s="2149"/>
      <c r="R27" s="2149"/>
      <c r="S27" s="2149"/>
      <c r="T27" s="2149"/>
      <c r="U27" s="524">
        <v>1162.6906679685571</v>
      </c>
      <c r="V27" s="504">
        <v>2045.4037233310551</v>
      </c>
      <c r="W27" s="525">
        <v>203.603353692247</v>
      </c>
      <c r="X27" s="525">
        <v>748.79216828290885</v>
      </c>
      <c r="Y27" s="504">
        <v>26</v>
      </c>
      <c r="Z27" s="504"/>
      <c r="AA27" s="499">
        <f t="shared" si="0"/>
        <v>5.3530260843297039</v>
      </c>
      <c r="AB27" s="504"/>
      <c r="AC27" s="517">
        <v>1.4999999999999999E-2</v>
      </c>
      <c r="AD27" s="517">
        <v>1.4999999999999999E-2</v>
      </c>
      <c r="AE27" s="517">
        <v>1.4999999999999999E-2</v>
      </c>
      <c r="AF27" s="500" t="s">
        <v>1546</v>
      </c>
      <c r="AG27" s="504"/>
      <c r="AH27" s="504"/>
      <c r="AI27" s="504"/>
      <c r="AJ27" s="504"/>
      <c r="AK27" s="2142"/>
    </row>
    <row r="28" spans="1:37">
      <c r="A28" s="2149"/>
      <c r="B28" s="2149"/>
      <c r="C28" s="2149"/>
      <c r="D28" s="2149"/>
      <c r="E28" s="504" t="s">
        <v>1073</v>
      </c>
      <c r="F28" s="654" t="s">
        <v>1264</v>
      </c>
      <c r="G28" s="2149"/>
      <c r="H28" s="504">
        <v>68207</v>
      </c>
      <c r="I28" s="504" t="s">
        <v>34</v>
      </c>
      <c r="J28" s="504" t="s">
        <v>34</v>
      </c>
      <c r="K28" s="504" t="s">
        <v>34</v>
      </c>
      <c r="L28" s="504" t="s">
        <v>35</v>
      </c>
      <c r="M28" s="504" t="s">
        <v>36</v>
      </c>
      <c r="N28" s="2153"/>
      <c r="O28" s="2149"/>
      <c r="P28" s="2149"/>
      <c r="Q28" s="2149"/>
      <c r="R28" s="2149"/>
      <c r="S28" s="2149"/>
      <c r="T28" s="2149"/>
      <c r="U28" s="524">
        <v>1395.5458492541161</v>
      </c>
      <c r="V28" s="504">
        <v>2379.5624256874562</v>
      </c>
      <c r="W28" s="525">
        <v>229.01891742399658</v>
      </c>
      <c r="X28" s="525">
        <v>504.41731200398999</v>
      </c>
      <c r="Y28" s="504">
        <v>14.75</v>
      </c>
      <c r="Z28" s="504">
        <v>44.98</v>
      </c>
      <c r="AA28" s="499">
        <f t="shared" si="0"/>
        <v>16.230281436886433</v>
      </c>
      <c r="AB28" s="504"/>
      <c r="AC28" s="517">
        <v>1.4999999999999999E-2</v>
      </c>
      <c r="AD28" s="517">
        <v>1.4999999999999999E-2</v>
      </c>
      <c r="AE28" s="517">
        <v>1.4999999999999999E-2</v>
      </c>
      <c r="AF28" s="500" t="s">
        <v>1546</v>
      </c>
      <c r="AG28" s="504"/>
      <c r="AH28" s="504"/>
      <c r="AI28" s="504"/>
      <c r="AJ28" s="504"/>
      <c r="AK28" s="2142"/>
    </row>
    <row r="29" spans="1:37">
      <c r="A29" s="2149"/>
      <c r="B29" s="2149"/>
      <c r="C29" s="2149"/>
      <c r="D29" s="2149"/>
      <c r="E29" s="504" t="s">
        <v>1075</v>
      </c>
      <c r="F29" s="654" t="s">
        <v>1265</v>
      </c>
      <c r="G29" s="2149"/>
      <c r="H29" s="504">
        <v>68207</v>
      </c>
      <c r="I29" s="504" t="s">
        <v>34</v>
      </c>
      <c r="J29" s="504" t="s">
        <v>34</v>
      </c>
      <c r="K29" s="504" t="s">
        <v>34</v>
      </c>
      <c r="L29" s="504" t="s">
        <v>35</v>
      </c>
      <c r="M29" s="504" t="s">
        <v>36</v>
      </c>
      <c r="N29" s="2153"/>
      <c r="O29" s="2149"/>
      <c r="P29" s="2149"/>
      <c r="Q29" s="2149"/>
      <c r="R29" s="2149"/>
      <c r="S29" s="2149"/>
      <c r="T29" s="2149"/>
      <c r="U29" s="524">
        <v>1385.7216786377999</v>
      </c>
      <c r="V29" s="504">
        <v>2352.9701590995683</v>
      </c>
      <c r="W29" s="525">
        <v>225.1624340116702</v>
      </c>
      <c r="X29" s="525">
        <v>504.41731200398999</v>
      </c>
      <c r="Y29" s="504">
        <v>22.25</v>
      </c>
      <c r="Z29" s="504">
        <v>44.98</v>
      </c>
      <c r="AA29" s="499">
        <f t="shared" si="0"/>
        <v>16.048903564170427</v>
      </c>
      <c r="AB29" s="504"/>
      <c r="AC29" s="517">
        <v>1.4999999999999999E-2</v>
      </c>
      <c r="AD29" s="517">
        <v>1.4999999999999999E-2</v>
      </c>
      <c r="AE29" s="517">
        <v>1.4999999999999999E-2</v>
      </c>
      <c r="AF29" s="500" t="s">
        <v>1546</v>
      </c>
      <c r="AG29" s="504"/>
      <c r="AH29" s="504"/>
      <c r="AI29" s="504"/>
      <c r="AJ29" s="504"/>
      <c r="AK29" s="2143"/>
    </row>
    <row r="30" spans="1:37">
      <c r="A30" s="504">
        <v>9</v>
      </c>
      <c r="B30" s="504" t="str">
        <f>B26</f>
        <v>YWD</v>
      </c>
      <c r="C30" s="504" t="s">
        <v>29</v>
      </c>
      <c r="D30" s="504" t="s">
        <v>1055</v>
      </c>
      <c r="E30" s="504" t="s">
        <v>1076</v>
      </c>
      <c r="F30" s="654" t="s">
        <v>1106</v>
      </c>
      <c r="G30" s="504" t="str">
        <f>G26</f>
        <v>Akshit chandra</v>
      </c>
      <c r="H30" s="504">
        <v>94378</v>
      </c>
      <c r="I30" s="504" t="s">
        <v>34</v>
      </c>
      <c r="J30" s="504" t="s">
        <v>34</v>
      </c>
      <c r="K30" s="504" t="s">
        <v>34</v>
      </c>
      <c r="L30" s="504" t="s">
        <v>35</v>
      </c>
      <c r="M30" s="504" t="s">
        <v>36</v>
      </c>
      <c r="N30" s="651">
        <f>N26</f>
        <v>43984</v>
      </c>
      <c r="O30" s="504" t="s">
        <v>1122</v>
      </c>
      <c r="P30" s="504" t="s">
        <v>1245</v>
      </c>
      <c r="Q30" s="504" t="str">
        <f>Q26</f>
        <v>03.06.2020</v>
      </c>
      <c r="R30" s="504" t="s">
        <v>1167</v>
      </c>
      <c r="S30" s="504" t="s">
        <v>1176</v>
      </c>
      <c r="T30" s="504" t="s">
        <v>1216</v>
      </c>
      <c r="U30" s="503">
        <v>136.84</v>
      </c>
      <c r="V30" s="504">
        <v>333.93</v>
      </c>
      <c r="W30" s="504">
        <v>36.42</v>
      </c>
      <c r="X30" s="504">
        <v>218.51</v>
      </c>
      <c r="Y30" s="504">
        <v>45.25</v>
      </c>
      <c r="Z30" s="504">
        <v>23.95</v>
      </c>
      <c r="AA30" s="499">
        <f t="shared" si="0"/>
        <v>3.1515645540000001</v>
      </c>
      <c r="AB30" s="504"/>
      <c r="AC30" s="531">
        <v>1.2500000000000001E-2</v>
      </c>
      <c r="AD30" s="531">
        <v>1.2500000000000001E-2</v>
      </c>
      <c r="AE30" s="531">
        <v>1.2500000000000001E-2</v>
      </c>
      <c r="AF30" s="500" t="s">
        <v>1546</v>
      </c>
      <c r="AG30" s="504"/>
      <c r="AH30" s="504"/>
      <c r="AI30" s="504"/>
      <c r="AJ30" s="504"/>
      <c r="AK30" s="523" t="s">
        <v>1581</v>
      </c>
    </row>
    <row r="31" spans="1:37">
      <c r="A31" s="504">
        <v>10</v>
      </c>
      <c r="B31" s="504" t="str">
        <f>B30</f>
        <v>YWD</v>
      </c>
      <c r="C31" s="504" t="s">
        <v>29</v>
      </c>
      <c r="D31" s="504" t="s">
        <v>1056</v>
      </c>
      <c r="E31" s="504" t="s">
        <v>1077</v>
      </c>
      <c r="F31" s="654" t="s">
        <v>225</v>
      </c>
      <c r="G31" s="504" t="str">
        <f>G30</f>
        <v>Akshit chandra</v>
      </c>
      <c r="H31" s="504">
        <v>26171</v>
      </c>
      <c r="I31" s="504" t="s">
        <v>34</v>
      </c>
      <c r="J31" s="504" t="s">
        <v>34</v>
      </c>
      <c r="K31" s="504" t="s">
        <v>34</v>
      </c>
      <c r="L31" s="504" t="s">
        <v>35</v>
      </c>
      <c r="M31" s="504" t="s">
        <v>36</v>
      </c>
      <c r="N31" s="651">
        <f t="shared" ref="N31:N33" si="1">N30</f>
        <v>43984</v>
      </c>
      <c r="O31" s="504" t="s">
        <v>1122</v>
      </c>
      <c r="P31" s="504" t="s">
        <v>1245</v>
      </c>
      <c r="Q31" s="504" t="str">
        <f>Q30</f>
        <v>03.06.2020</v>
      </c>
      <c r="R31" s="504" t="s">
        <v>1167</v>
      </c>
      <c r="S31" s="504" t="s">
        <v>1176</v>
      </c>
      <c r="T31" s="504" t="s">
        <v>1216</v>
      </c>
      <c r="U31" s="503">
        <v>413.2</v>
      </c>
      <c r="V31" s="504">
        <v>709.92</v>
      </c>
      <c r="W31" s="504">
        <v>64.099999999999994</v>
      </c>
      <c r="X31" s="504">
        <v>304.88</v>
      </c>
      <c r="Y31" s="504">
        <v>56.5</v>
      </c>
      <c r="Z31" s="504">
        <v>33.21</v>
      </c>
      <c r="AA31" s="502">
        <f t="shared" si="0"/>
        <v>1.8579316320000001</v>
      </c>
      <c r="AB31" s="504"/>
      <c r="AC31" s="531">
        <v>0.01</v>
      </c>
      <c r="AD31" s="531">
        <v>0.01</v>
      </c>
      <c r="AE31" s="531">
        <v>0.01</v>
      </c>
      <c r="AF31" s="500" t="s">
        <v>1546</v>
      </c>
      <c r="AG31" s="504"/>
      <c r="AH31" s="504"/>
      <c r="AI31" s="504"/>
      <c r="AJ31" s="504"/>
      <c r="AK31" s="523" t="s">
        <v>1581</v>
      </c>
    </row>
    <row r="32" spans="1:37">
      <c r="A32" s="497">
        <v>11</v>
      </c>
      <c r="B32" s="497" t="str">
        <f>B31</f>
        <v>YWD</v>
      </c>
      <c r="C32" s="497" t="s">
        <v>29</v>
      </c>
      <c r="D32" s="497" t="s">
        <v>1057</v>
      </c>
      <c r="E32" s="497" t="s">
        <v>1214</v>
      </c>
      <c r="F32" s="655" t="s">
        <v>1107</v>
      </c>
      <c r="G32" s="497" t="str">
        <f>G31</f>
        <v>Akshit chandra</v>
      </c>
      <c r="H32" s="497">
        <v>68207</v>
      </c>
      <c r="I32" s="497" t="s">
        <v>34</v>
      </c>
      <c r="J32" s="497" t="s">
        <v>34</v>
      </c>
      <c r="K32" s="497" t="s">
        <v>34</v>
      </c>
      <c r="L32" s="497" t="s">
        <v>35</v>
      </c>
      <c r="M32" s="497" t="s">
        <v>36</v>
      </c>
      <c r="N32" s="652">
        <f t="shared" si="1"/>
        <v>43984</v>
      </c>
      <c r="O32" s="497" t="s">
        <v>1122</v>
      </c>
      <c r="P32" s="497" t="s">
        <v>1122</v>
      </c>
      <c r="Q32" s="497" t="str">
        <f>Q31</f>
        <v>03.06.2020</v>
      </c>
      <c r="R32" s="497" t="s">
        <v>1167</v>
      </c>
      <c r="S32" s="497" t="s">
        <v>1212</v>
      </c>
      <c r="T32" s="497" t="s">
        <v>1216</v>
      </c>
      <c r="U32" s="497">
        <v>953.68</v>
      </c>
      <c r="V32" s="497">
        <v>1464.75</v>
      </c>
      <c r="W32" s="497">
        <v>110.07</v>
      </c>
      <c r="X32" s="497">
        <v>618.33000000000004</v>
      </c>
      <c r="Y32" s="497">
        <v>95.3</v>
      </c>
      <c r="Z32" s="497">
        <v>64.84</v>
      </c>
      <c r="AA32" s="501">
        <f t="shared" si="0"/>
        <v>9.9906203250000001</v>
      </c>
      <c r="AB32" s="497"/>
      <c r="AC32" s="532">
        <v>0.01</v>
      </c>
      <c r="AD32" s="532">
        <v>0.01</v>
      </c>
      <c r="AE32" s="532">
        <v>0.01</v>
      </c>
      <c r="AF32" s="497" t="s">
        <v>342</v>
      </c>
      <c r="AG32" s="501">
        <v>1200</v>
      </c>
      <c r="AH32" s="2147">
        <v>630.54</v>
      </c>
      <c r="AI32" s="2147"/>
      <c r="AJ32" s="2147"/>
      <c r="AK32" s="522" t="s">
        <v>1581</v>
      </c>
    </row>
    <row r="33" spans="1:37">
      <c r="A33" s="2149">
        <v>12</v>
      </c>
      <c r="B33" s="2149" t="str">
        <f>B32</f>
        <v>YWD</v>
      </c>
      <c r="C33" s="2149" t="s">
        <v>29</v>
      </c>
      <c r="D33" s="2149" t="s">
        <v>1058</v>
      </c>
      <c r="E33" s="504" t="s">
        <v>1078</v>
      </c>
      <c r="F33" s="654" t="s">
        <v>1108</v>
      </c>
      <c r="G33" s="2149" t="str">
        <f>G32</f>
        <v>Akshit chandra</v>
      </c>
      <c r="H33" s="504">
        <v>26171</v>
      </c>
      <c r="I33" s="504" t="s">
        <v>34</v>
      </c>
      <c r="J33" s="504" t="s">
        <v>34</v>
      </c>
      <c r="K33" s="504" t="s">
        <v>34</v>
      </c>
      <c r="L33" s="504" t="s">
        <v>35</v>
      </c>
      <c r="M33" s="504" t="s">
        <v>36</v>
      </c>
      <c r="N33" s="2153">
        <f t="shared" si="1"/>
        <v>43984</v>
      </c>
      <c r="O33" s="2149" t="s">
        <v>1122</v>
      </c>
      <c r="P33" s="2149" t="s">
        <v>1122</v>
      </c>
      <c r="Q33" s="2149" t="str">
        <f>Q32</f>
        <v>03.06.2020</v>
      </c>
      <c r="R33" s="2149" t="s">
        <v>1167</v>
      </c>
      <c r="S33" s="2149" t="s">
        <v>1245</v>
      </c>
      <c r="T33" s="2149" t="s">
        <v>1216</v>
      </c>
      <c r="U33" s="503">
        <v>166.3</v>
      </c>
      <c r="V33" s="504">
        <v>322.45999999999998</v>
      </c>
      <c r="W33" s="504">
        <v>30.28</v>
      </c>
      <c r="X33" s="504">
        <v>142.80000000000001</v>
      </c>
      <c r="Y33" s="504">
        <v>126.25</v>
      </c>
      <c r="Z33" s="504">
        <v>47.94</v>
      </c>
      <c r="AA33" s="499">
        <f t="shared" si="0"/>
        <v>0.84391006600000007</v>
      </c>
      <c r="AB33" s="504"/>
      <c r="AC33" s="517">
        <v>1.2500000000000001E-2</v>
      </c>
      <c r="AD33" s="517">
        <v>1.2500000000000001E-2</v>
      </c>
      <c r="AE33" s="517">
        <v>1.2500000000000001E-2</v>
      </c>
      <c r="AF33" s="500" t="s">
        <v>1546</v>
      </c>
      <c r="AG33" s="504"/>
      <c r="AH33" s="504"/>
      <c r="AI33" s="504"/>
      <c r="AJ33" s="504"/>
      <c r="AK33" s="2141" t="s">
        <v>1581</v>
      </c>
    </row>
    <row r="34" spans="1:37">
      <c r="A34" s="2149"/>
      <c r="B34" s="2149"/>
      <c r="C34" s="2149"/>
      <c r="D34" s="2149"/>
      <c r="E34" s="504" t="s">
        <v>1079</v>
      </c>
      <c r="F34" s="654" t="s">
        <v>1108</v>
      </c>
      <c r="G34" s="2149"/>
      <c r="H34" s="504">
        <v>68207</v>
      </c>
      <c r="I34" s="504" t="s">
        <v>34</v>
      </c>
      <c r="J34" s="504" t="s">
        <v>34</v>
      </c>
      <c r="K34" s="504" t="s">
        <v>34</v>
      </c>
      <c r="L34" s="504" t="s">
        <v>35</v>
      </c>
      <c r="M34" s="504" t="s">
        <v>36</v>
      </c>
      <c r="N34" s="2153"/>
      <c r="O34" s="2149"/>
      <c r="P34" s="2149"/>
      <c r="Q34" s="2149"/>
      <c r="R34" s="2149"/>
      <c r="S34" s="2149"/>
      <c r="T34" s="2149"/>
      <c r="U34" s="503">
        <v>222.69</v>
      </c>
      <c r="V34" s="504">
        <v>380.41</v>
      </c>
      <c r="W34" s="504">
        <v>31.32</v>
      </c>
      <c r="X34" s="504">
        <v>194.5</v>
      </c>
      <c r="Y34" s="504">
        <v>6</v>
      </c>
      <c r="Z34" s="504"/>
      <c r="AA34" s="499">
        <f t="shared" si="0"/>
        <v>2.5946624869999999</v>
      </c>
      <c r="AB34" s="504"/>
      <c r="AC34" s="517">
        <v>1.2500000000000001E-2</v>
      </c>
      <c r="AD34" s="517">
        <v>1.2500000000000001E-2</v>
      </c>
      <c r="AE34" s="517">
        <v>1.2500000000000001E-2</v>
      </c>
      <c r="AF34" s="500" t="s">
        <v>1546</v>
      </c>
      <c r="AG34" s="504"/>
      <c r="AH34" s="504"/>
      <c r="AI34" s="504"/>
      <c r="AJ34" s="504"/>
      <c r="AK34" s="2142"/>
    </row>
    <row r="35" spans="1:37">
      <c r="A35" s="2149"/>
      <c r="B35" s="2149"/>
      <c r="C35" s="2149"/>
      <c r="D35" s="2149"/>
      <c r="E35" s="504" t="s">
        <v>1080</v>
      </c>
      <c r="F35" s="654" t="s">
        <v>1109</v>
      </c>
      <c r="G35" s="2149"/>
      <c r="H35" s="504">
        <v>26171</v>
      </c>
      <c r="I35" s="504" t="s">
        <v>34</v>
      </c>
      <c r="J35" s="504" t="s">
        <v>34</v>
      </c>
      <c r="K35" s="504" t="s">
        <v>34</v>
      </c>
      <c r="L35" s="504" t="s">
        <v>35</v>
      </c>
      <c r="M35" s="504" t="s">
        <v>36</v>
      </c>
      <c r="N35" s="2153"/>
      <c r="O35" s="2149"/>
      <c r="P35" s="2149"/>
      <c r="Q35" s="2149"/>
      <c r="R35" s="2149"/>
      <c r="S35" s="2149"/>
      <c r="T35" s="2149"/>
      <c r="U35" s="503">
        <v>154.61000000000001</v>
      </c>
      <c r="V35" s="504">
        <v>310.58</v>
      </c>
      <c r="W35" s="502">
        <v>30.1</v>
      </c>
      <c r="X35" s="504">
        <v>118.3</v>
      </c>
      <c r="Y35" s="504">
        <v>3.5</v>
      </c>
      <c r="Z35" s="504"/>
      <c r="AA35" s="499">
        <f t="shared" si="0"/>
        <v>0.81281891799999995</v>
      </c>
      <c r="AB35" s="504"/>
      <c r="AC35" s="517">
        <v>1.2500000000000001E-2</v>
      </c>
      <c r="AD35" s="517">
        <v>1.2500000000000001E-2</v>
      </c>
      <c r="AE35" s="517">
        <v>1.2500000000000001E-2</v>
      </c>
      <c r="AF35" s="500" t="s">
        <v>1546</v>
      </c>
      <c r="AG35" s="504"/>
      <c r="AH35" s="504"/>
      <c r="AI35" s="504"/>
      <c r="AJ35" s="504"/>
      <c r="AK35" s="2142"/>
    </row>
    <row r="36" spans="1:37">
      <c r="A36" s="2149"/>
      <c r="B36" s="2149"/>
      <c r="C36" s="2149"/>
      <c r="D36" s="2149"/>
      <c r="E36" s="504" t="s">
        <v>1081</v>
      </c>
      <c r="F36" s="654" t="s">
        <v>1109</v>
      </c>
      <c r="G36" s="2149"/>
      <c r="H36" s="504">
        <v>68207</v>
      </c>
      <c r="I36" s="504" t="s">
        <v>34</v>
      </c>
      <c r="J36" s="504" t="s">
        <v>34</v>
      </c>
      <c r="K36" s="504" t="s">
        <v>34</v>
      </c>
      <c r="L36" s="504" t="s">
        <v>35</v>
      </c>
      <c r="M36" s="504" t="s">
        <v>36</v>
      </c>
      <c r="N36" s="2153"/>
      <c r="O36" s="2149"/>
      <c r="P36" s="2149"/>
      <c r="Q36" s="2149"/>
      <c r="R36" s="2149"/>
      <c r="S36" s="2149"/>
      <c r="T36" s="2149"/>
      <c r="U36" s="503">
        <v>212.07</v>
      </c>
      <c r="V36" s="504">
        <v>365.2</v>
      </c>
      <c r="W36" s="504">
        <v>30.16</v>
      </c>
      <c r="X36" s="504">
        <v>175.8</v>
      </c>
      <c r="Y36" s="504">
        <v>5</v>
      </c>
      <c r="Z36" s="504"/>
      <c r="AA36" s="499">
        <f t="shared" si="0"/>
        <v>2.49091964</v>
      </c>
      <c r="AB36" s="504"/>
      <c r="AC36" s="517">
        <v>1.2500000000000001E-2</v>
      </c>
      <c r="AD36" s="517">
        <v>1.2500000000000001E-2</v>
      </c>
      <c r="AE36" s="517">
        <v>1.2500000000000001E-2</v>
      </c>
      <c r="AF36" s="500" t="s">
        <v>1546</v>
      </c>
      <c r="AG36" s="504"/>
      <c r="AH36" s="504"/>
      <c r="AI36" s="504"/>
      <c r="AJ36" s="504"/>
      <c r="AK36" s="2143"/>
    </row>
    <row r="37" spans="1:37">
      <c r="A37" s="2149">
        <v>13</v>
      </c>
      <c r="B37" s="2149" t="str">
        <f>B33</f>
        <v>YWD</v>
      </c>
      <c r="C37" s="2149" t="s">
        <v>29</v>
      </c>
      <c r="D37" s="2149" t="s">
        <v>1059</v>
      </c>
      <c r="E37" s="504" t="s">
        <v>1082</v>
      </c>
      <c r="F37" s="654" t="s">
        <v>1110</v>
      </c>
      <c r="G37" s="2149" t="str">
        <f>G33</f>
        <v>Akshit chandra</v>
      </c>
      <c r="H37" s="504">
        <v>26171</v>
      </c>
      <c r="I37" s="504" t="s">
        <v>34</v>
      </c>
      <c r="J37" s="504" t="s">
        <v>34</v>
      </c>
      <c r="K37" s="504" t="s">
        <v>34</v>
      </c>
      <c r="L37" s="504" t="s">
        <v>35</v>
      </c>
      <c r="M37" s="504" t="s">
        <v>36</v>
      </c>
      <c r="N37" s="2153">
        <f>N33</f>
        <v>43984</v>
      </c>
      <c r="O37" s="2149" t="s">
        <v>1122</v>
      </c>
      <c r="P37" s="2149" t="s">
        <v>1122</v>
      </c>
      <c r="Q37" s="2149" t="str">
        <f>Q33</f>
        <v>03.06.2020</v>
      </c>
      <c r="R37" s="2149" t="s">
        <v>1167</v>
      </c>
      <c r="S37" s="2155" t="s">
        <v>1245</v>
      </c>
      <c r="T37" s="2149" t="s">
        <v>1216</v>
      </c>
      <c r="U37" s="503">
        <v>516.13</v>
      </c>
      <c r="V37" s="504">
        <v>907.25</v>
      </c>
      <c r="W37" s="504">
        <v>77.319999999999993</v>
      </c>
      <c r="X37" s="504">
        <v>256.02999999999997</v>
      </c>
      <c r="Y37" s="504">
        <v>63.25</v>
      </c>
      <c r="Z37" s="504">
        <v>16.55</v>
      </c>
      <c r="AA37" s="499">
        <f t="shared" si="0"/>
        <v>2.3743639750000001</v>
      </c>
      <c r="AB37" s="504"/>
      <c r="AC37" s="517">
        <v>1.2500000000000001E-2</v>
      </c>
      <c r="AD37" s="517">
        <v>1.2500000000000001E-2</v>
      </c>
      <c r="AE37" s="517">
        <v>1.2500000000000001E-2</v>
      </c>
      <c r="AF37" s="500" t="s">
        <v>1546</v>
      </c>
      <c r="AG37" s="504"/>
      <c r="AH37" s="504"/>
      <c r="AI37" s="504"/>
      <c r="AJ37" s="504"/>
      <c r="AK37" s="2141" t="s">
        <v>1581</v>
      </c>
    </row>
    <row r="38" spans="1:37">
      <c r="A38" s="2149"/>
      <c r="B38" s="2149"/>
      <c r="C38" s="2149"/>
      <c r="D38" s="2149"/>
      <c r="E38" s="504" t="s">
        <v>1083</v>
      </c>
      <c r="F38" s="654" t="s">
        <v>1110</v>
      </c>
      <c r="G38" s="2149"/>
      <c r="H38" s="504">
        <v>68207</v>
      </c>
      <c r="I38" s="504" t="s">
        <v>34</v>
      </c>
      <c r="J38" s="504" t="s">
        <v>34</v>
      </c>
      <c r="K38" s="504" t="s">
        <v>34</v>
      </c>
      <c r="L38" s="504" t="s">
        <v>35</v>
      </c>
      <c r="M38" s="504" t="s">
        <v>36</v>
      </c>
      <c r="N38" s="2153"/>
      <c r="O38" s="2149"/>
      <c r="P38" s="2149"/>
      <c r="Q38" s="2149"/>
      <c r="R38" s="2149"/>
      <c r="S38" s="2155"/>
      <c r="T38" s="2149" t="s">
        <v>1218</v>
      </c>
      <c r="U38" s="503">
        <v>533.29999999999995</v>
      </c>
      <c r="V38" s="504">
        <v>940.64</v>
      </c>
      <c r="W38" s="504">
        <v>81.150000000000006</v>
      </c>
      <c r="X38" s="504">
        <v>6.74</v>
      </c>
      <c r="Y38" s="504"/>
      <c r="Z38" s="504">
        <v>16.55</v>
      </c>
      <c r="AA38" s="499">
        <f t="shared" si="0"/>
        <v>6.4158232479999997</v>
      </c>
      <c r="AB38" s="504"/>
      <c r="AC38" s="517">
        <v>1.2500000000000001E-2</v>
      </c>
      <c r="AD38" s="517">
        <v>1.2500000000000001E-2</v>
      </c>
      <c r="AE38" s="517">
        <v>1.2500000000000001E-2</v>
      </c>
      <c r="AF38" s="500" t="s">
        <v>1546</v>
      </c>
      <c r="AG38" s="504"/>
      <c r="AH38" s="504"/>
      <c r="AI38" s="504"/>
      <c r="AJ38" s="504"/>
      <c r="AK38" s="2143"/>
    </row>
    <row r="39" spans="1:37">
      <c r="A39" s="2149">
        <v>14</v>
      </c>
      <c r="B39" s="2149" t="str">
        <f>B37</f>
        <v>YWD</v>
      </c>
      <c r="C39" s="2149" t="s">
        <v>29</v>
      </c>
      <c r="D39" s="2149" t="s">
        <v>1060</v>
      </c>
      <c r="E39" s="504" t="s">
        <v>1084</v>
      </c>
      <c r="F39" s="654" t="s">
        <v>1262</v>
      </c>
      <c r="G39" s="2149" t="str">
        <f>G37</f>
        <v>Akshit chandra</v>
      </c>
      <c r="H39" s="504">
        <v>26171</v>
      </c>
      <c r="I39" s="504" t="s">
        <v>34</v>
      </c>
      <c r="J39" s="504" t="s">
        <v>34</v>
      </c>
      <c r="K39" s="504" t="s">
        <v>34</v>
      </c>
      <c r="L39" s="504" t="s">
        <v>35</v>
      </c>
      <c r="M39" s="504" t="s">
        <v>36</v>
      </c>
      <c r="N39" s="2153">
        <f>N37</f>
        <v>43984</v>
      </c>
      <c r="O39" s="2149" t="s">
        <v>1246</v>
      </c>
      <c r="P39" s="2149" t="s">
        <v>1246</v>
      </c>
      <c r="Q39" s="2149" t="str">
        <f>Q37</f>
        <v>03.06.2020</v>
      </c>
      <c r="R39" s="2149" t="s">
        <v>1167</v>
      </c>
      <c r="S39" s="2155" t="s">
        <v>1213</v>
      </c>
      <c r="T39" s="2149" t="s">
        <v>1216</v>
      </c>
      <c r="U39" s="524">
        <v>135.91982255363999</v>
      </c>
      <c r="V39" s="525">
        <v>226.19688402267835</v>
      </c>
      <c r="W39" s="525">
        <v>19.570669370599919</v>
      </c>
      <c r="X39" s="525">
        <v>158.19328823240252</v>
      </c>
      <c r="Y39" s="504">
        <v>4.5</v>
      </c>
      <c r="Z39" s="504"/>
      <c r="AA39" s="499">
        <f t="shared" si="0"/>
        <v>0.59197986517575152</v>
      </c>
      <c r="AB39" s="504"/>
      <c r="AC39" s="517">
        <v>1.2500000000000001E-2</v>
      </c>
      <c r="AD39" s="517">
        <v>1.2500000000000001E-2</v>
      </c>
      <c r="AE39" s="517">
        <v>1.2500000000000001E-2</v>
      </c>
      <c r="AF39" s="500" t="s">
        <v>1546</v>
      </c>
      <c r="AG39" s="504"/>
      <c r="AH39" s="504"/>
      <c r="AI39" s="504"/>
      <c r="AJ39" s="504"/>
      <c r="AK39" s="2141" t="s">
        <v>1581</v>
      </c>
    </row>
    <row r="40" spans="1:37" ht="15.75">
      <c r="A40" s="2149"/>
      <c r="B40" s="2149"/>
      <c r="C40" s="2149"/>
      <c r="D40" s="2149"/>
      <c r="E40" s="497" t="s">
        <v>1086</v>
      </c>
      <c r="F40" s="654" t="s">
        <v>1263</v>
      </c>
      <c r="G40" s="2149"/>
      <c r="H40" s="504">
        <v>26171</v>
      </c>
      <c r="I40" s="504" t="s">
        <v>34</v>
      </c>
      <c r="J40" s="504" t="s">
        <v>34</v>
      </c>
      <c r="K40" s="504" t="s">
        <v>34</v>
      </c>
      <c r="L40" s="504" t="s">
        <v>35</v>
      </c>
      <c r="M40" s="504" t="s">
        <v>36</v>
      </c>
      <c r="N40" s="2153"/>
      <c r="O40" s="2149"/>
      <c r="P40" s="2149"/>
      <c r="Q40" s="2149"/>
      <c r="R40" s="2149"/>
      <c r="S40" s="2155"/>
      <c r="T40" s="2154"/>
      <c r="U40" s="635">
        <v>135.91982255363999</v>
      </c>
      <c r="V40" s="525">
        <v>226.19688402267835</v>
      </c>
      <c r="W40" s="525">
        <v>19.570669370599919</v>
      </c>
      <c r="X40" s="525">
        <v>158.19328823240252</v>
      </c>
      <c r="Y40" s="525">
        <v>4.5</v>
      </c>
      <c r="Z40" s="504"/>
      <c r="AA40" s="499">
        <f t="shared" si="0"/>
        <v>0.59197986517575152</v>
      </c>
      <c r="AB40" s="504"/>
      <c r="AC40" s="517">
        <v>1.2500000000000001E-2</v>
      </c>
      <c r="AD40" s="517">
        <v>1.2500000000000001E-2</v>
      </c>
      <c r="AE40" s="517">
        <v>1.2500000000000001E-2</v>
      </c>
      <c r="AF40" s="500" t="s">
        <v>1546</v>
      </c>
      <c r="AG40" s="504"/>
      <c r="AH40" s="504"/>
      <c r="AI40" s="504"/>
      <c r="AJ40" s="504"/>
      <c r="AK40" s="2142"/>
    </row>
    <row r="41" spans="1:37" ht="15.75">
      <c r="A41" s="2149"/>
      <c r="B41" s="2149"/>
      <c r="C41" s="2149"/>
      <c r="D41" s="2149"/>
      <c r="E41" s="497" t="s">
        <v>1085</v>
      </c>
      <c r="F41" s="654" t="s">
        <v>1262</v>
      </c>
      <c r="G41" s="2149"/>
      <c r="H41" s="504">
        <v>68207</v>
      </c>
      <c r="I41" s="504" t="s">
        <v>34</v>
      </c>
      <c r="J41" s="504" t="s">
        <v>34</v>
      </c>
      <c r="K41" s="504" t="s">
        <v>34</v>
      </c>
      <c r="L41" s="504" t="s">
        <v>35</v>
      </c>
      <c r="M41" s="504" t="s">
        <v>36</v>
      </c>
      <c r="N41" s="2153"/>
      <c r="O41" s="2149"/>
      <c r="P41" s="2149"/>
      <c r="Q41" s="2149"/>
      <c r="R41" s="2149"/>
      <c r="S41" s="2155"/>
      <c r="T41" s="2154"/>
      <c r="U41" s="635">
        <v>170.69953035982064</v>
      </c>
      <c r="V41" s="525">
        <v>269.15886921303309</v>
      </c>
      <c r="W41" s="525">
        <v>21.818349902424423</v>
      </c>
      <c r="X41" s="525">
        <v>184.3176053318119</v>
      </c>
      <c r="Y41" s="525">
        <v>36.25</v>
      </c>
      <c r="Z41" s="504"/>
      <c r="AA41" s="499">
        <f t="shared" si="0"/>
        <v>1.8358518992413349</v>
      </c>
      <c r="AB41" s="504"/>
      <c r="AC41" s="517">
        <v>1.2500000000000001E-2</v>
      </c>
      <c r="AD41" s="517">
        <v>1.2500000000000001E-2</v>
      </c>
      <c r="AE41" s="517">
        <v>1.2500000000000001E-2</v>
      </c>
      <c r="AF41" s="500" t="s">
        <v>1546</v>
      </c>
      <c r="AG41" s="504"/>
      <c r="AH41" s="504"/>
      <c r="AI41" s="504"/>
      <c r="AJ41" s="504"/>
      <c r="AK41" s="2142"/>
    </row>
    <row r="42" spans="1:37">
      <c r="A42" s="2149"/>
      <c r="B42" s="2149"/>
      <c r="C42" s="2149"/>
      <c r="D42" s="2149"/>
      <c r="E42" s="497" t="s">
        <v>1087</v>
      </c>
      <c r="F42" s="654" t="s">
        <v>1263</v>
      </c>
      <c r="G42" s="2149"/>
      <c r="H42" s="504">
        <v>68207</v>
      </c>
      <c r="I42" s="504" t="s">
        <v>34</v>
      </c>
      <c r="J42" s="504" t="s">
        <v>34</v>
      </c>
      <c r="K42" s="504" t="s">
        <v>34</v>
      </c>
      <c r="L42" s="504" t="s">
        <v>35</v>
      </c>
      <c r="M42" s="504" t="s">
        <v>36</v>
      </c>
      <c r="N42" s="2153"/>
      <c r="O42" s="2149"/>
      <c r="P42" s="2149"/>
      <c r="Q42" s="2149"/>
      <c r="R42" s="2149"/>
      <c r="S42" s="2155"/>
      <c r="T42" s="2149"/>
      <c r="U42" s="524">
        <v>170.69953035982064</v>
      </c>
      <c r="V42" s="525">
        <v>269.15886921303309</v>
      </c>
      <c r="W42" s="525">
        <v>21.818349902424423</v>
      </c>
      <c r="X42" s="525">
        <v>180.63095350608003</v>
      </c>
      <c r="Y42" s="504">
        <v>35.5</v>
      </c>
      <c r="Z42" s="504"/>
      <c r="AA42" s="499">
        <f t="shared" si="0"/>
        <v>1.8358518992413349</v>
      </c>
      <c r="AB42" s="504"/>
      <c r="AC42" s="517">
        <v>1.2500000000000001E-2</v>
      </c>
      <c r="AD42" s="517">
        <v>1.2500000000000001E-2</v>
      </c>
      <c r="AE42" s="517">
        <v>1.2500000000000001E-2</v>
      </c>
      <c r="AF42" s="500" t="s">
        <v>1546</v>
      </c>
      <c r="AG42" s="504"/>
      <c r="AH42" s="504"/>
      <c r="AI42" s="504"/>
      <c r="AJ42" s="504"/>
      <c r="AK42" s="2143"/>
    </row>
    <row r="43" spans="1:37">
      <c r="A43" s="2149">
        <v>15</v>
      </c>
      <c r="B43" s="2149" t="str">
        <f>B39</f>
        <v>YWD</v>
      </c>
      <c r="C43" s="2149" t="s">
        <v>29</v>
      </c>
      <c r="D43" s="2149" t="s">
        <v>1061</v>
      </c>
      <c r="E43" s="497" t="s">
        <v>1088</v>
      </c>
      <c r="F43" s="654" t="s">
        <v>1113</v>
      </c>
      <c r="G43" s="2149" t="str">
        <f>G39</f>
        <v>Akshit chandra</v>
      </c>
      <c r="H43" s="504">
        <v>94378</v>
      </c>
      <c r="I43" s="504" t="s">
        <v>34</v>
      </c>
      <c r="J43" s="504" t="s">
        <v>34</v>
      </c>
      <c r="K43" s="504" t="s">
        <v>34</v>
      </c>
      <c r="L43" s="504" t="s">
        <v>35</v>
      </c>
      <c r="M43" s="504" t="s">
        <v>36</v>
      </c>
      <c r="N43" s="2153">
        <f>N39</f>
        <v>43984</v>
      </c>
      <c r="O43" s="2149" t="s">
        <v>1122</v>
      </c>
      <c r="P43" s="2149" t="s">
        <v>1245</v>
      </c>
      <c r="Q43" s="2149" t="str">
        <f>Q39</f>
        <v>03.06.2020</v>
      </c>
      <c r="R43" s="2149" t="s">
        <v>1167</v>
      </c>
      <c r="S43" s="2155" t="s">
        <v>1251</v>
      </c>
      <c r="T43" s="2149" t="s">
        <v>1216</v>
      </c>
      <c r="U43" s="503">
        <v>468.65</v>
      </c>
      <c r="V43" s="504">
        <v>732.45</v>
      </c>
      <c r="W43" s="504">
        <v>53.33</v>
      </c>
      <c r="X43" s="504">
        <v>284.24</v>
      </c>
      <c r="Y43" s="504">
        <v>99.5</v>
      </c>
      <c r="Z43" s="504">
        <v>51.81</v>
      </c>
      <c r="AA43" s="499">
        <f t="shared" si="0"/>
        <v>6.9127166100000013</v>
      </c>
      <c r="AB43" s="504"/>
      <c r="AC43" s="517">
        <v>1.2500000000000001E-2</v>
      </c>
      <c r="AD43" s="517">
        <v>1.2500000000000001E-2</v>
      </c>
      <c r="AE43" s="517">
        <v>1.2500000000000001E-2</v>
      </c>
      <c r="AF43" s="500" t="s">
        <v>1546</v>
      </c>
      <c r="AG43" s="504"/>
      <c r="AH43" s="504"/>
      <c r="AI43" s="504"/>
      <c r="AJ43" s="504"/>
      <c r="AK43" s="2141" t="s">
        <v>1581</v>
      </c>
    </row>
    <row r="44" spans="1:37">
      <c r="A44" s="2149"/>
      <c r="B44" s="2149"/>
      <c r="C44" s="2149"/>
      <c r="D44" s="2149"/>
      <c r="E44" s="504" t="s">
        <v>1089</v>
      </c>
      <c r="F44" s="654" t="s">
        <v>1114</v>
      </c>
      <c r="G44" s="2149"/>
      <c r="H44" s="504">
        <v>94378</v>
      </c>
      <c r="I44" s="504" t="s">
        <v>34</v>
      </c>
      <c r="J44" s="504" t="s">
        <v>34</v>
      </c>
      <c r="K44" s="504" t="s">
        <v>34</v>
      </c>
      <c r="L44" s="504" t="s">
        <v>35</v>
      </c>
      <c r="M44" s="504" t="s">
        <v>36</v>
      </c>
      <c r="N44" s="2153"/>
      <c r="O44" s="2149"/>
      <c r="P44" s="2149"/>
      <c r="Q44" s="2149"/>
      <c r="R44" s="2149"/>
      <c r="S44" s="2149"/>
      <c r="T44" s="2149"/>
      <c r="U44" s="503">
        <v>251.75</v>
      </c>
      <c r="V44" s="504">
        <v>450.73</v>
      </c>
      <c r="W44" s="504">
        <v>36.24</v>
      </c>
      <c r="X44" s="504">
        <v>232.94</v>
      </c>
      <c r="Y44" s="504">
        <v>19.5</v>
      </c>
      <c r="Z44" s="504"/>
      <c r="AA44" s="499">
        <f t="shared" si="0"/>
        <v>4.2538995940000008</v>
      </c>
      <c r="AB44" s="504"/>
      <c r="AC44" s="517">
        <v>1.2500000000000001E-2</v>
      </c>
      <c r="AD44" s="517">
        <v>1.2500000000000001E-2</v>
      </c>
      <c r="AE44" s="517">
        <v>1.2500000000000001E-2</v>
      </c>
      <c r="AF44" s="500" t="s">
        <v>1546</v>
      </c>
      <c r="AG44" s="504"/>
      <c r="AH44" s="504"/>
      <c r="AI44" s="504"/>
      <c r="AJ44" s="504"/>
      <c r="AK44" s="2143"/>
    </row>
    <row r="45" spans="1:37">
      <c r="A45" s="2149">
        <v>16</v>
      </c>
      <c r="B45" s="2149" t="str">
        <f>B43</f>
        <v>YWD</v>
      </c>
      <c r="C45" s="2149" t="s">
        <v>29</v>
      </c>
      <c r="D45" s="2149" t="s">
        <v>1062</v>
      </c>
      <c r="E45" s="504" t="s">
        <v>1090</v>
      </c>
      <c r="F45" s="654" t="s">
        <v>1219</v>
      </c>
      <c r="G45" s="2149" t="str">
        <f>G43</f>
        <v>Akshit chandra</v>
      </c>
      <c r="H45" s="504">
        <v>26171</v>
      </c>
      <c r="I45" s="504" t="s">
        <v>34</v>
      </c>
      <c r="J45" s="504" t="s">
        <v>34</v>
      </c>
      <c r="K45" s="504" t="s">
        <v>34</v>
      </c>
      <c r="L45" s="504" t="s">
        <v>35</v>
      </c>
      <c r="M45" s="504" t="s">
        <v>36</v>
      </c>
      <c r="N45" s="2153">
        <f>N43</f>
        <v>43984</v>
      </c>
      <c r="O45" s="2149" t="s">
        <v>1122</v>
      </c>
      <c r="P45" s="2149" t="s">
        <v>1122</v>
      </c>
      <c r="Q45" s="2149" t="str">
        <f>Q43</f>
        <v>03.06.2020</v>
      </c>
      <c r="R45" s="2149" t="s">
        <v>1167</v>
      </c>
      <c r="S45" s="2149" t="s">
        <v>1217</v>
      </c>
      <c r="T45" s="2149" t="s">
        <v>1216</v>
      </c>
      <c r="U45" s="524">
        <v>123.9979706538625</v>
      </c>
      <c r="V45" s="525">
        <v>242.54444780431413</v>
      </c>
      <c r="W45" s="525">
        <v>21.05817906420992</v>
      </c>
      <c r="X45" s="525">
        <v>148.67015711697189</v>
      </c>
      <c r="Y45" s="504">
        <v>53.25</v>
      </c>
      <c r="Z45" s="504">
        <v>37.35</v>
      </c>
      <c r="AA45" s="499">
        <f t="shared" si="0"/>
        <v>0.63476307434867052</v>
      </c>
      <c r="AB45" s="504"/>
      <c r="AC45" s="531">
        <v>1.2500000000000001E-2</v>
      </c>
      <c r="AD45" s="531">
        <v>1.2500000000000001E-2</v>
      </c>
      <c r="AE45" s="531">
        <v>1.2500000000000001E-2</v>
      </c>
      <c r="AF45" s="500" t="s">
        <v>1546</v>
      </c>
      <c r="AG45" s="504"/>
      <c r="AH45" s="504"/>
      <c r="AI45" s="504"/>
      <c r="AJ45" s="504"/>
      <c r="AK45" s="2141" t="s">
        <v>1581</v>
      </c>
    </row>
    <row r="46" spans="1:37">
      <c r="A46" s="2149"/>
      <c r="B46" s="2149"/>
      <c r="C46" s="2149"/>
      <c r="D46" s="2149"/>
      <c r="E46" s="504" t="s">
        <v>1091</v>
      </c>
      <c r="F46" s="654" t="s">
        <v>1219</v>
      </c>
      <c r="G46" s="2149"/>
      <c r="H46" s="504">
        <v>68207</v>
      </c>
      <c r="I46" s="504" t="s">
        <v>34</v>
      </c>
      <c r="J46" s="504" t="s">
        <v>34</v>
      </c>
      <c r="K46" s="504" t="s">
        <v>34</v>
      </c>
      <c r="L46" s="504" t="s">
        <v>35</v>
      </c>
      <c r="M46" s="504" t="s">
        <v>36</v>
      </c>
      <c r="N46" s="2153"/>
      <c r="O46" s="2149"/>
      <c r="P46" s="2149"/>
      <c r="Q46" s="2149"/>
      <c r="R46" s="2149"/>
      <c r="S46" s="2149"/>
      <c r="T46" s="2149"/>
      <c r="U46" s="524">
        <v>315.71167428236248</v>
      </c>
      <c r="V46" s="525">
        <v>502.39992853961172</v>
      </c>
      <c r="W46" s="525">
        <v>37.722473361130639</v>
      </c>
      <c r="X46" s="525">
        <v>307.34658031336875</v>
      </c>
      <c r="Y46" s="525">
        <v>59.15</v>
      </c>
      <c r="Z46" s="525">
        <v>37.35</v>
      </c>
      <c r="AA46" s="499">
        <f t="shared" si="0"/>
        <v>3.4267191925901295</v>
      </c>
      <c r="AB46" s="504"/>
      <c r="AC46" s="531">
        <v>1.2500000000000001E-2</v>
      </c>
      <c r="AD46" s="531">
        <v>1.2500000000000001E-2</v>
      </c>
      <c r="AE46" s="531">
        <v>1.2500000000000001E-2</v>
      </c>
      <c r="AF46" s="500" t="s">
        <v>1546</v>
      </c>
      <c r="AG46" s="504"/>
      <c r="AH46" s="504"/>
      <c r="AI46" s="504"/>
      <c r="AJ46" s="504"/>
      <c r="AK46" s="2142"/>
    </row>
    <row r="47" spans="1:37">
      <c r="A47" s="2149"/>
      <c r="B47" s="2149"/>
      <c r="C47" s="2149"/>
      <c r="D47" s="2149"/>
      <c r="E47" s="504" t="s">
        <v>1094</v>
      </c>
      <c r="F47" s="654" t="s">
        <v>1220</v>
      </c>
      <c r="G47" s="2149"/>
      <c r="H47" s="504">
        <v>26171</v>
      </c>
      <c r="I47" s="504" t="s">
        <v>34</v>
      </c>
      <c r="J47" s="504" t="s">
        <v>34</v>
      </c>
      <c r="K47" s="504" t="s">
        <v>34</v>
      </c>
      <c r="L47" s="504" t="s">
        <v>35</v>
      </c>
      <c r="M47" s="504" t="s">
        <v>36</v>
      </c>
      <c r="N47" s="2153"/>
      <c r="O47" s="2149"/>
      <c r="P47" s="2149"/>
      <c r="Q47" s="2149"/>
      <c r="R47" s="2149"/>
      <c r="S47" s="2149"/>
      <c r="T47" s="2149"/>
      <c r="U47" s="524">
        <v>100.6370917861</v>
      </c>
      <c r="V47" s="525">
        <v>164.67656409649754</v>
      </c>
      <c r="W47" s="525">
        <v>9.3142880787377678</v>
      </c>
      <c r="X47" s="525">
        <v>50.64720536106001</v>
      </c>
      <c r="Y47" s="504">
        <v>3</v>
      </c>
      <c r="Z47" s="504"/>
      <c r="AA47" s="499">
        <f t="shared" si="0"/>
        <v>0.43097503589694369</v>
      </c>
      <c r="AB47" s="504"/>
      <c r="AC47" s="531">
        <v>1.2500000000000001E-2</v>
      </c>
      <c r="AD47" s="531">
        <v>1.2500000000000001E-2</v>
      </c>
      <c r="AE47" s="531">
        <v>1.2500000000000001E-2</v>
      </c>
      <c r="AF47" s="500" t="s">
        <v>1546</v>
      </c>
      <c r="AG47" s="504"/>
      <c r="AH47" s="504"/>
      <c r="AI47" s="504"/>
      <c r="AJ47" s="504"/>
      <c r="AK47" s="2142"/>
    </row>
    <row r="48" spans="1:37">
      <c r="A48" s="2149"/>
      <c r="B48" s="2149"/>
      <c r="C48" s="2149"/>
      <c r="D48" s="2149"/>
      <c r="E48" s="504" t="s">
        <v>1093</v>
      </c>
      <c r="F48" s="654" t="s">
        <v>1221</v>
      </c>
      <c r="G48" s="2149"/>
      <c r="H48" s="504">
        <v>26171</v>
      </c>
      <c r="I48" s="504" t="s">
        <v>34</v>
      </c>
      <c r="J48" s="504" t="s">
        <v>34</v>
      </c>
      <c r="K48" s="504" t="s">
        <v>34</v>
      </c>
      <c r="L48" s="504" t="s">
        <v>35</v>
      </c>
      <c r="M48" s="504" t="s">
        <v>36</v>
      </c>
      <c r="N48" s="2153"/>
      <c r="O48" s="2149"/>
      <c r="P48" s="2149"/>
      <c r="Q48" s="2149"/>
      <c r="R48" s="2149"/>
      <c r="S48" s="2149"/>
      <c r="T48" s="2149"/>
      <c r="U48" s="524">
        <v>123.9979706538625</v>
      </c>
      <c r="V48" s="525">
        <v>242.54444780431413</v>
      </c>
      <c r="W48" s="525">
        <v>21.05817906420992</v>
      </c>
      <c r="X48" s="525">
        <v>141.53453129695689</v>
      </c>
      <c r="Y48" s="504">
        <v>4.5</v>
      </c>
      <c r="Z48" s="504"/>
      <c r="AA48" s="499">
        <f t="shared" si="0"/>
        <v>0.63476307434867052</v>
      </c>
      <c r="AB48" s="504"/>
      <c r="AC48" s="531">
        <v>1.2500000000000001E-2</v>
      </c>
      <c r="AD48" s="531">
        <v>1.2500000000000001E-2</v>
      </c>
      <c r="AE48" s="531">
        <v>1.2500000000000001E-2</v>
      </c>
      <c r="AF48" s="500" t="s">
        <v>1546</v>
      </c>
      <c r="AG48" s="504"/>
      <c r="AH48" s="504"/>
      <c r="AI48" s="504"/>
      <c r="AJ48" s="504"/>
      <c r="AK48" s="2142"/>
    </row>
    <row r="49" spans="1:37">
      <c r="A49" s="2149"/>
      <c r="B49" s="2149"/>
      <c r="C49" s="2149"/>
      <c r="D49" s="2149"/>
      <c r="E49" s="504" t="s">
        <v>1092</v>
      </c>
      <c r="F49" s="654" t="s">
        <v>1222</v>
      </c>
      <c r="G49" s="2149"/>
      <c r="H49" s="504">
        <v>68207</v>
      </c>
      <c r="I49" s="504" t="s">
        <v>34</v>
      </c>
      <c r="J49" s="504" t="s">
        <v>34</v>
      </c>
      <c r="K49" s="504" t="s">
        <v>34</v>
      </c>
      <c r="L49" s="504" t="s">
        <v>35</v>
      </c>
      <c r="M49" s="504" t="s">
        <v>36</v>
      </c>
      <c r="N49" s="2153"/>
      <c r="O49" s="2149"/>
      <c r="P49" s="2149"/>
      <c r="Q49" s="2149"/>
      <c r="R49" s="2149"/>
      <c r="S49" s="2149"/>
      <c r="T49" s="2149"/>
      <c r="U49" s="524">
        <v>315.71167428236248</v>
      </c>
      <c r="V49" s="525">
        <v>502.39992853961172</v>
      </c>
      <c r="W49" s="525">
        <v>37.722473361130639</v>
      </c>
      <c r="X49" s="525">
        <v>300.384409293045</v>
      </c>
      <c r="Y49" s="504">
        <v>9</v>
      </c>
      <c r="Z49" s="504"/>
      <c r="AA49" s="499">
        <f t="shared" si="0"/>
        <v>3.4267191925901295</v>
      </c>
      <c r="AB49" s="504"/>
      <c r="AC49" s="531">
        <v>1.2500000000000001E-2</v>
      </c>
      <c r="AD49" s="531">
        <v>1.2500000000000001E-2</v>
      </c>
      <c r="AE49" s="531">
        <v>1.2500000000000001E-2</v>
      </c>
      <c r="AF49" s="500" t="s">
        <v>1546</v>
      </c>
      <c r="AG49" s="504"/>
      <c r="AH49" s="504"/>
      <c r="AI49" s="504"/>
      <c r="AJ49" s="504"/>
      <c r="AK49" s="2142"/>
    </row>
    <row r="50" spans="1:37">
      <c r="A50" s="2149"/>
      <c r="B50" s="2149"/>
      <c r="C50" s="2149"/>
      <c r="D50" s="2149"/>
      <c r="E50" s="504" t="s">
        <v>1095</v>
      </c>
      <c r="F50" s="654" t="s">
        <v>1223</v>
      </c>
      <c r="G50" s="2149"/>
      <c r="H50" s="504">
        <v>26171</v>
      </c>
      <c r="I50" s="504" t="s">
        <v>34</v>
      </c>
      <c r="J50" s="504" t="s">
        <v>34</v>
      </c>
      <c r="K50" s="504" t="s">
        <v>34</v>
      </c>
      <c r="L50" s="504" t="s">
        <v>35</v>
      </c>
      <c r="M50" s="504" t="s">
        <v>36</v>
      </c>
      <c r="N50" s="2153"/>
      <c r="O50" s="2149"/>
      <c r="P50" s="2149"/>
      <c r="Q50" s="2149"/>
      <c r="R50" s="2149"/>
      <c r="S50" s="2155"/>
      <c r="T50" s="2149"/>
      <c r="U50" s="524">
        <v>100.4012917861</v>
      </c>
      <c r="V50" s="525">
        <v>164.43201591649756</v>
      </c>
      <c r="W50" s="525">
        <v>9.3095720787377694</v>
      </c>
      <c r="X50" s="525">
        <v>50.64720536106001</v>
      </c>
      <c r="Y50" s="504">
        <v>3</v>
      </c>
      <c r="Z50" s="504"/>
      <c r="AA50" s="499">
        <f t="shared" si="0"/>
        <v>0.4303350288550658</v>
      </c>
      <c r="AB50" s="504"/>
      <c r="AC50" s="531">
        <v>1.2500000000000001E-2</v>
      </c>
      <c r="AD50" s="531">
        <v>1.2500000000000001E-2</v>
      </c>
      <c r="AE50" s="531">
        <v>1.2500000000000001E-2</v>
      </c>
      <c r="AF50" s="500" t="s">
        <v>1546</v>
      </c>
      <c r="AG50" s="504"/>
      <c r="AH50" s="504"/>
      <c r="AI50" s="504"/>
      <c r="AJ50" s="504"/>
      <c r="AK50" s="2143"/>
    </row>
    <row r="51" spans="1:37">
      <c r="A51" s="504">
        <v>17</v>
      </c>
      <c r="B51" s="504" t="str">
        <f>B45</f>
        <v>YWD</v>
      </c>
      <c r="C51" s="504" t="s">
        <v>29</v>
      </c>
      <c r="D51" s="504" t="s">
        <v>1063</v>
      </c>
      <c r="E51" s="504" t="s">
        <v>1096</v>
      </c>
      <c r="F51" s="654" t="s">
        <v>1115</v>
      </c>
      <c r="G51" s="504" t="str">
        <f>G45</f>
        <v>Akshit chandra</v>
      </c>
      <c r="H51" s="504">
        <v>94378</v>
      </c>
      <c r="I51" s="504" t="s">
        <v>34</v>
      </c>
      <c r="J51" s="504" t="s">
        <v>34</v>
      </c>
      <c r="K51" s="504" t="s">
        <v>34</v>
      </c>
      <c r="L51" s="504" t="s">
        <v>35</v>
      </c>
      <c r="M51" s="504" t="s">
        <v>36</v>
      </c>
      <c r="N51" s="651">
        <f>N45</f>
        <v>43984</v>
      </c>
      <c r="O51" s="504" t="s">
        <v>1122</v>
      </c>
      <c r="P51" s="504" t="s">
        <v>1245</v>
      </c>
      <c r="Q51" s="504" t="s">
        <v>1121</v>
      </c>
      <c r="R51" s="504" t="s">
        <v>1167</v>
      </c>
      <c r="S51" s="526" t="s">
        <v>1177</v>
      </c>
      <c r="T51" s="504" t="s">
        <v>1216</v>
      </c>
      <c r="U51" s="503">
        <v>101.53</v>
      </c>
      <c r="V51" s="504">
        <v>170.12</v>
      </c>
      <c r="W51" s="504">
        <v>10.17</v>
      </c>
      <c r="X51" s="504">
        <v>15.29</v>
      </c>
      <c r="Y51" s="504">
        <v>16.25</v>
      </c>
      <c r="Z51" s="504">
        <v>20.32</v>
      </c>
      <c r="AA51" s="499">
        <f t="shared" si="0"/>
        <v>1.6055585360000002</v>
      </c>
      <c r="AB51" s="504"/>
      <c r="AC51" s="526">
        <v>0.01</v>
      </c>
      <c r="AD51" s="526">
        <v>0.01</v>
      </c>
      <c r="AE51" s="526">
        <v>0.01</v>
      </c>
      <c r="AF51" s="500" t="s">
        <v>1546</v>
      </c>
      <c r="AG51" s="504"/>
      <c r="AH51" s="504"/>
      <c r="AI51" s="504"/>
      <c r="AJ51" s="504"/>
      <c r="AK51" s="523" t="s">
        <v>1581</v>
      </c>
    </row>
    <row r="52" spans="1:37">
      <c r="A52" s="504">
        <v>18</v>
      </c>
      <c r="B52" s="504" t="str">
        <f>B51</f>
        <v>YWD</v>
      </c>
      <c r="C52" s="504" t="s">
        <v>29</v>
      </c>
      <c r="D52" s="504" t="s">
        <v>1064</v>
      </c>
      <c r="E52" s="504" t="s">
        <v>1097</v>
      </c>
      <c r="F52" s="654" t="s">
        <v>1116</v>
      </c>
      <c r="G52" s="504" t="str">
        <f>G51</f>
        <v>Akshit chandra</v>
      </c>
      <c r="H52" s="504">
        <v>94378</v>
      </c>
      <c r="I52" s="504" t="s">
        <v>34</v>
      </c>
      <c r="J52" s="504" t="s">
        <v>34</v>
      </c>
      <c r="K52" s="504" t="s">
        <v>34</v>
      </c>
      <c r="L52" s="504" t="s">
        <v>35</v>
      </c>
      <c r="M52" s="504" t="s">
        <v>36</v>
      </c>
      <c r="N52" s="651">
        <f t="shared" ref="N52:N55" si="2">N51</f>
        <v>43984</v>
      </c>
      <c r="O52" s="504" t="s">
        <v>1122</v>
      </c>
      <c r="P52" s="504" t="s">
        <v>1245</v>
      </c>
      <c r="Q52" s="504" t="str">
        <f>Q51</f>
        <v>02.06.2020</v>
      </c>
      <c r="R52" s="504" t="s">
        <v>1167</v>
      </c>
      <c r="S52" s="526" t="s">
        <v>1213</v>
      </c>
      <c r="T52" s="504" t="s">
        <v>1216</v>
      </c>
      <c r="U52" s="503">
        <v>136.47999999999999</v>
      </c>
      <c r="V52" s="504">
        <v>200.46</v>
      </c>
      <c r="W52" s="504">
        <v>12.74</v>
      </c>
      <c r="X52" s="504">
        <v>88.26</v>
      </c>
      <c r="Y52" s="504">
        <v>11</v>
      </c>
      <c r="Z52" s="504">
        <v>14</v>
      </c>
      <c r="AA52" s="499">
        <f t="shared" si="0"/>
        <v>1.891901388</v>
      </c>
      <c r="AB52" s="504"/>
      <c r="AC52" s="526">
        <v>0.01</v>
      </c>
      <c r="AD52" s="526">
        <v>0.01</v>
      </c>
      <c r="AE52" s="526">
        <v>0.01</v>
      </c>
      <c r="AF52" s="500" t="s">
        <v>1546</v>
      </c>
      <c r="AG52" s="504"/>
      <c r="AH52" s="504"/>
      <c r="AI52" s="504"/>
      <c r="AJ52" s="504"/>
      <c r="AK52" s="523" t="s">
        <v>1581</v>
      </c>
    </row>
    <row r="53" spans="1:37">
      <c r="A53" s="504">
        <v>19</v>
      </c>
      <c r="B53" s="504" t="str">
        <f>B52</f>
        <v>YWD</v>
      </c>
      <c r="C53" s="504" t="s">
        <v>29</v>
      </c>
      <c r="D53" s="504" t="s">
        <v>1065</v>
      </c>
      <c r="E53" s="504" t="s">
        <v>1098</v>
      </c>
      <c r="F53" s="654" t="s">
        <v>1117</v>
      </c>
      <c r="G53" s="504" t="s">
        <v>461</v>
      </c>
      <c r="H53" s="504">
        <v>94378</v>
      </c>
      <c r="I53" s="504" t="s">
        <v>34</v>
      </c>
      <c r="J53" s="504" t="s">
        <v>34</v>
      </c>
      <c r="K53" s="504" t="s">
        <v>34</v>
      </c>
      <c r="L53" s="504" t="s">
        <v>35</v>
      </c>
      <c r="M53" s="504" t="s">
        <v>36</v>
      </c>
      <c r="N53" s="651">
        <f t="shared" si="2"/>
        <v>43984</v>
      </c>
      <c r="O53" s="504" t="s">
        <v>1122</v>
      </c>
      <c r="P53" s="504" t="s">
        <v>1245</v>
      </c>
      <c r="Q53" s="504" t="str">
        <f>Q52</f>
        <v>02.06.2020</v>
      </c>
      <c r="R53" s="504" t="s">
        <v>1167</v>
      </c>
      <c r="S53" s="526" t="s">
        <v>1212</v>
      </c>
      <c r="T53" s="504" t="s">
        <v>1216</v>
      </c>
      <c r="U53" s="503">
        <v>175.58</v>
      </c>
      <c r="V53" s="504">
        <v>267.66000000000003</v>
      </c>
      <c r="W53" s="504">
        <v>19.489999999999998</v>
      </c>
      <c r="X53" s="504">
        <v>10.199999999999999</v>
      </c>
      <c r="Y53" s="504">
        <v>10.08</v>
      </c>
      <c r="Z53" s="504">
        <v>9.44</v>
      </c>
      <c r="AA53" s="499">
        <f t="shared" si="0"/>
        <v>2.5261215480000003</v>
      </c>
      <c r="AB53" s="504"/>
      <c r="AC53" s="526">
        <v>0</v>
      </c>
      <c r="AD53" s="526">
        <v>0</v>
      </c>
      <c r="AE53" s="526">
        <v>0</v>
      </c>
      <c r="AF53" s="500" t="s">
        <v>1546</v>
      </c>
      <c r="AG53" s="504"/>
      <c r="AH53" s="504"/>
      <c r="AI53" s="504"/>
      <c r="AJ53" s="504"/>
      <c r="AK53" s="523" t="s">
        <v>1581</v>
      </c>
    </row>
    <row r="54" spans="1:37">
      <c r="A54" s="504">
        <v>20</v>
      </c>
      <c r="B54" s="504" t="str">
        <f>B53</f>
        <v>YWD</v>
      </c>
      <c r="C54" s="504" t="s">
        <v>29</v>
      </c>
      <c r="D54" s="504" t="s">
        <v>1066</v>
      </c>
      <c r="E54" s="504" t="s">
        <v>1099</v>
      </c>
      <c r="F54" s="654" t="s">
        <v>1118</v>
      </c>
      <c r="G54" s="504" t="s">
        <v>461</v>
      </c>
      <c r="H54" s="504">
        <v>94378</v>
      </c>
      <c r="I54" s="504" t="s">
        <v>34</v>
      </c>
      <c r="J54" s="504" t="s">
        <v>34</v>
      </c>
      <c r="K54" s="504" t="s">
        <v>34</v>
      </c>
      <c r="L54" s="504" t="s">
        <v>35</v>
      </c>
      <c r="M54" s="504" t="s">
        <v>36</v>
      </c>
      <c r="N54" s="651">
        <f t="shared" si="2"/>
        <v>43984</v>
      </c>
      <c r="O54" s="504" t="s">
        <v>1122</v>
      </c>
      <c r="P54" s="504" t="s">
        <v>1245</v>
      </c>
      <c r="Q54" s="504" t="str">
        <f>Q53</f>
        <v>02.06.2020</v>
      </c>
      <c r="R54" s="504" t="s">
        <v>1167</v>
      </c>
      <c r="S54" s="504" t="s">
        <v>1212</v>
      </c>
      <c r="T54" s="504" t="s">
        <v>1216</v>
      </c>
      <c r="U54" s="503">
        <v>140.15</v>
      </c>
      <c r="V54" s="504">
        <v>250.61</v>
      </c>
      <c r="W54" s="504">
        <v>19.760000000000002</v>
      </c>
      <c r="X54" s="504">
        <v>34.22</v>
      </c>
      <c r="Y54" s="504">
        <v>33.5</v>
      </c>
      <c r="Z54" s="504">
        <v>18.91</v>
      </c>
      <c r="AA54" s="499">
        <f t="shared" si="0"/>
        <v>2.3652070580000002</v>
      </c>
      <c r="AB54" s="504"/>
      <c r="AC54" s="526">
        <v>5.0000000000000001E-3</v>
      </c>
      <c r="AD54" s="526">
        <v>5.0000000000000001E-3</v>
      </c>
      <c r="AE54" s="526">
        <v>5.0000000000000001E-3</v>
      </c>
      <c r="AF54" s="500" t="s">
        <v>1546</v>
      </c>
      <c r="AG54" s="504"/>
      <c r="AH54" s="504"/>
      <c r="AI54" s="504"/>
      <c r="AJ54" s="504"/>
      <c r="AK54" s="523" t="s">
        <v>1581</v>
      </c>
    </row>
    <row r="55" spans="1:37">
      <c r="A55" s="504">
        <v>21</v>
      </c>
      <c r="B55" s="504" t="str">
        <f>B54</f>
        <v>YWD</v>
      </c>
      <c r="C55" s="504" t="s">
        <v>29</v>
      </c>
      <c r="D55" s="504" t="s">
        <v>1184</v>
      </c>
      <c r="E55" s="504" t="s">
        <v>1100</v>
      </c>
      <c r="F55" s="654" t="s">
        <v>1119</v>
      </c>
      <c r="G55" s="504" t="str">
        <f>G52</f>
        <v>Akshit chandra</v>
      </c>
      <c r="H55" s="504">
        <v>94378</v>
      </c>
      <c r="I55" s="504" t="s">
        <v>34</v>
      </c>
      <c r="J55" s="504" t="s">
        <v>34</v>
      </c>
      <c r="K55" s="504" t="s">
        <v>34</v>
      </c>
      <c r="L55" s="504" t="s">
        <v>35</v>
      </c>
      <c r="M55" s="504" t="s">
        <v>36</v>
      </c>
      <c r="N55" s="651">
        <f t="shared" si="2"/>
        <v>43984</v>
      </c>
      <c r="O55" s="504" t="s">
        <v>1122</v>
      </c>
      <c r="P55" s="504" t="s">
        <v>1245</v>
      </c>
      <c r="Q55" s="504" t="str">
        <f>Q54</f>
        <v>02.06.2020</v>
      </c>
      <c r="R55" s="504" t="s">
        <v>1167</v>
      </c>
      <c r="S55" s="504" t="s">
        <v>1169</v>
      </c>
      <c r="T55" s="504" t="s">
        <v>1216</v>
      </c>
      <c r="U55" s="503">
        <v>135.18</v>
      </c>
      <c r="V55" s="504">
        <v>283.27999999999997</v>
      </c>
      <c r="W55" s="504">
        <v>26.96</v>
      </c>
      <c r="X55" s="504">
        <v>18.84</v>
      </c>
      <c r="Y55" s="504">
        <v>26.5</v>
      </c>
      <c r="Z55" s="504">
        <v>13.63</v>
      </c>
      <c r="AA55" s="499">
        <f t="shared" si="0"/>
        <v>2.6735399839999996</v>
      </c>
      <c r="AB55" s="504"/>
      <c r="AC55" s="526">
        <v>2.5000000000000001E-3</v>
      </c>
      <c r="AD55" s="526">
        <v>2.5000000000000001E-3</v>
      </c>
      <c r="AE55" s="526">
        <v>2.5000000000000001E-3</v>
      </c>
      <c r="AF55" s="500" t="s">
        <v>1546</v>
      </c>
      <c r="AG55" s="504"/>
      <c r="AH55" s="504"/>
      <c r="AI55" s="504"/>
      <c r="AJ55" s="504"/>
      <c r="AK55" s="523" t="s">
        <v>1581</v>
      </c>
    </row>
    <row r="56" spans="1:37">
      <c r="A56" s="2149">
        <v>22</v>
      </c>
      <c r="B56" s="2149" t="s">
        <v>1030</v>
      </c>
      <c r="C56" s="2149" t="s">
        <v>29</v>
      </c>
      <c r="D56" s="2149" t="s">
        <v>1124</v>
      </c>
      <c r="E56" s="504" t="s">
        <v>1127</v>
      </c>
      <c r="F56" s="654" t="s">
        <v>1253</v>
      </c>
      <c r="G56" s="2149" t="s">
        <v>1120</v>
      </c>
      <c r="H56" s="504">
        <v>68207</v>
      </c>
      <c r="I56" s="504" t="s">
        <v>34</v>
      </c>
      <c r="J56" s="504" t="s">
        <v>34</v>
      </c>
      <c r="K56" s="504" t="s">
        <v>34</v>
      </c>
      <c r="L56" s="504" t="s">
        <v>35</v>
      </c>
      <c r="M56" s="504" t="s">
        <v>36</v>
      </c>
      <c r="N56" s="2153">
        <v>43997</v>
      </c>
      <c r="O56" s="2149" t="s">
        <v>1247</v>
      </c>
      <c r="P56" s="2149" t="s">
        <v>1247</v>
      </c>
      <c r="Q56" s="2149" t="s">
        <v>1167</v>
      </c>
      <c r="R56" s="2149" t="s">
        <v>1176</v>
      </c>
      <c r="S56" s="2149" t="s">
        <v>1238</v>
      </c>
      <c r="T56" s="2149" t="s">
        <v>1216</v>
      </c>
      <c r="U56" s="524">
        <v>962.29738058485168</v>
      </c>
      <c r="V56" s="525">
        <v>1472.4385654237697</v>
      </c>
      <c r="W56" s="525">
        <v>101.08233526215689</v>
      </c>
      <c r="X56" s="504">
        <v>634.02</v>
      </c>
      <c r="Y56" s="504">
        <v>101.75</v>
      </c>
      <c r="Z56" s="504">
        <v>58.1</v>
      </c>
      <c r="AA56" s="499">
        <f t="shared" si="0"/>
        <v>10.043061723185906</v>
      </c>
      <c r="AB56" s="504"/>
      <c r="AC56" s="531">
        <v>1.2500000000000001E-2</v>
      </c>
      <c r="AD56" s="531">
        <v>1.2500000000000001E-2</v>
      </c>
      <c r="AE56" s="531">
        <v>1.2500000000000001E-2</v>
      </c>
      <c r="AF56" s="500" t="s">
        <v>1546</v>
      </c>
      <c r="AG56" s="504"/>
      <c r="AH56" s="504"/>
      <c r="AI56" s="504"/>
      <c r="AJ56" s="504"/>
      <c r="AK56" s="2141" t="s">
        <v>1581</v>
      </c>
    </row>
    <row r="57" spans="1:37">
      <c r="A57" s="2149"/>
      <c r="B57" s="2149"/>
      <c r="C57" s="2149"/>
      <c r="D57" s="2149"/>
      <c r="E57" s="504" t="s">
        <v>1139</v>
      </c>
      <c r="F57" s="654" t="s">
        <v>1254</v>
      </c>
      <c r="G57" s="2149"/>
      <c r="H57" s="504">
        <v>26171</v>
      </c>
      <c r="I57" s="504" t="s">
        <v>34</v>
      </c>
      <c r="J57" s="504" t="s">
        <v>34</v>
      </c>
      <c r="K57" s="504" t="s">
        <v>34</v>
      </c>
      <c r="L57" s="504" t="s">
        <v>35</v>
      </c>
      <c r="M57" s="504" t="s">
        <v>36</v>
      </c>
      <c r="N57" s="2153"/>
      <c r="O57" s="2149"/>
      <c r="P57" s="2149"/>
      <c r="Q57" s="2149"/>
      <c r="R57" s="2149"/>
      <c r="S57" s="2149"/>
      <c r="T57" s="2149"/>
      <c r="U57" s="524">
        <v>108.2729497416</v>
      </c>
      <c r="V57" s="525">
        <v>201.68255252947961</v>
      </c>
      <c r="W57" s="525">
        <v>9.6298495379694842</v>
      </c>
      <c r="X57" s="504"/>
      <c r="Y57" s="504"/>
      <c r="Z57" s="504"/>
      <c r="AA57" s="499">
        <f t="shared" si="0"/>
        <v>0.52782340822490104</v>
      </c>
      <c r="AB57" s="504"/>
      <c r="AC57" s="531">
        <v>1.2500000000000001E-2</v>
      </c>
      <c r="AD57" s="531">
        <v>1.2500000000000001E-2</v>
      </c>
      <c r="AE57" s="531">
        <v>1.2500000000000001E-2</v>
      </c>
      <c r="AF57" s="500" t="s">
        <v>1546</v>
      </c>
      <c r="AG57" s="504"/>
      <c r="AH57" s="504"/>
      <c r="AI57" s="504"/>
      <c r="AJ57" s="504"/>
      <c r="AK57" s="2142"/>
    </row>
    <row r="58" spans="1:37">
      <c r="A58" s="2149"/>
      <c r="B58" s="2149"/>
      <c r="C58" s="2149"/>
      <c r="D58" s="2149"/>
      <c r="E58" s="504" t="s">
        <v>1129</v>
      </c>
      <c r="F58" s="654" t="s">
        <v>1255</v>
      </c>
      <c r="G58" s="2149"/>
      <c r="H58" s="504">
        <v>26171</v>
      </c>
      <c r="I58" s="504" t="s">
        <v>34</v>
      </c>
      <c r="J58" s="504" t="s">
        <v>34</v>
      </c>
      <c r="K58" s="504" t="s">
        <v>34</v>
      </c>
      <c r="L58" s="504" t="s">
        <v>35</v>
      </c>
      <c r="M58" s="504" t="s">
        <v>36</v>
      </c>
      <c r="N58" s="2153"/>
      <c r="O58" s="2149"/>
      <c r="P58" s="2149"/>
      <c r="Q58" s="2149"/>
      <c r="R58" s="2149"/>
      <c r="S58" s="2149"/>
      <c r="T58" s="2149"/>
      <c r="U58" s="524">
        <v>303.29650164205998</v>
      </c>
      <c r="V58" s="525">
        <v>446.13508011147934</v>
      </c>
      <c r="W58" s="525">
        <v>23.065930032841202</v>
      </c>
      <c r="X58" s="504"/>
      <c r="Y58" s="504"/>
      <c r="Z58" s="504"/>
      <c r="AA58" s="499">
        <f t="shared" si="0"/>
        <v>1.1675801181597525</v>
      </c>
      <c r="AB58" s="504"/>
      <c r="AC58" s="531">
        <v>5.0000000000000001E-3</v>
      </c>
      <c r="AD58" s="531">
        <v>5.0000000000000001E-3</v>
      </c>
      <c r="AE58" s="531">
        <v>5.0000000000000001E-3</v>
      </c>
      <c r="AF58" s="500" t="s">
        <v>1546</v>
      </c>
      <c r="AG58" s="504"/>
      <c r="AH58" s="504"/>
      <c r="AI58" s="504"/>
      <c r="AJ58" s="504"/>
      <c r="AK58" s="2142"/>
    </row>
    <row r="59" spans="1:37">
      <c r="A59" s="2149"/>
      <c r="B59" s="2149"/>
      <c r="C59" s="2149"/>
      <c r="D59" s="2149"/>
      <c r="E59" s="504" t="s">
        <v>1131</v>
      </c>
      <c r="F59" s="654" t="s">
        <v>1256</v>
      </c>
      <c r="G59" s="2149"/>
      <c r="H59" s="504">
        <v>26171</v>
      </c>
      <c r="I59" s="504" t="s">
        <v>34</v>
      </c>
      <c r="J59" s="504" t="s">
        <v>34</v>
      </c>
      <c r="K59" s="504" t="s">
        <v>34</v>
      </c>
      <c r="L59" s="504" t="s">
        <v>35</v>
      </c>
      <c r="M59" s="504" t="s">
        <v>36</v>
      </c>
      <c r="N59" s="2153"/>
      <c r="O59" s="2149"/>
      <c r="P59" s="2149"/>
      <c r="Q59" s="2149"/>
      <c r="R59" s="2149"/>
      <c r="S59" s="2149"/>
      <c r="T59" s="2149"/>
      <c r="U59" s="524">
        <v>2.711109859375</v>
      </c>
      <c r="V59" s="525">
        <v>10.887118198859605</v>
      </c>
      <c r="W59" s="525">
        <v>1.3342221971875003</v>
      </c>
      <c r="X59" s="504"/>
      <c r="Y59" s="504"/>
      <c r="Z59" s="504"/>
      <c r="AA59" s="499">
        <f t="shared" si="0"/>
        <v>2.8492677038235475E-2</v>
      </c>
      <c r="AB59" s="504"/>
      <c r="AC59" s="531">
        <v>0</v>
      </c>
      <c r="AD59" s="531">
        <v>0</v>
      </c>
      <c r="AE59" s="531">
        <v>0</v>
      </c>
      <c r="AF59" s="500" t="s">
        <v>1546</v>
      </c>
      <c r="AG59" s="504"/>
      <c r="AH59" s="504"/>
      <c r="AI59" s="504"/>
      <c r="AJ59" s="504"/>
      <c r="AK59" s="2142"/>
    </row>
    <row r="60" spans="1:37">
      <c r="A60" s="2149"/>
      <c r="B60" s="2149"/>
      <c r="C60" s="2149"/>
      <c r="D60" s="2149"/>
      <c r="E60" s="504" t="s">
        <v>1133</v>
      </c>
      <c r="F60" s="654" t="s">
        <v>1257</v>
      </c>
      <c r="G60" s="2149"/>
      <c r="H60" s="504">
        <v>26171</v>
      </c>
      <c r="I60" s="504" t="s">
        <v>34</v>
      </c>
      <c r="J60" s="504" t="s">
        <v>34</v>
      </c>
      <c r="K60" s="504" t="s">
        <v>34</v>
      </c>
      <c r="L60" s="504" t="s">
        <v>35</v>
      </c>
      <c r="M60" s="504" t="s">
        <v>36</v>
      </c>
      <c r="N60" s="2153"/>
      <c r="O60" s="2149"/>
      <c r="P60" s="2149"/>
      <c r="Q60" s="2149"/>
      <c r="R60" s="2149"/>
      <c r="S60" s="2149"/>
      <c r="T60" s="2149"/>
      <c r="U60" s="524">
        <v>3.7995304619354835</v>
      </c>
      <c r="V60" s="525">
        <v>14.167633522509707</v>
      </c>
      <c r="W60" s="525">
        <v>1.8359906092387099</v>
      </c>
      <c r="X60" s="504"/>
      <c r="Y60" s="504"/>
      <c r="Z60" s="504"/>
      <c r="AA60" s="499">
        <f t="shared" si="0"/>
        <v>3.7078113691760152E-2</v>
      </c>
      <c r="AB60" s="504"/>
      <c r="AC60" s="531">
        <v>0</v>
      </c>
      <c r="AD60" s="531">
        <v>0</v>
      </c>
      <c r="AE60" s="531">
        <v>0</v>
      </c>
      <c r="AF60" s="500" t="s">
        <v>1546</v>
      </c>
      <c r="AG60" s="504"/>
      <c r="AH60" s="504"/>
      <c r="AI60" s="504"/>
      <c r="AJ60" s="504"/>
      <c r="AK60" s="2142"/>
    </row>
    <row r="61" spans="1:37">
      <c r="A61" s="2149"/>
      <c r="B61" s="2149"/>
      <c r="C61" s="2149"/>
      <c r="D61" s="2149"/>
      <c r="E61" s="504" t="s">
        <v>1135</v>
      </c>
      <c r="F61" s="654" t="s">
        <v>1258</v>
      </c>
      <c r="G61" s="2149"/>
      <c r="H61" s="504">
        <v>26171</v>
      </c>
      <c r="I61" s="504" t="s">
        <v>34</v>
      </c>
      <c r="J61" s="504" t="s">
        <v>34</v>
      </c>
      <c r="K61" s="504" t="s">
        <v>34</v>
      </c>
      <c r="L61" s="504" t="s">
        <v>35</v>
      </c>
      <c r="M61" s="504" t="s">
        <v>36</v>
      </c>
      <c r="N61" s="2153"/>
      <c r="O61" s="2149"/>
      <c r="P61" s="2149"/>
      <c r="Q61" s="2149"/>
      <c r="R61" s="2149"/>
      <c r="S61" s="2149"/>
      <c r="T61" s="2149"/>
      <c r="U61" s="524">
        <v>68.573429463279993</v>
      </c>
      <c r="V61" s="525">
        <v>124.18140077467206</v>
      </c>
      <c r="W61" s="525">
        <v>8.7794685892656013</v>
      </c>
      <c r="X61" s="504"/>
      <c r="Y61" s="504"/>
      <c r="Z61" s="504"/>
      <c r="AA61" s="499">
        <f t="shared" si="0"/>
        <v>0.32499514396739426</v>
      </c>
      <c r="AB61" s="504"/>
      <c r="AC61" s="531">
        <v>1.2500000000000001E-2</v>
      </c>
      <c r="AD61" s="531">
        <v>1.2500000000000001E-2</v>
      </c>
      <c r="AE61" s="531">
        <v>1.2500000000000001E-2</v>
      </c>
      <c r="AF61" s="500" t="s">
        <v>1546</v>
      </c>
      <c r="AG61" s="504"/>
      <c r="AH61" s="504"/>
      <c r="AI61" s="504"/>
      <c r="AJ61" s="504"/>
      <c r="AK61" s="2142"/>
    </row>
    <row r="62" spans="1:37">
      <c r="A62" s="2149"/>
      <c r="B62" s="2149"/>
      <c r="C62" s="2149"/>
      <c r="D62" s="2149"/>
      <c r="E62" s="504" t="s">
        <v>1137</v>
      </c>
      <c r="F62" s="654" t="s">
        <v>1259</v>
      </c>
      <c r="G62" s="2149"/>
      <c r="H62" s="504">
        <v>26171</v>
      </c>
      <c r="I62" s="504" t="s">
        <v>34</v>
      </c>
      <c r="J62" s="504" t="s">
        <v>34</v>
      </c>
      <c r="K62" s="504" t="s">
        <v>34</v>
      </c>
      <c r="L62" s="504" t="s">
        <v>35</v>
      </c>
      <c r="M62" s="504" t="s">
        <v>36</v>
      </c>
      <c r="N62" s="2153"/>
      <c r="O62" s="2149"/>
      <c r="P62" s="2149"/>
      <c r="Q62" s="2149"/>
      <c r="R62" s="2149"/>
      <c r="S62" s="2149"/>
      <c r="T62" s="2149"/>
      <c r="U62" s="524">
        <v>68.573429463279993</v>
      </c>
      <c r="V62" s="525">
        <v>124.18140077467206</v>
      </c>
      <c r="W62" s="525">
        <v>8.7794685892656013</v>
      </c>
      <c r="X62" s="504"/>
      <c r="Y62" s="504"/>
      <c r="Z62" s="504"/>
      <c r="AA62" s="499">
        <f t="shared" si="0"/>
        <v>0.32499514396739426</v>
      </c>
      <c r="AB62" s="504"/>
      <c r="AC62" s="531">
        <v>1.2500000000000001E-2</v>
      </c>
      <c r="AD62" s="531">
        <v>1.2500000000000001E-2</v>
      </c>
      <c r="AE62" s="531">
        <v>1.2500000000000001E-2</v>
      </c>
      <c r="AF62" s="500" t="s">
        <v>1546</v>
      </c>
      <c r="AG62" s="504"/>
      <c r="AH62" s="504"/>
      <c r="AI62" s="504"/>
      <c r="AJ62" s="504"/>
      <c r="AK62" s="2142"/>
    </row>
    <row r="63" spans="1:37">
      <c r="A63" s="2149"/>
      <c r="B63" s="2149"/>
      <c r="C63" s="2149"/>
      <c r="D63" s="2149"/>
      <c r="E63" s="504" t="s">
        <v>1125</v>
      </c>
      <c r="F63" s="654" t="s">
        <v>1260</v>
      </c>
      <c r="G63" s="2149"/>
      <c r="H63" s="504">
        <v>52342</v>
      </c>
      <c r="I63" s="504" t="s">
        <v>34</v>
      </c>
      <c r="J63" s="504" t="s">
        <v>34</v>
      </c>
      <c r="K63" s="504" t="s">
        <v>34</v>
      </c>
      <c r="L63" s="504" t="s">
        <v>35</v>
      </c>
      <c r="M63" s="504" t="s">
        <v>36</v>
      </c>
      <c r="N63" s="2153"/>
      <c r="O63" s="2149"/>
      <c r="P63" s="2149"/>
      <c r="Q63" s="2149"/>
      <c r="R63" s="2149"/>
      <c r="S63" s="2149"/>
      <c r="T63" s="2149"/>
      <c r="U63" s="524">
        <v>3.1946012000000001</v>
      </c>
      <c r="V63" s="525">
        <v>10.118330939891221</v>
      </c>
      <c r="W63" s="525">
        <v>1.1838920240000002</v>
      </c>
      <c r="X63" s="504"/>
      <c r="Y63" s="504"/>
      <c r="Z63" s="504"/>
      <c r="AA63" s="499">
        <f t="shared" si="0"/>
        <v>5.2961367805578627E-2</v>
      </c>
      <c r="AB63" s="504"/>
      <c r="AC63" s="531">
        <v>0</v>
      </c>
      <c r="AD63" s="531">
        <v>0</v>
      </c>
      <c r="AE63" s="531">
        <v>0</v>
      </c>
      <c r="AF63" s="500" t="s">
        <v>1546</v>
      </c>
      <c r="AG63" s="504"/>
      <c r="AH63" s="504"/>
      <c r="AI63" s="504"/>
      <c r="AJ63" s="504"/>
      <c r="AK63" s="2143"/>
    </row>
    <row r="64" spans="1:37">
      <c r="A64" s="2149">
        <v>23</v>
      </c>
      <c r="B64" s="2149" t="s">
        <v>1030</v>
      </c>
      <c r="C64" s="2149" t="s">
        <v>29</v>
      </c>
      <c r="D64" s="2149" t="s">
        <v>1141</v>
      </c>
      <c r="E64" s="504" t="s">
        <v>1142</v>
      </c>
      <c r="F64" s="654" t="s">
        <v>1143</v>
      </c>
      <c r="G64" s="2149" t="s">
        <v>1120</v>
      </c>
      <c r="H64" s="504">
        <v>52342</v>
      </c>
      <c r="I64" s="504" t="s">
        <v>34</v>
      </c>
      <c r="J64" s="504" t="s">
        <v>34</v>
      </c>
      <c r="K64" s="504" t="s">
        <v>34</v>
      </c>
      <c r="L64" s="504" t="s">
        <v>35</v>
      </c>
      <c r="M64" s="504" t="s">
        <v>36</v>
      </c>
      <c r="N64" s="2153">
        <v>43997</v>
      </c>
      <c r="O64" s="2149" t="s">
        <v>1247</v>
      </c>
      <c r="P64" s="2149" t="s">
        <v>1247</v>
      </c>
      <c r="Q64" s="2149" t="s">
        <v>1167</v>
      </c>
      <c r="R64" s="2149" t="s">
        <v>1176</v>
      </c>
      <c r="S64" s="2149" t="s">
        <v>1244</v>
      </c>
      <c r="T64" s="2149" t="s">
        <v>1216</v>
      </c>
      <c r="U64" s="524">
        <v>0.86521613520000018</v>
      </c>
      <c r="V64" s="525">
        <v>9.2699094710788543</v>
      </c>
      <c r="W64" s="525">
        <v>1.1373043227040001</v>
      </c>
      <c r="X64" s="525">
        <v>3.1212715089806249</v>
      </c>
      <c r="Y64" s="525">
        <v>0.75</v>
      </c>
      <c r="Z64" s="504"/>
      <c r="AA64" s="499">
        <f t="shared" si="0"/>
        <v>4.8520560153520936E-2</v>
      </c>
      <c r="AB64" s="504"/>
      <c r="AC64" s="531">
        <v>0</v>
      </c>
      <c r="AD64" s="531">
        <v>0</v>
      </c>
      <c r="AE64" s="531">
        <v>0</v>
      </c>
      <c r="AF64" s="500" t="s">
        <v>1546</v>
      </c>
      <c r="AG64" s="504"/>
      <c r="AH64" s="504"/>
      <c r="AI64" s="504"/>
      <c r="AJ64" s="504"/>
      <c r="AK64" s="2141" t="s">
        <v>1581</v>
      </c>
    </row>
    <row r="65" spans="1:37">
      <c r="A65" s="2149"/>
      <c r="B65" s="2149"/>
      <c r="C65" s="2149"/>
      <c r="D65" s="2149"/>
      <c r="E65" s="504" t="s">
        <v>1144</v>
      </c>
      <c r="F65" s="654" t="s">
        <v>1145</v>
      </c>
      <c r="G65" s="2149"/>
      <c r="H65" s="504">
        <v>52342</v>
      </c>
      <c r="I65" s="504" t="s">
        <v>34</v>
      </c>
      <c r="J65" s="504" t="s">
        <v>34</v>
      </c>
      <c r="K65" s="504" t="s">
        <v>34</v>
      </c>
      <c r="L65" s="504" t="s">
        <v>35</v>
      </c>
      <c r="M65" s="504" t="s">
        <v>36</v>
      </c>
      <c r="N65" s="2153"/>
      <c r="O65" s="2149"/>
      <c r="P65" s="2149"/>
      <c r="Q65" s="2149"/>
      <c r="R65" s="2149"/>
      <c r="S65" s="2149"/>
      <c r="T65" s="2149"/>
      <c r="U65" s="524">
        <v>6.2874208149999999</v>
      </c>
      <c r="V65" s="525">
        <v>14.594691314671854</v>
      </c>
      <c r="W65" s="525">
        <v>1.1817484163</v>
      </c>
      <c r="X65" s="525">
        <v>3.1640252537643754</v>
      </c>
      <c r="Y65" s="525">
        <v>0.75</v>
      </c>
      <c r="Z65" s="504"/>
      <c r="AA65" s="499">
        <f t="shared" si="0"/>
        <v>7.6391533279255422E-2</v>
      </c>
      <c r="AB65" s="504"/>
      <c r="AC65" s="531">
        <v>0</v>
      </c>
      <c r="AD65" s="531">
        <v>0</v>
      </c>
      <c r="AE65" s="531">
        <v>0</v>
      </c>
      <c r="AF65" s="500" t="s">
        <v>1546</v>
      </c>
      <c r="AG65" s="504"/>
      <c r="AH65" s="504"/>
      <c r="AI65" s="504"/>
      <c r="AJ65" s="504"/>
      <c r="AK65" s="2142"/>
    </row>
    <row r="66" spans="1:37">
      <c r="A66" s="2149"/>
      <c r="B66" s="2149"/>
      <c r="C66" s="2149"/>
      <c r="D66" s="2149"/>
      <c r="E66" s="504" t="s">
        <v>1146</v>
      </c>
      <c r="F66" s="654" t="s">
        <v>1147</v>
      </c>
      <c r="G66" s="2149"/>
      <c r="H66" s="504">
        <v>68207</v>
      </c>
      <c r="I66" s="504" t="s">
        <v>34</v>
      </c>
      <c r="J66" s="504" t="s">
        <v>34</v>
      </c>
      <c r="K66" s="504" t="s">
        <v>34</v>
      </c>
      <c r="L66" s="504" t="s">
        <v>35</v>
      </c>
      <c r="M66" s="504" t="s">
        <v>36</v>
      </c>
      <c r="N66" s="2153"/>
      <c r="O66" s="2149"/>
      <c r="P66" s="2149"/>
      <c r="Q66" s="2149"/>
      <c r="R66" s="2149"/>
      <c r="S66" s="2149"/>
      <c r="T66" s="2149"/>
      <c r="U66" s="524">
        <v>198.09430683084997</v>
      </c>
      <c r="V66" s="525">
        <v>316.17359907607357</v>
      </c>
      <c r="W66" s="525">
        <v>25.086695214053652</v>
      </c>
      <c r="X66" s="525">
        <v>209.0027112507469</v>
      </c>
      <c r="Y66" s="525">
        <v>31.5</v>
      </c>
      <c r="Z66" s="525">
        <v>17.3</v>
      </c>
      <c r="AA66" s="499">
        <f t="shared" si="0"/>
        <v>2.1565252672181749</v>
      </c>
      <c r="AB66" s="504"/>
      <c r="AC66" s="531">
        <v>0.01</v>
      </c>
      <c r="AD66" s="531">
        <v>0.01</v>
      </c>
      <c r="AE66" s="531">
        <v>0.01</v>
      </c>
      <c r="AF66" s="500" t="s">
        <v>1546</v>
      </c>
      <c r="AG66" s="504"/>
      <c r="AH66" s="504"/>
      <c r="AI66" s="504"/>
      <c r="AJ66" s="504"/>
      <c r="AK66" s="2142"/>
    </row>
    <row r="67" spans="1:37">
      <c r="A67" s="2149"/>
      <c r="B67" s="2149"/>
      <c r="C67" s="2149"/>
      <c r="D67" s="2149"/>
      <c r="E67" s="504" t="s">
        <v>1148</v>
      </c>
      <c r="F67" s="654" t="s">
        <v>1149</v>
      </c>
      <c r="G67" s="2149"/>
      <c r="H67" s="504">
        <v>26171</v>
      </c>
      <c r="I67" s="504" t="s">
        <v>34</v>
      </c>
      <c r="J67" s="504" t="s">
        <v>34</v>
      </c>
      <c r="K67" s="504" t="s">
        <v>34</v>
      </c>
      <c r="L67" s="504" t="s">
        <v>35</v>
      </c>
      <c r="M67" s="504" t="s">
        <v>36</v>
      </c>
      <c r="N67" s="2153"/>
      <c r="O67" s="2149"/>
      <c r="P67" s="2149"/>
      <c r="Q67" s="2149"/>
      <c r="R67" s="2149"/>
      <c r="S67" s="2149"/>
      <c r="T67" s="2149"/>
      <c r="U67" s="524">
        <v>176.34826967040001</v>
      </c>
      <c r="V67" s="525">
        <v>261.3348698800109</v>
      </c>
      <c r="W67" s="525">
        <v>17.446965393408004</v>
      </c>
      <c r="X67" s="525" t="s">
        <v>1261</v>
      </c>
      <c r="Y67" s="504"/>
      <c r="Z67" s="504"/>
      <c r="AA67" s="499">
        <f t="shared" ref="AA67:AA130" si="3">H67*V67/10^7</f>
        <v>0.68393948796297654</v>
      </c>
      <c r="AB67" s="504"/>
      <c r="AC67" s="531">
        <v>7.4999999999999997E-3</v>
      </c>
      <c r="AD67" s="531">
        <v>7.4999999999999997E-3</v>
      </c>
      <c r="AE67" s="531">
        <v>7.4999999999999997E-3</v>
      </c>
      <c r="AF67" s="500" t="s">
        <v>1546</v>
      </c>
      <c r="AG67" s="504"/>
      <c r="AH67" s="504"/>
      <c r="AI67" s="504"/>
      <c r="AJ67" s="504"/>
      <c r="AK67" s="2142"/>
    </row>
    <row r="68" spans="1:37">
      <c r="A68" s="2149"/>
      <c r="B68" s="2149"/>
      <c r="C68" s="2149"/>
      <c r="D68" s="2149"/>
      <c r="E68" s="504" t="s">
        <v>1150</v>
      </c>
      <c r="F68" s="654" t="s">
        <v>1151</v>
      </c>
      <c r="G68" s="2149"/>
      <c r="H68" s="504">
        <v>26171</v>
      </c>
      <c r="I68" s="504" t="s">
        <v>34</v>
      </c>
      <c r="J68" s="504" t="s">
        <v>34</v>
      </c>
      <c r="K68" s="504" t="s">
        <v>34</v>
      </c>
      <c r="L68" s="504" t="s">
        <v>35</v>
      </c>
      <c r="M68" s="504" t="s">
        <v>36</v>
      </c>
      <c r="N68" s="2153"/>
      <c r="O68" s="2149"/>
      <c r="P68" s="2149"/>
      <c r="Q68" s="2149"/>
      <c r="R68" s="2149"/>
      <c r="S68" s="2149"/>
      <c r="T68" s="2149"/>
      <c r="U68" s="524">
        <v>10.556815199999997</v>
      </c>
      <c r="V68" s="525">
        <v>24.529436725369074</v>
      </c>
      <c r="W68" s="525">
        <v>1.611136304</v>
      </c>
      <c r="X68" s="525" t="s">
        <v>1261</v>
      </c>
      <c r="Y68" s="504"/>
      <c r="Z68" s="504"/>
      <c r="AA68" s="499">
        <f t="shared" si="3"/>
        <v>6.4195988853963409E-2</v>
      </c>
      <c r="AB68" s="504"/>
      <c r="AC68" s="531">
        <v>0</v>
      </c>
      <c r="AD68" s="531">
        <v>0</v>
      </c>
      <c r="AE68" s="531">
        <v>0</v>
      </c>
      <c r="AF68" s="500" t="s">
        <v>1546</v>
      </c>
      <c r="AG68" s="504"/>
      <c r="AH68" s="504"/>
      <c r="AI68" s="504"/>
      <c r="AJ68" s="504"/>
      <c r="AK68" s="2142"/>
    </row>
    <row r="69" spans="1:37">
      <c r="A69" s="2149"/>
      <c r="B69" s="2149"/>
      <c r="C69" s="2149"/>
      <c r="D69" s="2149"/>
      <c r="E69" s="504" t="s">
        <v>1152</v>
      </c>
      <c r="F69" s="654" t="s">
        <v>1153</v>
      </c>
      <c r="G69" s="2149"/>
      <c r="H69" s="504">
        <v>26171</v>
      </c>
      <c r="I69" s="504" t="s">
        <v>34</v>
      </c>
      <c r="J69" s="504" t="s">
        <v>34</v>
      </c>
      <c r="K69" s="504" t="s">
        <v>34</v>
      </c>
      <c r="L69" s="504" t="s">
        <v>35</v>
      </c>
      <c r="M69" s="504" t="s">
        <v>36</v>
      </c>
      <c r="N69" s="2153"/>
      <c r="O69" s="2149"/>
      <c r="P69" s="2149"/>
      <c r="Q69" s="2149"/>
      <c r="R69" s="2149"/>
      <c r="S69" s="2149"/>
      <c r="T69" s="2149"/>
      <c r="U69" s="524">
        <v>8.9908717437500005</v>
      </c>
      <c r="V69" s="525">
        <v>28.870469933876723</v>
      </c>
      <c r="W69" s="525">
        <v>3.1523958263338789</v>
      </c>
      <c r="X69" s="525" t="s">
        <v>1261</v>
      </c>
      <c r="Y69" s="504"/>
      <c r="Z69" s="504"/>
      <c r="AA69" s="499">
        <f t="shared" si="3"/>
        <v>7.5556906863948767E-2</v>
      </c>
      <c r="AB69" s="504"/>
      <c r="AC69" s="531">
        <v>0</v>
      </c>
      <c r="AD69" s="531">
        <v>0</v>
      </c>
      <c r="AE69" s="531">
        <v>0</v>
      </c>
      <c r="AF69" s="500" t="s">
        <v>1546</v>
      </c>
      <c r="AG69" s="504"/>
      <c r="AH69" s="504"/>
      <c r="AI69" s="504"/>
      <c r="AJ69" s="504"/>
      <c r="AK69" s="2142"/>
    </row>
    <row r="70" spans="1:37">
      <c r="A70" s="2149"/>
      <c r="B70" s="2149"/>
      <c r="C70" s="2149"/>
      <c r="D70" s="2149"/>
      <c r="E70" s="504" t="s">
        <v>1154</v>
      </c>
      <c r="F70" s="654" t="s">
        <v>1155</v>
      </c>
      <c r="G70" s="2149"/>
      <c r="H70" s="504">
        <v>68207</v>
      </c>
      <c r="I70" s="504" t="s">
        <v>34</v>
      </c>
      <c r="J70" s="504" t="s">
        <v>34</v>
      </c>
      <c r="K70" s="504" t="s">
        <v>34</v>
      </c>
      <c r="L70" s="504" t="s">
        <v>35</v>
      </c>
      <c r="M70" s="504" t="s">
        <v>36</v>
      </c>
      <c r="N70" s="2153"/>
      <c r="O70" s="2149"/>
      <c r="P70" s="2149"/>
      <c r="Q70" s="2149"/>
      <c r="R70" s="2149"/>
      <c r="S70" s="2149"/>
      <c r="T70" s="2149"/>
      <c r="U70" s="524">
        <v>194.00766683084998</v>
      </c>
      <c r="V70" s="525">
        <v>311.04642667607357</v>
      </c>
      <c r="W70" s="525">
        <v>24.804962414053652</v>
      </c>
      <c r="X70" s="525">
        <v>201.39910479164439</v>
      </c>
      <c r="Y70" s="525">
        <v>27.25</v>
      </c>
      <c r="Z70" s="525">
        <v>17.3</v>
      </c>
      <c r="AA70" s="499">
        <f t="shared" si="3"/>
        <v>2.1215543624294946</v>
      </c>
      <c r="AB70" s="504"/>
      <c r="AC70" s="531">
        <v>0.01</v>
      </c>
      <c r="AD70" s="531">
        <v>0.01</v>
      </c>
      <c r="AE70" s="531">
        <v>0.01</v>
      </c>
      <c r="AF70" s="500" t="s">
        <v>1546</v>
      </c>
      <c r="AG70" s="504"/>
      <c r="AH70" s="504"/>
      <c r="AI70" s="504"/>
      <c r="AJ70" s="504"/>
      <c r="AK70" s="2142"/>
    </row>
    <row r="71" spans="1:37">
      <c r="A71" s="2149"/>
      <c r="B71" s="2149"/>
      <c r="C71" s="2149"/>
      <c r="D71" s="2149"/>
      <c r="E71" s="504" t="s">
        <v>1156</v>
      </c>
      <c r="F71" s="654" t="s">
        <v>1157</v>
      </c>
      <c r="G71" s="2149"/>
      <c r="H71" s="504">
        <v>26171</v>
      </c>
      <c r="I71" s="504" t="s">
        <v>34</v>
      </c>
      <c r="J71" s="504" t="s">
        <v>34</v>
      </c>
      <c r="K71" s="504" t="s">
        <v>34</v>
      </c>
      <c r="L71" s="504" t="s">
        <v>35</v>
      </c>
      <c r="M71" s="504" t="s">
        <v>36</v>
      </c>
      <c r="N71" s="2153"/>
      <c r="O71" s="2149"/>
      <c r="P71" s="2149"/>
      <c r="Q71" s="2149"/>
      <c r="R71" s="2149"/>
      <c r="S71" s="2149"/>
      <c r="T71" s="2149"/>
      <c r="U71" s="524">
        <v>172.25638967040001</v>
      </c>
      <c r="V71" s="525">
        <v>256.20227408001091</v>
      </c>
      <c r="W71" s="525">
        <v>17.165127793408004</v>
      </c>
      <c r="X71" s="525" t="s">
        <v>1261</v>
      </c>
      <c r="Y71" s="504"/>
      <c r="Z71" s="504"/>
      <c r="AA71" s="499">
        <f t="shared" si="3"/>
        <v>0.67050697149479654</v>
      </c>
      <c r="AB71" s="504"/>
      <c r="AC71" s="531">
        <v>7.4999999999999997E-3</v>
      </c>
      <c r="AD71" s="531">
        <v>7.4999999999999997E-3</v>
      </c>
      <c r="AE71" s="531">
        <v>7.4999999999999997E-3</v>
      </c>
      <c r="AF71" s="500" t="s">
        <v>1546</v>
      </c>
      <c r="AG71" s="504"/>
      <c r="AH71" s="504"/>
      <c r="AI71" s="504"/>
      <c r="AJ71" s="504"/>
      <c r="AK71" s="2142"/>
    </row>
    <row r="72" spans="1:37">
      <c r="A72" s="2149"/>
      <c r="B72" s="2149"/>
      <c r="C72" s="2149"/>
      <c r="D72" s="2149"/>
      <c r="E72" s="504" t="s">
        <v>1158</v>
      </c>
      <c r="F72" s="654" t="s">
        <v>1159</v>
      </c>
      <c r="G72" s="2149"/>
      <c r="H72" s="504">
        <v>26171</v>
      </c>
      <c r="I72" s="504" t="s">
        <v>34</v>
      </c>
      <c r="J72" s="504" t="s">
        <v>34</v>
      </c>
      <c r="K72" s="504" t="s">
        <v>34</v>
      </c>
      <c r="L72" s="504" t="s">
        <v>35</v>
      </c>
      <c r="M72" s="504" t="s">
        <v>36</v>
      </c>
      <c r="N72" s="2153"/>
      <c r="O72" s="2149"/>
      <c r="P72" s="2149"/>
      <c r="Q72" s="2149"/>
      <c r="R72" s="2149"/>
      <c r="S72" s="2149"/>
      <c r="T72" s="2149"/>
      <c r="U72" s="524">
        <v>10.556815199999997</v>
      </c>
      <c r="V72" s="525">
        <v>24.529436725369074</v>
      </c>
      <c r="W72" s="525">
        <v>1.611136304</v>
      </c>
      <c r="X72" s="525" t="s">
        <v>1261</v>
      </c>
      <c r="Y72" s="504"/>
      <c r="Z72" s="504"/>
      <c r="AA72" s="499">
        <f t="shared" si="3"/>
        <v>6.4195988853963409E-2</v>
      </c>
      <c r="AB72" s="504"/>
      <c r="AC72" s="531">
        <v>0</v>
      </c>
      <c r="AD72" s="531">
        <v>0</v>
      </c>
      <c r="AE72" s="531">
        <v>0</v>
      </c>
      <c r="AF72" s="500" t="s">
        <v>1546</v>
      </c>
      <c r="AG72" s="504"/>
      <c r="AH72" s="504"/>
      <c r="AI72" s="504"/>
      <c r="AJ72" s="504"/>
      <c r="AK72" s="2142"/>
    </row>
    <row r="73" spans="1:37">
      <c r="A73" s="2149"/>
      <c r="B73" s="2149"/>
      <c r="C73" s="2149"/>
      <c r="D73" s="2149"/>
      <c r="E73" s="504" t="s">
        <v>1160</v>
      </c>
      <c r="F73" s="654" t="s">
        <v>1161</v>
      </c>
      <c r="G73" s="2149"/>
      <c r="H73" s="504">
        <v>26171</v>
      </c>
      <c r="I73" s="504" t="s">
        <v>34</v>
      </c>
      <c r="J73" s="504" t="s">
        <v>34</v>
      </c>
      <c r="K73" s="504" t="s">
        <v>34</v>
      </c>
      <c r="L73" s="504" t="s">
        <v>35</v>
      </c>
      <c r="M73" s="504" t="s">
        <v>36</v>
      </c>
      <c r="N73" s="2153"/>
      <c r="O73" s="2149"/>
      <c r="P73" s="2149"/>
      <c r="Q73" s="2149"/>
      <c r="R73" s="2149"/>
      <c r="S73" s="2149"/>
      <c r="T73" s="2149"/>
      <c r="U73" s="524">
        <v>8.9908717437500005</v>
      </c>
      <c r="V73" s="525">
        <v>28.88229744648871</v>
      </c>
      <c r="W73" s="525">
        <v>3.1523958263338789</v>
      </c>
      <c r="X73" s="525" t="s">
        <v>1261</v>
      </c>
      <c r="Y73" s="504"/>
      <c r="Z73" s="504"/>
      <c r="AA73" s="499">
        <f t="shared" si="3"/>
        <v>7.5587860647205601E-2</v>
      </c>
      <c r="AB73" s="504"/>
      <c r="AC73" s="531">
        <v>0</v>
      </c>
      <c r="AD73" s="531">
        <v>0</v>
      </c>
      <c r="AE73" s="531">
        <v>0</v>
      </c>
      <c r="AF73" s="500" t="s">
        <v>1546</v>
      </c>
      <c r="AG73" s="504"/>
      <c r="AH73" s="504"/>
      <c r="AI73" s="504"/>
      <c r="AJ73" s="504"/>
      <c r="AK73" s="2143"/>
    </row>
    <row r="74" spans="1:37" ht="19.5" customHeight="1">
      <c r="A74" s="2149">
        <v>24</v>
      </c>
      <c r="B74" s="2149" t="s">
        <v>1030</v>
      </c>
      <c r="C74" s="2149" t="s">
        <v>29</v>
      </c>
      <c r="D74" s="2149" t="s">
        <v>1162</v>
      </c>
      <c r="E74" s="504" t="s">
        <v>1163</v>
      </c>
      <c r="F74" s="654" t="s">
        <v>1164</v>
      </c>
      <c r="G74" s="2149" t="s">
        <v>1120</v>
      </c>
      <c r="H74" s="504">
        <v>68207</v>
      </c>
      <c r="I74" s="504" t="s">
        <v>34</v>
      </c>
      <c r="J74" s="504" t="s">
        <v>34</v>
      </c>
      <c r="K74" s="504" t="s">
        <v>34</v>
      </c>
      <c r="L74" s="504" t="s">
        <v>35</v>
      </c>
      <c r="M74" s="504" t="s">
        <v>36</v>
      </c>
      <c r="N74" s="2153">
        <v>43997</v>
      </c>
      <c r="O74" s="2149" t="s">
        <v>1247</v>
      </c>
      <c r="P74" s="2149" t="s">
        <v>1248</v>
      </c>
      <c r="Q74" s="2149" t="s">
        <v>1167</v>
      </c>
      <c r="R74" s="2149" t="s">
        <v>1176</v>
      </c>
      <c r="S74" s="2149" t="s">
        <v>1244</v>
      </c>
      <c r="T74" s="2149" t="s">
        <v>1216</v>
      </c>
      <c r="U74" s="524">
        <v>444.55812566591305</v>
      </c>
      <c r="V74" s="525">
        <v>679.49711841401108</v>
      </c>
      <c r="W74" s="525">
        <v>46.95683690707466</v>
      </c>
      <c r="X74" s="525">
        <v>444.97515792700165</v>
      </c>
      <c r="Y74" s="525">
        <v>44</v>
      </c>
      <c r="Z74" s="525">
        <v>23.43</v>
      </c>
      <c r="AA74" s="502">
        <f t="shared" si="3"/>
        <v>4.6346459955664452</v>
      </c>
      <c r="AB74" s="504"/>
      <c r="AC74" s="517">
        <v>1.2500000000000001E-2</v>
      </c>
      <c r="AD74" s="517">
        <v>1.2500000000000001E-2</v>
      </c>
      <c r="AE74" s="517">
        <v>1.2500000000000001E-2</v>
      </c>
      <c r="AF74" s="500" t="s">
        <v>1546</v>
      </c>
      <c r="AG74" s="504"/>
      <c r="AH74" s="504"/>
      <c r="AI74" s="504"/>
      <c r="AJ74" s="504"/>
      <c r="AK74" s="2141" t="s">
        <v>1581</v>
      </c>
    </row>
    <row r="75" spans="1:37">
      <c r="A75" s="2149"/>
      <c r="B75" s="2149"/>
      <c r="C75" s="2149"/>
      <c r="D75" s="2149"/>
      <c r="E75" s="504" t="s">
        <v>1165</v>
      </c>
      <c r="F75" s="654" t="s">
        <v>1166</v>
      </c>
      <c r="G75" s="2149"/>
      <c r="H75" s="504">
        <v>68207</v>
      </c>
      <c r="I75" s="504" t="s">
        <v>34</v>
      </c>
      <c r="J75" s="504" t="s">
        <v>34</v>
      </c>
      <c r="K75" s="504" t="s">
        <v>34</v>
      </c>
      <c r="L75" s="504" t="s">
        <v>35</v>
      </c>
      <c r="M75" s="504" t="s">
        <v>36</v>
      </c>
      <c r="N75" s="2153"/>
      <c r="O75" s="2149"/>
      <c r="P75" s="2149"/>
      <c r="Q75" s="2149"/>
      <c r="R75" s="2149"/>
      <c r="S75" s="2149"/>
      <c r="T75" s="2149"/>
      <c r="U75" s="524">
        <v>444.45332566591298</v>
      </c>
      <c r="V75" s="525">
        <v>679.38893841401091</v>
      </c>
      <c r="W75" s="525">
        <v>46.954740907074658</v>
      </c>
      <c r="X75" s="525">
        <v>419.49343750481478</v>
      </c>
      <c r="Y75" s="525">
        <v>46.5</v>
      </c>
      <c r="Z75" s="525">
        <v>23.43</v>
      </c>
      <c r="AA75" s="502">
        <f t="shared" si="3"/>
        <v>4.6339081322404443</v>
      </c>
      <c r="AB75" s="504"/>
      <c r="AC75" s="517">
        <v>1.2500000000000001E-2</v>
      </c>
      <c r="AD75" s="517">
        <v>1.2500000000000001E-2</v>
      </c>
      <c r="AE75" s="517">
        <v>1.2500000000000001E-2</v>
      </c>
      <c r="AF75" s="500" t="s">
        <v>1546</v>
      </c>
      <c r="AG75" s="504"/>
      <c r="AH75" s="504"/>
      <c r="AI75" s="504"/>
      <c r="AJ75" s="504"/>
      <c r="AK75" s="2143"/>
    </row>
    <row r="76" spans="1:37">
      <c r="A76" s="2149">
        <v>25</v>
      </c>
      <c r="B76" s="2149" t="s">
        <v>1030</v>
      </c>
      <c r="C76" s="2149" t="s">
        <v>29</v>
      </c>
      <c r="D76" s="2149" t="s">
        <v>1185</v>
      </c>
      <c r="E76" s="504" t="s">
        <v>1186</v>
      </c>
      <c r="F76" s="654" t="s">
        <v>1187</v>
      </c>
      <c r="G76" s="2149" t="s">
        <v>1120</v>
      </c>
      <c r="H76" s="504">
        <v>94378</v>
      </c>
      <c r="I76" s="504" t="s">
        <v>34</v>
      </c>
      <c r="J76" s="504" t="s">
        <v>34</v>
      </c>
      <c r="K76" s="504" t="s">
        <v>34</v>
      </c>
      <c r="L76" s="504" t="s">
        <v>35</v>
      </c>
      <c r="M76" s="504" t="s">
        <v>36</v>
      </c>
      <c r="N76" s="2153">
        <v>44000</v>
      </c>
      <c r="O76" s="2149" t="s">
        <v>1243</v>
      </c>
      <c r="P76" s="2149" t="s">
        <v>1246</v>
      </c>
      <c r="Q76" s="2149" t="s">
        <v>1211</v>
      </c>
      <c r="R76" s="2149" t="s">
        <v>1212</v>
      </c>
      <c r="S76" s="2149" t="s">
        <v>1236</v>
      </c>
      <c r="T76" s="2149" t="s">
        <v>1216</v>
      </c>
      <c r="U76" s="524">
        <v>433.52</v>
      </c>
      <c r="V76" s="525">
        <v>700.77</v>
      </c>
      <c r="W76" s="525">
        <v>56.54</v>
      </c>
      <c r="X76" s="525">
        <v>60.28</v>
      </c>
      <c r="Y76" s="525">
        <v>26.38</v>
      </c>
      <c r="Z76" s="525">
        <v>11.56</v>
      </c>
      <c r="AA76" s="499">
        <f t="shared" si="3"/>
        <v>6.6137271059999998</v>
      </c>
      <c r="AB76" s="504"/>
      <c r="AC76" s="504"/>
      <c r="AD76" s="504"/>
      <c r="AE76" s="504"/>
      <c r="AF76" s="500" t="s">
        <v>1546</v>
      </c>
      <c r="AG76" s="504"/>
      <c r="AH76" s="504"/>
      <c r="AI76" s="504"/>
      <c r="AJ76" s="504"/>
      <c r="AK76" s="2141" t="s">
        <v>1581</v>
      </c>
    </row>
    <row r="77" spans="1:37" ht="15.75" customHeight="1">
      <c r="A77" s="2149"/>
      <c r="B77" s="2149"/>
      <c r="C77" s="2149"/>
      <c r="D77" s="2149"/>
      <c r="E77" s="504" t="s">
        <v>1188</v>
      </c>
      <c r="F77" s="654" t="s">
        <v>1189</v>
      </c>
      <c r="G77" s="2149"/>
      <c r="H77" s="504">
        <v>94378</v>
      </c>
      <c r="I77" s="504" t="s">
        <v>34</v>
      </c>
      <c r="J77" s="504" t="s">
        <v>34</v>
      </c>
      <c r="K77" s="504" t="s">
        <v>34</v>
      </c>
      <c r="L77" s="504" t="s">
        <v>35</v>
      </c>
      <c r="M77" s="504" t="s">
        <v>36</v>
      </c>
      <c r="N77" s="2153"/>
      <c r="O77" s="2149"/>
      <c r="P77" s="2149"/>
      <c r="Q77" s="2149"/>
      <c r="R77" s="2149"/>
      <c r="S77" s="2149"/>
      <c r="T77" s="2149"/>
      <c r="U77" s="524">
        <v>433.52</v>
      </c>
      <c r="V77" s="525">
        <v>700.77</v>
      </c>
      <c r="W77" s="525">
        <v>56.54</v>
      </c>
      <c r="X77" s="525">
        <v>39.159999999999997</v>
      </c>
      <c r="Y77" s="525">
        <v>22.88</v>
      </c>
      <c r="Z77" s="525">
        <v>11.56</v>
      </c>
      <c r="AA77" s="499">
        <f t="shared" si="3"/>
        <v>6.6137271059999998</v>
      </c>
      <c r="AB77" s="504"/>
      <c r="AC77" s="504"/>
      <c r="AD77" s="504"/>
      <c r="AE77" s="504"/>
      <c r="AF77" s="500" t="s">
        <v>1546</v>
      </c>
      <c r="AG77" s="504"/>
      <c r="AH77" s="504"/>
      <c r="AI77" s="504"/>
      <c r="AJ77" s="504"/>
      <c r="AK77" s="2143"/>
    </row>
    <row r="78" spans="1:37">
      <c r="A78" s="2147">
        <v>26</v>
      </c>
      <c r="B78" s="2147" t="s">
        <v>1030</v>
      </c>
      <c r="C78" s="2147" t="s">
        <v>29</v>
      </c>
      <c r="D78" s="2147" t="s">
        <v>1190</v>
      </c>
      <c r="E78" s="497" t="s">
        <v>1191</v>
      </c>
      <c r="F78" s="655" t="s">
        <v>1192</v>
      </c>
      <c r="G78" s="2147" t="s">
        <v>1120</v>
      </c>
      <c r="H78" s="497">
        <v>50057</v>
      </c>
      <c r="I78" s="497" t="s">
        <v>34</v>
      </c>
      <c r="J78" s="497" t="s">
        <v>34</v>
      </c>
      <c r="K78" s="497" t="s">
        <v>34</v>
      </c>
      <c r="L78" s="497" t="s">
        <v>35</v>
      </c>
      <c r="M78" s="497" t="s">
        <v>36</v>
      </c>
      <c r="N78" s="2152">
        <v>44000</v>
      </c>
      <c r="O78" s="2147" t="s">
        <v>1243</v>
      </c>
      <c r="P78" s="2147" t="s">
        <v>1243</v>
      </c>
      <c r="Q78" s="2147" t="s">
        <v>1211</v>
      </c>
      <c r="R78" s="2147" t="s">
        <v>1212</v>
      </c>
      <c r="S78" s="2147" t="s">
        <v>1252</v>
      </c>
      <c r="T78" s="2147" t="s">
        <v>1216</v>
      </c>
      <c r="U78" s="533">
        <v>420.36838235435357</v>
      </c>
      <c r="V78" s="533">
        <v>721.19587072111062</v>
      </c>
      <c r="W78" s="533">
        <v>65.34273993394126</v>
      </c>
      <c r="X78" s="533">
        <v>364.52564387893506</v>
      </c>
      <c r="Y78" s="497">
        <v>142.25</v>
      </c>
      <c r="Z78" s="497">
        <v>47.47</v>
      </c>
      <c r="AA78" s="501">
        <f t="shared" si="3"/>
        <v>3.6100901700686632</v>
      </c>
      <c r="AB78" s="497"/>
      <c r="AC78" s="532">
        <v>1.2500000000000001E-2</v>
      </c>
      <c r="AD78" s="532">
        <v>1.2500000000000001E-2</v>
      </c>
      <c r="AE78" s="532">
        <v>1.2500000000000001E-2</v>
      </c>
      <c r="AF78" s="497" t="s">
        <v>342</v>
      </c>
      <c r="AG78" s="497">
        <v>539.04</v>
      </c>
      <c r="AH78" s="2147">
        <v>621.78</v>
      </c>
      <c r="AI78" s="2147"/>
      <c r="AJ78" s="2147"/>
      <c r="AK78" s="2144" t="s">
        <v>1581</v>
      </c>
    </row>
    <row r="79" spans="1:37">
      <c r="A79" s="2147"/>
      <c r="B79" s="2147"/>
      <c r="C79" s="2147"/>
      <c r="D79" s="2147"/>
      <c r="E79" s="497" t="s">
        <v>1193</v>
      </c>
      <c r="F79" s="655" t="s">
        <v>1192</v>
      </c>
      <c r="G79" s="2147"/>
      <c r="H79" s="497">
        <v>18150</v>
      </c>
      <c r="I79" s="497" t="s">
        <v>34</v>
      </c>
      <c r="J79" s="497" t="s">
        <v>34</v>
      </c>
      <c r="K79" s="497" t="s">
        <v>34</v>
      </c>
      <c r="L79" s="497" t="s">
        <v>35</v>
      </c>
      <c r="M79" s="497" t="s">
        <v>36</v>
      </c>
      <c r="N79" s="2152"/>
      <c r="O79" s="2147"/>
      <c r="P79" s="2147"/>
      <c r="Q79" s="2147"/>
      <c r="R79" s="2147"/>
      <c r="S79" s="2147"/>
      <c r="T79" s="2147"/>
      <c r="U79" s="533">
        <v>420.4129223543535</v>
      </c>
      <c r="V79" s="533">
        <v>719.56802376741689</v>
      </c>
      <c r="W79" s="533">
        <v>65.826165575667289</v>
      </c>
      <c r="X79" s="533">
        <v>166.6019276126494</v>
      </c>
      <c r="Y79" s="533">
        <v>7.25</v>
      </c>
      <c r="Z79" s="497"/>
      <c r="AA79" s="501">
        <f t="shared" si="3"/>
        <v>1.3060159631378616</v>
      </c>
      <c r="AB79" s="497"/>
      <c r="AC79" s="532">
        <v>1.2500000000000001E-2</v>
      </c>
      <c r="AD79" s="532">
        <v>1.2500000000000001E-2</v>
      </c>
      <c r="AE79" s="532">
        <v>1.2500000000000001E-2</v>
      </c>
      <c r="AF79" s="497" t="s">
        <v>342</v>
      </c>
      <c r="AG79" s="497">
        <v>546.01</v>
      </c>
      <c r="AH79" s="2147"/>
      <c r="AI79" s="2147"/>
      <c r="AJ79" s="2147"/>
      <c r="AK79" s="2145"/>
    </row>
    <row r="80" spans="1:37">
      <c r="A80" s="2147"/>
      <c r="B80" s="2147"/>
      <c r="C80" s="2147"/>
      <c r="D80" s="2147"/>
      <c r="E80" s="497" t="s">
        <v>1194</v>
      </c>
      <c r="F80" s="655" t="s">
        <v>481</v>
      </c>
      <c r="G80" s="2147"/>
      <c r="H80" s="497">
        <v>10163</v>
      </c>
      <c r="I80" s="497" t="s">
        <v>34</v>
      </c>
      <c r="J80" s="497" t="s">
        <v>34</v>
      </c>
      <c r="K80" s="497" t="s">
        <v>34</v>
      </c>
      <c r="L80" s="497" t="s">
        <v>35</v>
      </c>
      <c r="M80" s="497" t="s">
        <v>36</v>
      </c>
      <c r="N80" s="2152"/>
      <c r="O80" s="2147"/>
      <c r="P80" s="2147"/>
      <c r="Q80" s="2147"/>
      <c r="R80" s="2147"/>
      <c r="S80" s="2147"/>
      <c r="T80" s="2147"/>
      <c r="U80" s="533">
        <v>259.9000075713501</v>
      </c>
      <c r="V80" s="533">
        <v>424.29250759712414</v>
      </c>
      <c r="W80" s="533">
        <v>31.289165193705752</v>
      </c>
      <c r="X80" s="497"/>
      <c r="Y80" s="497"/>
      <c r="Z80" s="497"/>
      <c r="AA80" s="501">
        <f t="shared" si="3"/>
        <v>0.43120847547095725</v>
      </c>
      <c r="AB80" s="497"/>
      <c r="AC80" s="532">
        <v>1.2500000000000001E-2</v>
      </c>
      <c r="AD80" s="532">
        <v>1.2500000000000001E-2</v>
      </c>
      <c r="AE80" s="532">
        <v>1.2500000000000001E-2</v>
      </c>
      <c r="AF80" s="497" t="s">
        <v>342</v>
      </c>
      <c r="AG80" s="497">
        <v>313.52999999999997</v>
      </c>
      <c r="AH80" s="2147"/>
      <c r="AI80" s="2147"/>
      <c r="AJ80" s="2147"/>
      <c r="AK80" s="2145"/>
    </row>
    <row r="81" spans="1:37">
      <c r="A81" s="2147"/>
      <c r="B81" s="2147"/>
      <c r="C81" s="2147"/>
      <c r="D81" s="2147"/>
      <c r="E81" s="497" t="s">
        <v>1195</v>
      </c>
      <c r="F81" s="655" t="s">
        <v>481</v>
      </c>
      <c r="G81" s="2147"/>
      <c r="H81" s="497">
        <v>16008</v>
      </c>
      <c r="I81" s="497" t="s">
        <v>34</v>
      </c>
      <c r="J81" s="497" t="s">
        <v>34</v>
      </c>
      <c r="K81" s="497" t="s">
        <v>34</v>
      </c>
      <c r="L81" s="497" t="s">
        <v>35</v>
      </c>
      <c r="M81" s="497" t="s">
        <v>36</v>
      </c>
      <c r="N81" s="2152"/>
      <c r="O81" s="2147"/>
      <c r="P81" s="2147"/>
      <c r="Q81" s="2147"/>
      <c r="R81" s="2147"/>
      <c r="S81" s="2147"/>
      <c r="T81" s="2147"/>
      <c r="U81" s="533">
        <v>259.45775157135006</v>
      </c>
      <c r="V81" s="533">
        <v>412.40066689473059</v>
      </c>
      <c r="W81" s="533">
        <v>31.280320073705752</v>
      </c>
      <c r="X81" s="497"/>
      <c r="Y81" s="497"/>
      <c r="Z81" s="497"/>
      <c r="AA81" s="501">
        <f t="shared" si="3"/>
        <v>0.66017098756508474</v>
      </c>
      <c r="AB81" s="497"/>
      <c r="AC81" s="532">
        <v>1.2500000000000001E-2</v>
      </c>
      <c r="AD81" s="532">
        <v>1.2500000000000001E-2</v>
      </c>
      <c r="AE81" s="532">
        <v>1.2500000000000001E-2</v>
      </c>
      <c r="AF81" s="497" t="s">
        <v>342</v>
      </c>
      <c r="AG81" s="497">
        <v>305.41000000000003</v>
      </c>
      <c r="AH81" s="2147"/>
      <c r="AI81" s="2147"/>
      <c r="AJ81" s="2147"/>
      <c r="AK81" s="2145"/>
    </row>
    <row r="82" spans="1:37">
      <c r="A82" s="2147"/>
      <c r="B82" s="2147"/>
      <c r="C82" s="2147"/>
      <c r="D82" s="2147"/>
      <c r="E82" s="497" t="s">
        <v>1196</v>
      </c>
      <c r="F82" s="655" t="s">
        <v>1197</v>
      </c>
      <c r="G82" s="2147"/>
      <c r="H82" s="497">
        <v>26171</v>
      </c>
      <c r="I82" s="497" t="s">
        <v>34</v>
      </c>
      <c r="J82" s="497" t="s">
        <v>34</v>
      </c>
      <c r="K82" s="497" t="s">
        <v>34</v>
      </c>
      <c r="L82" s="497" t="s">
        <v>35</v>
      </c>
      <c r="M82" s="497" t="s">
        <v>36</v>
      </c>
      <c r="N82" s="2152"/>
      <c r="O82" s="2147"/>
      <c r="P82" s="2147"/>
      <c r="Q82" s="2147"/>
      <c r="R82" s="2147"/>
      <c r="S82" s="2147"/>
      <c r="T82" s="2147"/>
      <c r="U82" s="533">
        <v>79.503705269952007</v>
      </c>
      <c r="V82" s="533">
        <v>142.42529313263182</v>
      </c>
      <c r="W82" s="533">
        <v>13.79807410539904</v>
      </c>
      <c r="X82" s="497"/>
      <c r="Y82" s="497"/>
      <c r="Z82" s="497"/>
      <c r="AA82" s="501">
        <f t="shared" si="3"/>
        <v>0.37274123465741071</v>
      </c>
      <c r="AB82" s="497"/>
      <c r="AC82" s="532">
        <v>1.2500000000000001E-2</v>
      </c>
      <c r="AD82" s="532">
        <v>1.2500000000000001E-2</v>
      </c>
      <c r="AE82" s="532">
        <v>1.2500000000000001E-2</v>
      </c>
      <c r="AF82" s="497" t="s">
        <v>342</v>
      </c>
      <c r="AG82" s="497">
        <v>5.26</v>
      </c>
      <c r="AH82" s="2147"/>
      <c r="AI82" s="2147"/>
      <c r="AJ82" s="2147"/>
      <c r="AK82" s="2145"/>
    </row>
    <row r="83" spans="1:37">
      <c r="A83" s="2147"/>
      <c r="B83" s="2147"/>
      <c r="C83" s="2147"/>
      <c r="D83" s="2147"/>
      <c r="E83" s="497" t="s">
        <v>1198</v>
      </c>
      <c r="F83" s="655" t="s">
        <v>1199</v>
      </c>
      <c r="G83" s="2147"/>
      <c r="H83" s="497">
        <v>26171</v>
      </c>
      <c r="I83" s="497" t="s">
        <v>34</v>
      </c>
      <c r="J83" s="497" t="s">
        <v>34</v>
      </c>
      <c r="K83" s="497" t="s">
        <v>34</v>
      </c>
      <c r="L83" s="497" t="s">
        <v>35</v>
      </c>
      <c r="M83" s="497" t="s">
        <v>36</v>
      </c>
      <c r="N83" s="2152"/>
      <c r="O83" s="2147"/>
      <c r="P83" s="2147"/>
      <c r="Q83" s="2147"/>
      <c r="R83" s="2147"/>
      <c r="S83" s="2147"/>
      <c r="T83" s="2147"/>
      <c r="U83" s="533">
        <v>2.751264067741936</v>
      </c>
      <c r="V83" s="533">
        <v>9.6774852172819443</v>
      </c>
      <c r="W83" s="533">
        <v>1.5150252813548386</v>
      </c>
      <c r="X83" s="497"/>
      <c r="Y83" s="497"/>
      <c r="Z83" s="497"/>
      <c r="AA83" s="501">
        <f t="shared" si="3"/>
        <v>2.5326946562148574E-2</v>
      </c>
      <c r="AB83" s="497"/>
      <c r="AC83" s="532">
        <v>0</v>
      </c>
      <c r="AD83" s="532">
        <v>0</v>
      </c>
      <c r="AE83" s="532">
        <v>0</v>
      </c>
      <c r="AF83" s="497" t="s">
        <v>342</v>
      </c>
      <c r="AG83" s="497">
        <v>108.01</v>
      </c>
      <c r="AH83" s="2147"/>
      <c r="AI83" s="2147"/>
      <c r="AJ83" s="2147"/>
      <c r="AK83" s="2145"/>
    </row>
    <row r="84" spans="1:37">
      <c r="A84" s="2147"/>
      <c r="B84" s="2147"/>
      <c r="C84" s="2147"/>
      <c r="D84" s="2147"/>
      <c r="E84" s="497" t="s">
        <v>1200</v>
      </c>
      <c r="F84" s="655" t="s">
        <v>1201</v>
      </c>
      <c r="G84" s="2147"/>
      <c r="H84" s="497">
        <v>26171</v>
      </c>
      <c r="I84" s="497" t="s">
        <v>34</v>
      </c>
      <c r="J84" s="497" t="s">
        <v>34</v>
      </c>
      <c r="K84" s="497" t="s">
        <v>34</v>
      </c>
      <c r="L84" s="497" t="s">
        <v>35</v>
      </c>
      <c r="M84" s="497" t="s">
        <v>36</v>
      </c>
      <c r="N84" s="2152"/>
      <c r="O84" s="2147"/>
      <c r="P84" s="2147"/>
      <c r="Q84" s="2147"/>
      <c r="R84" s="2147"/>
      <c r="S84" s="2147"/>
      <c r="T84" s="2147"/>
      <c r="U84" s="533">
        <v>2.751264067741936</v>
      </c>
      <c r="V84" s="533">
        <v>9.6774852172819443</v>
      </c>
      <c r="W84" s="533">
        <v>1.5150252813548386</v>
      </c>
      <c r="X84" s="497"/>
      <c r="Y84" s="497"/>
      <c r="Z84" s="497"/>
      <c r="AA84" s="501">
        <f t="shared" si="3"/>
        <v>2.5326946562148574E-2</v>
      </c>
      <c r="AB84" s="497"/>
      <c r="AC84" s="532">
        <v>0</v>
      </c>
      <c r="AD84" s="532">
        <v>0</v>
      </c>
      <c r="AE84" s="532">
        <v>0</v>
      </c>
      <c r="AF84" s="497" t="s">
        <v>342</v>
      </c>
      <c r="AG84" s="497">
        <v>5.26</v>
      </c>
      <c r="AH84" s="2147"/>
      <c r="AI84" s="2147"/>
      <c r="AJ84" s="2147"/>
      <c r="AK84" s="2145"/>
    </row>
    <row r="85" spans="1:37">
      <c r="A85" s="2147"/>
      <c r="B85" s="2147"/>
      <c r="C85" s="2147"/>
      <c r="D85" s="2147"/>
      <c r="E85" s="497" t="s">
        <v>1202</v>
      </c>
      <c r="F85" s="655" t="s">
        <v>1203</v>
      </c>
      <c r="G85" s="2147"/>
      <c r="H85" s="497">
        <v>10163</v>
      </c>
      <c r="I85" s="497" t="s">
        <v>34</v>
      </c>
      <c r="J85" s="497" t="s">
        <v>34</v>
      </c>
      <c r="K85" s="497" t="s">
        <v>34</v>
      </c>
      <c r="L85" s="497" t="s">
        <v>35</v>
      </c>
      <c r="M85" s="497" t="s">
        <v>36</v>
      </c>
      <c r="N85" s="2152"/>
      <c r="O85" s="2147"/>
      <c r="P85" s="2147"/>
      <c r="Q85" s="2147"/>
      <c r="R85" s="2147"/>
      <c r="S85" s="2147"/>
      <c r="T85" s="2147"/>
      <c r="U85" s="533">
        <v>8.2300635280000023</v>
      </c>
      <c r="V85" s="533">
        <v>19.594093785159174</v>
      </c>
      <c r="W85" s="533">
        <v>2.4846012705599998</v>
      </c>
      <c r="X85" s="497"/>
      <c r="Y85" s="497"/>
      <c r="Z85" s="497"/>
      <c r="AA85" s="501">
        <f t="shared" si="3"/>
        <v>1.9913477513857268E-2</v>
      </c>
      <c r="AB85" s="497"/>
      <c r="AC85" s="532">
        <v>0</v>
      </c>
      <c r="AD85" s="532">
        <v>0</v>
      </c>
      <c r="AE85" s="532">
        <v>0</v>
      </c>
      <c r="AF85" s="497" t="s">
        <v>342</v>
      </c>
      <c r="AG85" s="497">
        <v>15.68</v>
      </c>
      <c r="AH85" s="2147"/>
      <c r="AI85" s="2147"/>
      <c r="AJ85" s="2147"/>
      <c r="AK85" s="2145"/>
    </row>
    <row r="86" spans="1:37">
      <c r="A86" s="2147"/>
      <c r="B86" s="2147"/>
      <c r="C86" s="2147"/>
      <c r="D86" s="2147"/>
      <c r="E86" s="497" t="s">
        <v>1204</v>
      </c>
      <c r="F86" s="655" t="s">
        <v>1205</v>
      </c>
      <c r="G86" s="2147"/>
      <c r="H86" s="497">
        <v>16008</v>
      </c>
      <c r="I86" s="497" t="s">
        <v>34</v>
      </c>
      <c r="J86" s="497" t="s">
        <v>34</v>
      </c>
      <c r="K86" s="497" t="s">
        <v>34</v>
      </c>
      <c r="L86" s="497" t="s">
        <v>35</v>
      </c>
      <c r="M86" s="497" t="s">
        <v>36</v>
      </c>
      <c r="N86" s="2152"/>
      <c r="O86" s="2147"/>
      <c r="P86" s="2147"/>
      <c r="Q86" s="2147"/>
      <c r="R86" s="2147"/>
      <c r="S86" s="2147"/>
      <c r="T86" s="2147"/>
      <c r="U86" s="533">
        <v>8.2300635280000023</v>
      </c>
      <c r="V86" s="533">
        <v>20.612974182032318</v>
      </c>
      <c r="W86" s="533">
        <v>2.74460127056</v>
      </c>
      <c r="X86" s="497"/>
      <c r="Y86" s="497"/>
      <c r="Z86" s="497"/>
      <c r="AA86" s="501">
        <f t="shared" si="3"/>
        <v>3.2997249070597333E-2</v>
      </c>
      <c r="AB86" s="497"/>
      <c r="AC86" s="532">
        <v>0</v>
      </c>
      <c r="AD86" s="532">
        <v>0</v>
      </c>
      <c r="AE86" s="532">
        <v>0</v>
      </c>
      <c r="AF86" s="497" t="s">
        <v>342</v>
      </c>
      <c r="AG86" s="497">
        <v>16.52</v>
      </c>
      <c r="AH86" s="2147"/>
      <c r="AI86" s="2147"/>
      <c r="AJ86" s="2147"/>
      <c r="AK86" s="2145"/>
    </row>
    <row r="87" spans="1:37">
      <c r="A87" s="2147"/>
      <c r="B87" s="2147"/>
      <c r="C87" s="2147"/>
      <c r="D87" s="2147"/>
      <c r="E87" s="497" t="s">
        <v>1206</v>
      </c>
      <c r="F87" s="655" t="s">
        <v>1207</v>
      </c>
      <c r="G87" s="2147"/>
      <c r="H87" s="497">
        <v>26171</v>
      </c>
      <c r="I87" s="497" t="s">
        <v>34</v>
      </c>
      <c r="J87" s="497" t="s">
        <v>34</v>
      </c>
      <c r="K87" s="497" t="s">
        <v>34</v>
      </c>
      <c r="L87" s="497" t="s">
        <v>35</v>
      </c>
      <c r="M87" s="497" t="s">
        <v>36</v>
      </c>
      <c r="N87" s="2152"/>
      <c r="O87" s="2147"/>
      <c r="P87" s="2147"/>
      <c r="Q87" s="2147"/>
      <c r="R87" s="2147"/>
      <c r="S87" s="2147"/>
      <c r="T87" s="2147"/>
      <c r="U87" s="533">
        <v>36.524294126804008</v>
      </c>
      <c r="V87" s="533">
        <v>50.476376122184099</v>
      </c>
      <c r="W87" s="533">
        <v>3.4384858825360802</v>
      </c>
      <c r="X87" s="497"/>
      <c r="Y87" s="497"/>
      <c r="Z87" s="497"/>
      <c r="AA87" s="501">
        <f t="shared" si="3"/>
        <v>0.13210172394936801</v>
      </c>
      <c r="AB87" s="497"/>
      <c r="AC87" s="532">
        <v>0</v>
      </c>
      <c r="AD87" s="532">
        <v>0</v>
      </c>
      <c r="AE87" s="532">
        <v>0</v>
      </c>
      <c r="AF87" s="497" t="s">
        <v>342</v>
      </c>
      <c r="AG87" s="497">
        <v>40.270000000000003</v>
      </c>
      <c r="AH87" s="2147"/>
      <c r="AI87" s="2147"/>
      <c r="AJ87" s="2147"/>
      <c r="AK87" s="2145"/>
    </row>
    <row r="88" spans="1:37">
      <c r="A88" s="2147"/>
      <c r="B88" s="2147"/>
      <c r="C88" s="2147"/>
      <c r="D88" s="2147"/>
      <c r="E88" s="497" t="s">
        <v>1208</v>
      </c>
      <c r="F88" s="655" t="s">
        <v>1209</v>
      </c>
      <c r="G88" s="2147"/>
      <c r="H88" s="497">
        <v>10163</v>
      </c>
      <c r="I88" s="497" t="s">
        <v>34</v>
      </c>
      <c r="J88" s="497" t="s">
        <v>34</v>
      </c>
      <c r="K88" s="497" t="s">
        <v>34</v>
      </c>
      <c r="L88" s="497" t="s">
        <v>35</v>
      </c>
      <c r="M88" s="497" t="s">
        <v>36</v>
      </c>
      <c r="N88" s="2152"/>
      <c r="O88" s="2147"/>
      <c r="P88" s="2147"/>
      <c r="Q88" s="2147"/>
      <c r="R88" s="2147"/>
      <c r="S88" s="2147"/>
      <c r="T88" s="2147"/>
      <c r="U88" s="533">
        <v>31.271316619825001</v>
      </c>
      <c r="V88" s="533">
        <v>52.482795029300682</v>
      </c>
      <c r="W88" s="533">
        <v>4.9533461228943745</v>
      </c>
      <c r="X88" s="497"/>
      <c r="Y88" s="497"/>
      <c r="Z88" s="497"/>
      <c r="AA88" s="501">
        <f t="shared" si="3"/>
        <v>5.333826458827829E-2</v>
      </c>
      <c r="AB88" s="497"/>
      <c r="AC88" s="532">
        <v>0</v>
      </c>
      <c r="AD88" s="532">
        <v>0</v>
      </c>
      <c r="AE88" s="532">
        <v>0</v>
      </c>
      <c r="AF88" s="497" t="s">
        <v>342</v>
      </c>
      <c r="AG88" s="497">
        <v>36.33</v>
      </c>
      <c r="AH88" s="2147"/>
      <c r="AI88" s="2147"/>
      <c r="AJ88" s="2147"/>
      <c r="AK88" s="2145"/>
    </row>
    <row r="89" spans="1:37" ht="18" customHeight="1">
      <c r="A89" s="2147"/>
      <c r="B89" s="2147"/>
      <c r="C89" s="2147"/>
      <c r="D89" s="2147"/>
      <c r="E89" s="497" t="s">
        <v>1210</v>
      </c>
      <c r="F89" s="655" t="s">
        <v>1209</v>
      </c>
      <c r="G89" s="2147"/>
      <c r="H89" s="497">
        <v>16008</v>
      </c>
      <c r="I89" s="497" t="s">
        <v>34</v>
      </c>
      <c r="J89" s="497" t="s">
        <v>34</v>
      </c>
      <c r="K89" s="497" t="s">
        <v>34</v>
      </c>
      <c r="L89" s="497" t="s">
        <v>35</v>
      </c>
      <c r="M89" s="497" t="s">
        <v>36</v>
      </c>
      <c r="N89" s="2152"/>
      <c r="O89" s="2147"/>
      <c r="P89" s="2147"/>
      <c r="Q89" s="2147"/>
      <c r="R89" s="2147"/>
      <c r="S89" s="2147"/>
      <c r="T89" s="2147"/>
      <c r="U89" s="533">
        <v>31.714096619825003</v>
      </c>
      <c r="V89" s="533">
        <v>52.769847930556629</v>
      </c>
      <c r="W89" s="533">
        <v>4.9622017228943749</v>
      </c>
      <c r="X89" s="497"/>
      <c r="Y89" s="497"/>
      <c r="Z89" s="497"/>
      <c r="AA89" s="501">
        <f t="shared" si="3"/>
        <v>8.4473972567235045E-2</v>
      </c>
      <c r="AB89" s="497"/>
      <c r="AC89" s="532">
        <v>0</v>
      </c>
      <c r="AD89" s="532">
        <v>0</v>
      </c>
      <c r="AE89" s="532">
        <v>0</v>
      </c>
      <c r="AF89" s="497" t="s">
        <v>342</v>
      </c>
      <c r="AG89" s="497">
        <v>42.43</v>
      </c>
      <c r="AH89" s="2147"/>
      <c r="AI89" s="2147"/>
      <c r="AJ89" s="2147"/>
      <c r="AK89" s="2146"/>
    </row>
    <row r="90" spans="1:37">
      <c r="A90" s="2149">
        <v>27</v>
      </c>
      <c r="B90" s="2149" t="s">
        <v>1030</v>
      </c>
      <c r="C90" s="2149" t="s">
        <v>29</v>
      </c>
      <c r="D90" s="2149" t="s">
        <v>1224</v>
      </c>
      <c r="E90" s="504" t="s">
        <v>1225</v>
      </c>
      <c r="F90" s="654" t="s">
        <v>1230</v>
      </c>
      <c r="G90" s="2149" t="s">
        <v>1120</v>
      </c>
      <c r="H90" s="504">
        <v>68207</v>
      </c>
      <c r="I90" s="504" t="s">
        <v>34</v>
      </c>
      <c r="J90" s="504" t="s">
        <v>34</v>
      </c>
      <c r="K90" s="504" t="s">
        <v>34</v>
      </c>
      <c r="L90" s="504" t="s">
        <v>35</v>
      </c>
      <c r="M90" s="504" t="s">
        <v>36</v>
      </c>
      <c r="N90" s="2153">
        <v>44015</v>
      </c>
      <c r="O90" s="2149" t="s">
        <v>1235</v>
      </c>
      <c r="P90" s="2149"/>
      <c r="Q90" s="2149" t="s">
        <v>1236</v>
      </c>
      <c r="R90" s="2149" t="s">
        <v>1237</v>
      </c>
      <c r="S90" s="2149" t="s">
        <v>1384</v>
      </c>
      <c r="T90" s="2149" t="s">
        <v>1216</v>
      </c>
      <c r="U90" s="503">
        <v>191.77</v>
      </c>
      <c r="V90" s="504">
        <v>327.36</v>
      </c>
      <c r="W90" s="504">
        <v>27.09</v>
      </c>
      <c r="X90" s="504">
        <v>206.83</v>
      </c>
      <c r="Y90" s="502">
        <v>46.25</v>
      </c>
      <c r="Z90" s="504">
        <v>14.95</v>
      </c>
      <c r="AA90" s="499">
        <f t="shared" si="3"/>
        <v>2.2328243519999997</v>
      </c>
      <c r="AB90" s="504"/>
      <c r="AC90" s="531">
        <v>1.2500000000000001E-2</v>
      </c>
      <c r="AD90" s="531">
        <v>1.2500000000000001E-2</v>
      </c>
      <c r="AE90" s="531">
        <v>1.2500000000000001E-2</v>
      </c>
      <c r="AF90" s="504"/>
      <c r="AG90" s="504"/>
      <c r="AH90" s="504"/>
      <c r="AI90" s="504"/>
      <c r="AJ90" s="504"/>
      <c r="AK90" s="2141" t="s">
        <v>1581</v>
      </c>
    </row>
    <row r="91" spans="1:37">
      <c r="A91" s="2149"/>
      <c r="B91" s="2149"/>
      <c r="C91" s="2149"/>
      <c r="D91" s="2149"/>
      <c r="E91" s="504" t="s">
        <v>1226</v>
      </c>
      <c r="F91" s="654" t="s">
        <v>1231</v>
      </c>
      <c r="G91" s="2149"/>
      <c r="H91" s="504">
        <v>68207</v>
      </c>
      <c r="I91" s="504" t="s">
        <v>34</v>
      </c>
      <c r="J91" s="504" t="s">
        <v>34</v>
      </c>
      <c r="K91" s="504" t="s">
        <v>34</v>
      </c>
      <c r="L91" s="504" t="s">
        <v>35</v>
      </c>
      <c r="M91" s="504" t="s">
        <v>36</v>
      </c>
      <c r="N91" s="2153"/>
      <c r="O91" s="2149"/>
      <c r="P91" s="2149"/>
      <c r="Q91" s="2149"/>
      <c r="R91" s="2149"/>
      <c r="S91" s="2149"/>
      <c r="T91" s="2149"/>
      <c r="U91" s="503">
        <v>173.42</v>
      </c>
      <c r="V91" s="504">
        <v>299.3</v>
      </c>
      <c r="W91" s="504">
        <v>24.7</v>
      </c>
      <c r="X91" s="504">
        <v>193.88</v>
      </c>
      <c r="Y91" s="504">
        <v>46.25</v>
      </c>
      <c r="Z91" s="504">
        <v>14.95</v>
      </c>
      <c r="AA91" s="499">
        <f t="shared" si="3"/>
        <v>2.0414355100000003</v>
      </c>
      <c r="AB91" s="504"/>
      <c r="AC91" s="531">
        <v>1.2500000000000001E-2</v>
      </c>
      <c r="AD91" s="531">
        <v>1.2500000000000001E-2</v>
      </c>
      <c r="AE91" s="531">
        <v>1.2500000000000001E-2</v>
      </c>
      <c r="AF91" s="504"/>
      <c r="AG91" s="504"/>
      <c r="AH91" s="504"/>
      <c r="AI91" s="504"/>
      <c r="AJ91" s="504"/>
      <c r="AK91" s="2143"/>
    </row>
    <row r="92" spans="1:37">
      <c r="A92" s="2149">
        <v>28</v>
      </c>
      <c r="B92" s="2149" t="s">
        <v>1030</v>
      </c>
      <c r="C92" s="2149" t="s">
        <v>29</v>
      </c>
      <c r="D92" s="2149" t="s">
        <v>1227</v>
      </c>
      <c r="E92" s="504" t="s">
        <v>1229</v>
      </c>
      <c r="F92" s="654" t="s">
        <v>1233</v>
      </c>
      <c r="G92" s="2149" t="s">
        <v>1120</v>
      </c>
      <c r="H92" s="504">
        <v>94378</v>
      </c>
      <c r="I92" s="504" t="s">
        <v>34</v>
      </c>
      <c r="J92" s="504" t="s">
        <v>34</v>
      </c>
      <c r="K92" s="504" t="s">
        <v>34</v>
      </c>
      <c r="L92" s="504" t="s">
        <v>35</v>
      </c>
      <c r="M92" s="504" t="s">
        <v>36</v>
      </c>
      <c r="N92" s="2153">
        <v>44015</v>
      </c>
      <c r="O92" s="2149" t="s">
        <v>1235</v>
      </c>
      <c r="P92" s="2149"/>
      <c r="Q92" s="2149" t="s">
        <v>1236</v>
      </c>
      <c r="R92" s="2149" t="s">
        <v>1237</v>
      </c>
      <c r="S92" s="2149" t="s">
        <v>1385</v>
      </c>
      <c r="T92" s="2149" t="s">
        <v>1216</v>
      </c>
      <c r="U92" s="503">
        <v>241.46</v>
      </c>
      <c r="V92" s="504">
        <v>424.4</v>
      </c>
      <c r="W92" s="504">
        <v>38.770000000000003</v>
      </c>
      <c r="X92" s="504">
        <v>274.06</v>
      </c>
      <c r="Y92" s="504">
        <v>31.25</v>
      </c>
      <c r="Z92" s="504">
        <v>17.850000000000001</v>
      </c>
      <c r="AA92" s="499">
        <f t="shared" si="3"/>
        <v>4.00540232</v>
      </c>
      <c r="AB92" s="504"/>
      <c r="AC92" s="531">
        <v>1.2500000000000001E-2</v>
      </c>
      <c r="AD92" s="531">
        <v>1.2500000000000001E-2</v>
      </c>
      <c r="AE92" s="531">
        <v>1.2500000000000001E-2</v>
      </c>
      <c r="AF92" s="504"/>
      <c r="AG92" s="504"/>
      <c r="AH92" s="504"/>
      <c r="AI92" s="504"/>
      <c r="AJ92" s="504"/>
      <c r="AK92" s="2141" t="s">
        <v>1581</v>
      </c>
    </row>
    <row r="93" spans="1:37">
      <c r="A93" s="2149"/>
      <c r="B93" s="2149"/>
      <c r="C93" s="2149"/>
      <c r="D93" s="2149"/>
      <c r="E93" s="504" t="s">
        <v>1228</v>
      </c>
      <c r="F93" s="654" t="s">
        <v>1232</v>
      </c>
      <c r="G93" s="2149"/>
      <c r="H93" s="504">
        <v>94378</v>
      </c>
      <c r="I93" s="504" t="s">
        <v>34</v>
      </c>
      <c r="J93" s="504" t="s">
        <v>34</v>
      </c>
      <c r="K93" s="504" t="s">
        <v>34</v>
      </c>
      <c r="L93" s="504" t="s">
        <v>35</v>
      </c>
      <c r="M93" s="504" t="s">
        <v>36</v>
      </c>
      <c r="N93" s="2153"/>
      <c r="O93" s="2149"/>
      <c r="P93" s="2149"/>
      <c r="Q93" s="2149"/>
      <c r="R93" s="2149"/>
      <c r="S93" s="2149"/>
      <c r="T93" s="2149"/>
      <c r="U93" s="503">
        <v>224.74</v>
      </c>
      <c r="V93" s="504">
        <v>404.52</v>
      </c>
      <c r="W93" s="504">
        <v>37.869999999999997</v>
      </c>
      <c r="X93" s="504">
        <v>279.16000000000003</v>
      </c>
      <c r="Y93" s="504">
        <v>31.25</v>
      </c>
      <c r="Z93" s="504">
        <v>17.850000000000001</v>
      </c>
      <c r="AA93" s="499">
        <f t="shared" si="3"/>
        <v>3.8177788559999994</v>
      </c>
      <c r="AB93" s="504"/>
      <c r="AC93" s="531">
        <v>1.2500000000000001E-2</v>
      </c>
      <c r="AD93" s="531">
        <v>1.2500000000000001E-2</v>
      </c>
      <c r="AE93" s="531">
        <v>1.2500000000000001E-2</v>
      </c>
      <c r="AF93" s="504"/>
      <c r="AG93" s="504"/>
      <c r="AH93" s="504"/>
      <c r="AI93" s="504"/>
      <c r="AJ93" s="504"/>
      <c r="AK93" s="2143"/>
    </row>
    <row r="94" spans="1:37">
      <c r="A94" s="2149">
        <v>29</v>
      </c>
      <c r="B94" s="2149" t="s">
        <v>1030</v>
      </c>
      <c r="C94" s="2149" t="s">
        <v>29</v>
      </c>
      <c r="D94" s="2149" t="s">
        <v>1272</v>
      </c>
      <c r="E94" s="504" t="s">
        <v>1286</v>
      </c>
      <c r="F94" s="654" t="s">
        <v>1287</v>
      </c>
      <c r="G94" s="2149" t="s">
        <v>1289</v>
      </c>
      <c r="H94" s="504">
        <v>26171</v>
      </c>
      <c r="I94" s="504"/>
      <c r="J94" s="504"/>
      <c r="K94" s="504"/>
      <c r="L94" s="504" t="s">
        <v>35</v>
      </c>
      <c r="M94" s="504"/>
      <c r="N94" s="2153">
        <v>44028</v>
      </c>
      <c r="O94" s="2149" t="s">
        <v>1358</v>
      </c>
      <c r="P94" s="2149"/>
      <c r="Q94" s="2149" t="s">
        <v>1359</v>
      </c>
      <c r="R94" s="2149" t="s">
        <v>1360</v>
      </c>
      <c r="S94" s="2149" t="s">
        <v>1361</v>
      </c>
      <c r="T94" s="2149" t="s">
        <v>1216</v>
      </c>
      <c r="U94" s="503">
        <v>141.11000000000001</v>
      </c>
      <c r="V94" s="504">
        <v>283.55</v>
      </c>
      <c r="W94" s="504">
        <v>27.85</v>
      </c>
      <c r="X94" s="504">
        <v>213.61</v>
      </c>
      <c r="Y94" s="504">
        <v>53</v>
      </c>
      <c r="Z94" s="504">
        <v>13.72</v>
      </c>
      <c r="AA94" s="499">
        <f t="shared" si="3"/>
        <v>0.74207870500000006</v>
      </c>
      <c r="AB94" s="504"/>
      <c r="AC94" s="531">
        <v>1.2500000000000001E-2</v>
      </c>
      <c r="AD94" s="531">
        <v>1.2500000000000001E-2</v>
      </c>
      <c r="AE94" s="531">
        <v>1.2500000000000001E-2</v>
      </c>
      <c r="AF94" s="504"/>
      <c r="AG94" s="504"/>
      <c r="AH94" s="504"/>
      <c r="AI94" s="504"/>
      <c r="AJ94" s="504"/>
      <c r="AK94" s="2141" t="s">
        <v>1581</v>
      </c>
    </row>
    <row r="95" spans="1:37">
      <c r="A95" s="2149"/>
      <c r="B95" s="2149"/>
      <c r="C95" s="2149"/>
      <c r="D95" s="2149"/>
      <c r="E95" s="504" t="s">
        <v>1386</v>
      </c>
      <c r="F95" s="654" t="s">
        <v>1288</v>
      </c>
      <c r="G95" s="2149"/>
      <c r="H95" s="504">
        <v>26171</v>
      </c>
      <c r="I95" s="504"/>
      <c r="J95" s="504"/>
      <c r="K95" s="504"/>
      <c r="L95" s="504" t="s">
        <v>35</v>
      </c>
      <c r="M95" s="504"/>
      <c r="N95" s="2153"/>
      <c r="O95" s="2149"/>
      <c r="P95" s="2149"/>
      <c r="Q95" s="2149"/>
      <c r="R95" s="2149"/>
      <c r="S95" s="2149"/>
      <c r="T95" s="2149"/>
      <c r="U95" s="503">
        <v>129.01</v>
      </c>
      <c r="V95" s="504">
        <v>280.48</v>
      </c>
      <c r="W95" s="504">
        <v>29.72</v>
      </c>
      <c r="X95" s="504">
        <v>217.72</v>
      </c>
      <c r="Y95" s="504"/>
      <c r="Z95" s="504">
        <v>13.72</v>
      </c>
      <c r="AA95" s="499">
        <f t="shared" si="3"/>
        <v>0.73404420800000003</v>
      </c>
      <c r="AB95" s="504"/>
      <c r="AC95" s="531">
        <v>1.2500000000000001E-2</v>
      </c>
      <c r="AD95" s="531">
        <v>1.2500000000000001E-2</v>
      </c>
      <c r="AE95" s="531">
        <v>1.2500000000000001E-2</v>
      </c>
      <c r="AF95" s="504"/>
      <c r="AG95" s="504"/>
      <c r="AH95" s="504"/>
      <c r="AI95" s="504"/>
      <c r="AJ95" s="504"/>
      <c r="AK95" s="2143"/>
    </row>
    <row r="96" spans="1:37">
      <c r="A96" s="2149">
        <v>30</v>
      </c>
      <c r="B96" s="2149" t="s">
        <v>1030</v>
      </c>
      <c r="C96" s="2149" t="s">
        <v>29</v>
      </c>
      <c r="D96" s="2149" t="s">
        <v>1273</v>
      </c>
      <c r="E96" s="504" t="s">
        <v>1290</v>
      </c>
      <c r="F96" s="654" t="s">
        <v>1292</v>
      </c>
      <c r="G96" s="2149" t="s">
        <v>1289</v>
      </c>
      <c r="H96" s="504">
        <v>26171</v>
      </c>
      <c r="I96" s="504"/>
      <c r="J96" s="504"/>
      <c r="K96" s="504"/>
      <c r="L96" s="504" t="s">
        <v>35</v>
      </c>
      <c r="M96" s="504"/>
      <c r="N96" s="2153">
        <v>44032</v>
      </c>
      <c r="O96" s="2149" t="s">
        <v>1358</v>
      </c>
      <c r="P96" s="2149"/>
      <c r="Q96" s="2149" t="s">
        <v>1357</v>
      </c>
      <c r="R96" s="2149" t="s">
        <v>1362</v>
      </c>
      <c r="S96" s="2149" t="s">
        <v>1363</v>
      </c>
      <c r="T96" s="2149" t="s">
        <v>1216</v>
      </c>
      <c r="U96" s="503">
        <v>291.01</v>
      </c>
      <c r="V96" s="504">
        <v>432.19</v>
      </c>
      <c r="W96" s="504">
        <v>27.53</v>
      </c>
      <c r="X96" s="504">
        <v>38.340000000000003</v>
      </c>
      <c r="Y96" s="504">
        <v>47.5</v>
      </c>
      <c r="Z96" s="504">
        <v>17.84</v>
      </c>
      <c r="AA96" s="499">
        <f t="shared" si="3"/>
        <v>1.131084449</v>
      </c>
      <c r="AB96" s="504"/>
      <c r="AC96" s="531">
        <v>2.5000000000000001E-3</v>
      </c>
      <c r="AD96" s="531">
        <v>2.5000000000000001E-3</v>
      </c>
      <c r="AE96" s="531">
        <v>2.5000000000000001E-3</v>
      </c>
      <c r="AF96" s="504"/>
      <c r="AG96" s="504"/>
      <c r="AH96" s="504"/>
      <c r="AI96" s="504"/>
      <c r="AJ96" s="504"/>
      <c r="AK96" s="2141" t="s">
        <v>1581</v>
      </c>
    </row>
    <row r="97" spans="1:37">
      <c r="A97" s="2149"/>
      <c r="B97" s="2149"/>
      <c r="C97" s="2149"/>
      <c r="D97" s="2149"/>
      <c r="E97" s="504" t="s">
        <v>1291</v>
      </c>
      <c r="F97" s="654" t="s">
        <v>1292</v>
      </c>
      <c r="G97" s="2149"/>
      <c r="H97" s="504">
        <v>68207</v>
      </c>
      <c r="I97" s="504"/>
      <c r="J97" s="504"/>
      <c r="K97" s="504"/>
      <c r="L97" s="504" t="s">
        <v>35</v>
      </c>
      <c r="M97" s="504"/>
      <c r="N97" s="2153"/>
      <c r="O97" s="2149"/>
      <c r="P97" s="2149"/>
      <c r="Q97" s="2149"/>
      <c r="R97" s="2149"/>
      <c r="S97" s="2149"/>
      <c r="T97" s="2149"/>
      <c r="U97" s="503">
        <v>290.75</v>
      </c>
      <c r="V97" s="504">
        <v>432.61</v>
      </c>
      <c r="W97" s="504">
        <v>27.67</v>
      </c>
      <c r="X97" s="504">
        <v>23.58</v>
      </c>
      <c r="Y97" s="504"/>
      <c r="Z97" s="504"/>
      <c r="AA97" s="499">
        <f t="shared" si="3"/>
        <v>2.9507030269999999</v>
      </c>
      <c r="AB97" s="504"/>
      <c r="AC97" s="531">
        <v>2.5000000000000001E-3</v>
      </c>
      <c r="AD97" s="531">
        <v>2.5000000000000001E-3</v>
      </c>
      <c r="AE97" s="531">
        <v>2.5000000000000001E-3</v>
      </c>
      <c r="AF97" s="504"/>
      <c r="AG97" s="504"/>
      <c r="AH97" s="504"/>
      <c r="AI97" s="504"/>
      <c r="AJ97" s="504"/>
      <c r="AK97" s="2143"/>
    </row>
    <row r="98" spans="1:37">
      <c r="A98" s="2147">
        <v>31</v>
      </c>
      <c r="B98" s="2147" t="s">
        <v>1030</v>
      </c>
      <c r="C98" s="2147" t="s">
        <v>29</v>
      </c>
      <c r="D98" s="2147" t="s">
        <v>1274</v>
      </c>
      <c r="E98" s="497" t="s">
        <v>1293</v>
      </c>
      <c r="F98" s="655" t="s">
        <v>1296</v>
      </c>
      <c r="G98" s="2147" t="s">
        <v>1289</v>
      </c>
      <c r="H98" s="497">
        <v>24271</v>
      </c>
      <c r="I98" s="497"/>
      <c r="J98" s="497"/>
      <c r="K98" s="497"/>
      <c r="L98" s="497" t="s">
        <v>35</v>
      </c>
      <c r="M98" s="497"/>
      <c r="N98" s="2152">
        <v>44039</v>
      </c>
      <c r="O98" s="2147" t="s">
        <v>1356</v>
      </c>
      <c r="P98" s="2147"/>
      <c r="Q98" s="2147" t="s">
        <v>1358</v>
      </c>
      <c r="R98" s="2147" t="s">
        <v>1374</v>
      </c>
      <c r="S98" s="2147" t="s">
        <v>1375</v>
      </c>
      <c r="T98" s="2147" t="s">
        <v>1216</v>
      </c>
      <c r="U98" s="497">
        <v>568.41999999999996</v>
      </c>
      <c r="V98" s="497">
        <v>946.39</v>
      </c>
      <c r="W98" s="497">
        <v>88.3</v>
      </c>
      <c r="X98" s="497">
        <v>506.1</v>
      </c>
      <c r="Y98" s="497">
        <v>138.5</v>
      </c>
      <c r="Z98" s="497"/>
      <c r="AA98" s="501">
        <f t="shared" si="3"/>
        <v>2.2969831690000002</v>
      </c>
      <c r="AB98" s="497"/>
      <c r="AC98" s="532">
        <v>1.2500000000000001E-2</v>
      </c>
      <c r="AD98" s="532">
        <v>1.2500000000000001E-2</v>
      </c>
      <c r="AE98" s="532">
        <v>1.2500000000000001E-2</v>
      </c>
      <c r="AF98" s="497" t="s">
        <v>342</v>
      </c>
      <c r="AG98" s="497">
        <v>766.52</v>
      </c>
      <c r="AH98" s="2147">
        <v>698.9</v>
      </c>
      <c r="AI98" s="2147"/>
      <c r="AJ98" s="2147"/>
      <c r="AK98" s="2144" t="s">
        <v>1581</v>
      </c>
    </row>
    <row r="99" spans="1:37">
      <c r="A99" s="2147"/>
      <c r="B99" s="2147"/>
      <c r="C99" s="2147"/>
      <c r="D99" s="2147"/>
      <c r="E99" s="497" t="s">
        <v>1294</v>
      </c>
      <c r="F99" s="655" t="s">
        <v>1296</v>
      </c>
      <c r="G99" s="2147"/>
      <c r="H99" s="497">
        <v>1900</v>
      </c>
      <c r="I99" s="497"/>
      <c r="J99" s="497"/>
      <c r="K99" s="497"/>
      <c r="L99" s="497" t="s">
        <v>35</v>
      </c>
      <c r="M99" s="497"/>
      <c r="N99" s="2152"/>
      <c r="O99" s="2147"/>
      <c r="P99" s="2147"/>
      <c r="Q99" s="2147"/>
      <c r="R99" s="2147"/>
      <c r="S99" s="2147"/>
      <c r="T99" s="2147"/>
      <c r="U99" s="497">
        <v>569.95000000000005</v>
      </c>
      <c r="V99" s="497">
        <v>954.51</v>
      </c>
      <c r="W99" s="497">
        <v>89.79</v>
      </c>
      <c r="X99" s="497">
        <v>16.55</v>
      </c>
      <c r="Y99" s="497"/>
      <c r="Z99" s="497"/>
      <c r="AA99" s="501">
        <f t="shared" si="3"/>
        <v>0.18135689999999999</v>
      </c>
      <c r="AB99" s="497"/>
      <c r="AC99" s="532">
        <v>1.2500000000000001E-2</v>
      </c>
      <c r="AD99" s="532">
        <v>1.2500000000000001E-2</v>
      </c>
      <c r="AE99" s="532">
        <v>1.2500000000000001E-2</v>
      </c>
      <c r="AF99" s="497" t="s">
        <v>342</v>
      </c>
      <c r="AG99" s="497">
        <v>772.42</v>
      </c>
      <c r="AH99" s="2147"/>
      <c r="AI99" s="2147"/>
      <c r="AJ99" s="2147"/>
      <c r="AK99" s="2145"/>
    </row>
    <row r="100" spans="1:37">
      <c r="A100" s="2147"/>
      <c r="B100" s="2147"/>
      <c r="C100" s="2147"/>
      <c r="D100" s="2147"/>
      <c r="E100" s="497" t="s">
        <v>1295</v>
      </c>
      <c r="F100" s="655" t="s">
        <v>1296</v>
      </c>
      <c r="G100" s="2147"/>
      <c r="H100" s="497">
        <v>68207</v>
      </c>
      <c r="I100" s="497"/>
      <c r="J100" s="497"/>
      <c r="K100" s="497"/>
      <c r="L100" s="497" t="s">
        <v>35</v>
      </c>
      <c r="M100" s="497"/>
      <c r="N100" s="2152"/>
      <c r="O100" s="2147"/>
      <c r="P100" s="2147"/>
      <c r="Q100" s="2147"/>
      <c r="R100" s="2147"/>
      <c r="S100" s="2147"/>
      <c r="T100" s="2147"/>
      <c r="U100" s="497">
        <v>568.44000000000005</v>
      </c>
      <c r="V100" s="497">
        <v>946.42</v>
      </c>
      <c r="W100" s="497">
        <v>88.3</v>
      </c>
      <c r="X100" s="497">
        <v>119.7</v>
      </c>
      <c r="Y100" s="497"/>
      <c r="Z100" s="497">
        <v>46.48</v>
      </c>
      <c r="AA100" s="501">
        <f t="shared" si="3"/>
        <v>6.4552468940000001</v>
      </c>
      <c r="AB100" s="497"/>
      <c r="AC100" s="532">
        <v>1.2500000000000001E-2</v>
      </c>
      <c r="AD100" s="532">
        <v>1.2500000000000001E-2</v>
      </c>
      <c r="AE100" s="532">
        <v>1.2500000000000001E-2</v>
      </c>
      <c r="AF100" s="497" t="s">
        <v>342</v>
      </c>
      <c r="AG100" s="497">
        <v>738.26</v>
      </c>
      <c r="AH100" s="2147"/>
      <c r="AI100" s="2147"/>
      <c r="AJ100" s="2147"/>
      <c r="AK100" s="2146"/>
    </row>
    <row r="101" spans="1:37">
      <c r="A101" s="2149">
        <v>32</v>
      </c>
      <c r="B101" s="2149" t="s">
        <v>1030</v>
      </c>
      <c r="C101" s="2149" t="s">
        <v>29</v>
      </c>
      <c r="D101" s="2149" t="s">
        <v>1275</v>
      </c>
      <c r="E101" s="504" t="s">
        <v>1297</v>
      </c>
      <c r="F101" s="654" t="s">
        <v>1299</v>
      </c>
      <c r="G101" s="2149" t="s">
        <v>1289</v>
      </c>
      <c r="H101" s="504">
        <v>26171</v>
      </c>
      <c r="I101" s="504"/>
      <c r="J101" s="504"/>
      <c r="K101" s="504"/>
      <c r="L101" s="504" t="s">
        <v>35</v>
      </c>
      <c r="M101" s="504"/>
      <c r="N101" s="2153">
        <v>44039</v>
      </c>
      <c r="O101" s="2149" t="s">
        <v>1356</v>
      </c>
      <c r="P101" s="2149"/>
      <c r="Q101" s="2149" t="s">
        <v>1358</v>
      </c>
      <c r="R101" s="2149" t="s">
        <v>1374</v>
      </c>
      <c r="S101" s="2149" t="s">
        <v>1354</v>
      </c>
      <c r="T101" s="2149" t="s">
        <v>1216</v>
      </c>
      <c r="U101" s="503">
        <v>245.93</v>
      </c>
      <c r="V101" s="504">
        <v>423.5</v>
      </c>
      <c r="W101" s="504">
        <v>28.3</v>
      </c>
      <c r="X101" s="504">
        <v>291.14</v>
      </c>
      <c r="Y101" s="504">
        <v>7.5</v>
      </c>
      <c r="Z101" s="504">
        <v>11.41</v>
      </c>
      <c r="AA101" s="499">
        <f t="shared" si="3"/>
        <v>1.10834185</v>
      </c>
      <c r="AB101" s="504"/>
      <c r="AC101" s="531">
        <v>1.2500000000000001E-2</v>
      </c>
      <c r="AD101" s="531">
        <v>1.2500000000000001E-2</v>
      </c>
      <c r="AE101" s="531">
        <v>1.2500000000000001E-2</v>
      </c>
      <c r="AF101" s="504"/>
      <c r="AG101" s="504"/>
      <c r="AH101" s="504"/>
      <c r="AI101" s="504"/>
      <c r="AJ101" s="504"/>
      <c r="AK101" s="2141" t="s">
        <v>1581</v>
      </c>
    </row>
    <row r="102" spans="1:37">
      <c r="A102" s="2149"/>
      <c r="B102" s="2149"/>
      <c r="C102" s="2149"/>
      <c r="D102" s="2149"/>
      <c r="E102" s="504" t="s">
        <v>1298</v>
      </c>
      <c r="F102" s="654" t="s">
        <v>1300</v>
      </c>
      <c r="G102" s="2149"/>
      <c r="H102" s="504">
        <v>26171</v>
      </c>
      <c r="I102" s="504"/>
      <c r="J102" s="504"/>
      <c r="K102" s="504"/>
      <c r="L102" s="504" t="s">
        <v>35</v>
      </c>
      <c r="M102" s="504"/>
      <c r="N102" s="2153"/>
      <c r="O102" s="2149"/>
      <c r="P102" s="2149"/>
      <c r="Q102" s="2149"/>
      <c r="R102" s="2149"/>
      <c r="S102" s="2149"/>
      <c r="T102" s="2149"/>
      <c r="U102" s="503">
        <v>245.93</v>
      </c>
      <c r="V102" s="504">
        <v>423.5</v>
      </c>
      <c r="W102" s="504">
        <v>28.3</v>
      </c>
      <c r="X102" s="504">
        <v>260.13</v>
      </c>
      <c r="Y102" s="504">
        <v>7.5</v>
      </c>
      <c r="Z102" s="504">
        <v>11.41</v>
      </c>
      <c r="AA102" s="499">
        <f t="shared" si="3"/>
        <v>1.10834185</v>
      </c>
      <c r="AB102" s="504"/>
      <c r="AC102" s="531">
        <v>1.2500000000000001E-2</v>
      </c>
      <c r="AD102" s="531">
        <v>1.2500000000000001E-2</v>
      </c>
      <c r="AE102" s="531">
        <v>1.2500000000000001E-2</v>
      </c>
      <c r="AF102" s="504"/>
      <c r="AG102" s="504"/>
      <c r="AH102" s="504"/>
      <c r="AI102" s="504"/>
      <c r="AJ102" s="504"/>
      <c r="AK102" s="2143"/>
    </row>
    <row r="103" spans="1:37">
      <c r="A103" s="504"/>
      <c r="B103" s="504" t="s">
        <v>1241</v>
      </c>
      <c r="C103" s="504" t="s">
        <v>1402</v>
      </c>
      <c r="D103" s="504"/>
      <c r="E103" s="504" t="s">
        <v>1403</v>
      </c>
      <c r="F103" s="654" t="s">
        <v>1404</v>
      </c>
      <c r="G103" s="504" t="s">
        <v>1405</v>
      </c>
      <c r="H103" s="504">
        <v>80000</v>
      </c>
      <c r="I103" s="504"/>
      <c r="J103" s="504"/>
      <c r="K103" s="504"/>
      <c r="L103" s="504"/>
      <c r="M103" s="504"/>
      <c r="N103" s="651"/>
      <c r="O103" s="504"/>
      <c r="P103" s="504"/>
      <c r="Q103" s="504"/>
      <c r="R103" s="504"/>
      <c r="S103" s="504"/>
      <c r="T103" s="504" t="s">
        <v>1216</v>
      </c>
      <c r="U103" s="503">
        <v>72.149999999999991</v>
      </c>
      <c r="V103" s="504">
        <v>144.56</v>
      </c>
      <c r="W103" s="504">
        <v>9.81</v>
      </c>
      <c r="X103" s="504">
        <v>5.74</v>
      </c>
      <c r="Y103" s="504"/>
      <c r="Z103" s="504">
        <v>33.22</v>
      </c>
      <c r="AA103" s="499">
        <f t="shared" si="3"/>
        <v>1.15648</v>
      </c>
      <c r="AB103" s="504"/>
      <c r="AC103" s="531"/>
      <c r="AD103" s="531"/>
      <c r="AE103" s="531"/>
      <c r="AF103" s="504" t="s">
        <v>1546</v>
      </c>
      <c r="AG103" s="504"/>
      <c r="AH103" s="504"/>
      <c r="AI103" s="504"/>
      <c r="AJ103" s="504"/>
      <c r="AK103" s="504"/>
    </row>
    <row r="104" spans="1:37">
      <c r="A104" s="2149"/>
      <c r="B104" s="2149" t="s">
        <v>1406</v>
      </c>
      <c r="C104" s="504" t="s">
        <v>1402</v>
      </c>
      <c r="D104" s="504"/>
      <c r="E104" s="504" t="s">
        <v>1407</v>
      </c>
      <c r="F104" s="654" t="s">
        <v>1409</v>
      </c>
      <c r="G104" s="2149" t="s">
        <v>1405</v>
      </c>
      <c r="H104" s="504">
        <v>120000</v>
      </c>
      <c r="I104" s="504"/>
      <c r="J104" s="504"/>
      <c r="K104" s="504"/>
      <c r="L104" s="504"/>
      <c r="M104" s="504"/>
      <c r="N104" s="651"/>
      <c r="O104" s="504"/>
      <c r="P104" s="504"/>
      <c r="Q104" s="504"/>
      <c r="R104" s="504"/>
      <c r="S104" s="504"/>
      <c r="T104" s="2149" t="s">
        <v>1216</v>
      </c>
      <c r="U104" s="503">
        <v>81.88</v>
      </c>
      <c r="V104" s="504">
        <v>141.29</v>
      </c>
      <c r="W104" s="504">
        <v>8.25</v>
      </c>
      <c r="X104" s="504">
        <v>17</v>
      </c>
      <c r="Y104" s="504">
        <v>30.25</v>
      </c>
      <c r="Z104" s="504"/>
      <c r="AA104" s="499">
        <f t="shared" si="3"/>
        <v>1.6954800000000001</v>
      </c>
      <c r="AB104" s="504"/>
      <c r="AC104" s="531"/>
      <c r="AD104" s="531"/>
      <c r="AE104" s="531"/>
      <c r="AF104" s="504" t="s">
        <v>1546</v>
      </c>
      <c r="AG104" s="504"/>
      <c r="AH104" s="504"/>
      <c r="AI104" s="504"/>
      <c r="AJ104" s="504"/>
      <c r="AK104" s="2141">
        <v>44713</v>
      </c>
    </row>
    <row r="105" spans="1:37">
      <c r="A105" s="2149"/>
      <c r="B105" s="2149"/>
      <c r="C105" s="504" t="s">
        <v>1402</v>
      </c>
      <c r="D105" s="504"/>
      <c r="E105" s="504" t="s">
        <v>1407</v>
      </c>
      <c r="F105" s="654" t="s">
        <v>1410</v>
      </c>
      <c r="G105" s="2149"/>
      <c r="H105" s="504">
        <v>120000</v>
      </c>
      <c r="I105" s="504"/>
      <c r="J105" s="504"/>
      <c r="K105" s="504"/>
      <c r="L105" s="504"/>
      <c r="M105" s="504"/>
      <c r="N105" s="651"/>
      <c r="O105" s="504"/>
      <c r="P105" s="504"/>
      <c r="Q105" s="504"/>
      <c r="R105" s="504"/>
      <c r="S105" s="504"/>
      <c r="T105" s="2149"/>
      <c r="U105" s="503">
        <v>82.87</v>
      </c>
      <c r="V105" s="504">
        <v>152.93</v>
      </c>
      <c r="W105" s="504">
        <v>10.31</v>
      </c>
      <c r="X105" s="504">
        <v>20.079999999999998</v>
      </c>
      <c r="Y105" s="504">
        <v>30.25</v>
      </c>
      <c r="Z105" s="504"/>
      <c r="AA105" s="499">
        <f t="shared" si="3"/>
        <v>1.8351599999999999</v>
      </c>
      <c r="AB105" s="504"/>
      <c r="AC105" s="531"/>
      <c r="AD105" s="531"/>
      <c r="AE105" s="531"/>
      <c r="AF105" s="504" t="s">
        <v>1546</v>
      </c>
      <c r="AG105" s="504"/>
      <c r="AH105" s="504"/>
      <c r="AI105" s="504"/>
      <c r="AJ105" s="504"/>
      <c r="AK105" s="2142"/>
    </row>
    <row r="106" spans="1:37">
      <c r="A106" s="2149"/>
      <c r="B106" s="2149"/>
      <c r="C106" s="504" t="s">
        <v>1402</v>
      </c>
      <c r="D106" s="504"/>
      <c r="E106" s="504" t="s">
        <v>1408</v>
      </c>
      <c r="F106" s="654" t="s">
        <v>1411</v>
      </c>
      <c r="G106" s="2149"/>
      <c r="H106" s="504">
        <v>120000</v>
      </c>
      <c r="I106" s="504"/>
      <c r="J106" s="504"/>
      <c r="K106" s="504"/>
      <c r="L106" s="504"/>
      <c r="M106" s="504"/>
      <c r="N106" s="651"/>
      <c r="O106" s="504"/>
      <c r="P106" s="504"/>
      <c r="Q106" s="504"/>
      <c r="R106" s="504"/>
      <c r="S106" s="504"/>
      <c r="T106" s="2149"/>
      <c r="U106" s="503">
        <v>212.3</v>
      </c>
      <c r="V106" s="504">
        <v>436.32</v>
      </c>
      <c r="W106" s="504">
        <v>36.49</v>
      </c>
      <c r="X106" s="504">
        <v>142.83000000000001</v>
      </c>
      <c r="Y106" s="504">
        <v>62.25</v>
      </c>
      <c r="Z106" s="504"/>
      <c r="AA106" s="499">
        <f t="shared" si="3"/>
        <v>5.2358399999999996</v>
      </c>
      <c r="AB106" s="504"/>
      <c r="AC106" s="531"/>
      <c r="AD106" s="531"/>
      <c r="AE106" s="531"/>
      <c r="AF106" s="504" t="s">
        <v>1546</v>
      </c>
      <c r="AG106" s="504"/>
      <c r="AH106" s="504"/>
      <c r="AI106" s="504"/>
      <c r="AJ106" s="504"/>
      <c r="AK106" s="2143"/>
    </row>
    <row r="107" spans="1:37">
      <c r="A107" s="2149">
        <v>33</v>
      </c>
      <c r="B107" s="2149" t="s">
        <v>1030</v>
      </c>
      <c r="C107" s="2149" t="s">
        <v>29</v>
      </c>
      <c r="D107" s="2149" t="s">
        <v>1276</v>
      </c>
      <c r="E107" s="504" t="s">
        <v>1301</v>
      </c>
      <c r="F107" s="654" t="s">
        <v>1303</v>
      </c>
      <c r="G107" s="2149" t="s">
        <v>1289</v>
      </c>
      <c r="H107" s="504">
        <v>68207</v>
      </c>
      <c r="I107" s="504"/>
      <c r="J107" s="504"/>
      <c r="K107" s="504"/>
      <c r="L107" s="504" t="s">
        <v>35</v>
      </c>
      <c r="M107" s="504"/>
      <c r="N107" s="2153">
        <v>44049</v>
      </c>
      <c r="O107" s="2149" t="s">
        <v>1355</v>
      </c>
      <c r="P107" s="2149"/>
      <c r="Q107" s="2149" t="s">
        <v>1376</v>
      </c>
      <c r="R107" s="2149" t="s">
        <v>1351</v>
      </c>
      <c r="S107" s="2149" t="s">
        <v>1377</v>
      </c>
      <c r="T107" s="2149" t="s">
        <v>1216</v>
      </c>
      <c r="U107" s="503">
        <v>188.18</v>
      </c>
      <c r="V107" s="504">
        <v>305.41000000000003</v>
      </c>
      <c r="W107" s="504">
        <v>24.91</v>
      </c>
      <c r="X107" s="504">
        <v>261.25</v>
      </c>
      <c r="Y107" s="504">
        <v>17.25</v>
      </c>
      <c r="Z107" s="504">
        <v>13.67</v>
      </c>
      <c r="AA107" s="499">
        <f t="shared" si="3"/>
        <v>2.0831099870000003</v>
      </c>
      <c r="AB107" s="504"/>
      <c r="AC107" s="531">
        <v>1.2500000000000001E-2</v>
      </c>
      <c r="AD107" s="531">
        <v>1.2500000000000001E-2</v>
      </c>
      <c r="AE107" s="531">
        <v>1.2500000000000001E-2</v>
      </c>
      <c r="AF107" s="504"/>
      <c r="AG107" s="504"/>
      <c r="AH107" s="504"/>
      <c r="AI107" s="504"/>
      <c r="AJ107" s="504"/>
      <c r="AK107" s="2141" t="s">
        <v>1581</v>
      </c>
    </row>
    <row r="108" spans="1:37">
      <c r="A108" s="2149"/>
      <c r="B108" s="2149"/>
      <c r="C108" s="2149"/>
      <c r="D108" s="2149"/>
      <c r="E108" s="504" t="s">
        <v>1302</v>
      </c>
      <c r="F108" s="654" t="s">
        <v>1304</v>
      </c>
      <c r="G108" s="2149"/>
      <c r="H108" s="504">
        <v>68207</v>
      </c>
      <c r="I108" s="504"/>
      <c r="J108" s="504"/>
      <c r="K108" s="504"/>
      <c r="L108" s="504" t="s">
        <v>35</v>
      </c>
      <c r="M108" s="504"/>
      <c r="N108" s="2153"/>
      <c r="O108" s="2149"/>
      <c r="P108" s="2149"/>
      <c r="Q108" s="2149"/>
      <c r="R108" s="2149"/>
      <c r="S108" s="2149"/>
      <c r="T108" s="2149"/>
      <c r="U108" s="503">
        <v>189.08</v>
      </c>
      <c r="V108" s="504">
        <v>298.70999999999998</v>
      </c>
      <c r="W108" s="504">
        <v>23.22</v>
      </c>
      <c r="X108" s="504">
        <v>188.22</v>
      </c>
      <c r="Y108" s="504">
        <v>17.25</v>
      </c>
      <c r="Z108" s="504">
        <v>13.67</v>
      </c>
      <c r="AA108" s="499">
        <f t="shared" si="3"/>
        <v>2.0374112969999998</v>
      </c>
      <c r="AB108" s="504"/>
      <c r="AC108" s="531">
        <v>1.2500000000000001E-2</v>
      </c>
      <c r="AD108" s="531">
        <v>1.2500000000000001E-2</v>
      </c>
      <c r="AE108" s="531">
        <v>1.2500000000000001E-2</v>
      </c>
      <c r="AF108" s="504"/>
      <c r="AG108" s="504"/>
      <c r="AH108" s="504"/>
      <c r="AI108" s="504"/>
      <c r="AJ108" s="504"/>
      <c r="AK108" s="2143"/>
    </row>
    <row r="109" spans="1:37">
      <c r="A109" s="2149">
        <v>34</v>
      </c>
      <c r="B109" s="2149" t="s">
        <v>1030</v>
      </c>
      <c r="C109" s="2149" t="s">
        <v>29</v>
      </c>
      <c r="D109" s="2149" t="s">
        <v>1277</v>
      </c>
      <c r="E109" s="504" t="s">
        <v>1305</v>
      </c>
      <c r="F109" s="654" t="s">
        <v>1307</v>
      </c>
      <c r="G109" s="2149" t="s">
        <v>1289</v>
      </c>
      <c r="H109" s="504">
        <v>68207</v>
      </c>
      <c r="I109" s="504"/>
      <c r="J109" s="504"/>
      <c r="K109" s="504"/>
      <c r="L109" s="504" t="s">
        <v>35</v>
      </c>
      <c r="M109" s="504"/>
      <c r="N109" s="2153">
        <v>44049</v>
      </c>
      <c r="O109" s="2149" t="s">
        <v>1355</v>
      </c>
      <c r="P109" s="2149"/>
      <c r="Q109" s="2149" t="s">
        <v>1376</v>
      </c>
      <c r="R109" s="2149" t="s">
        <v>1351</v>
      </c>
      <c r="S109" s="2149" t="s">
        <v>1378</v>
      </c>
      <c r="T109" s="2149" t="s">
        <v>1216</v>
      </c>
      <c r="U109" s="503">
        <v>163.75</v>
      </c>
      <c r="V109" s="504">
        <v>292.64</v>
      </c>
      <c r="W109" s="504">
        <v>27.05</v>
      </c>
      <c r="X109" s="504">
        <v>225.87</v>
      </c>
      <c r="Y109" s="504">
        <v>18.25</v>
      </c>
      <c r="Z109" s="504">
        <v>14.92</v>
      </c>
      <c r="AA109" s="499">
        <f t="shared" si="3"/>
        <v>1.996009648</v>
      </c>
      <c r="AB109" s="504"/>
      <c r="AC109" s="531">
        <v>1.2500000000000001E-2</v>
      </c>
      <c r="AD109" s="531">
        <v>1.2500000000000001E-2</v>
      </c>
      <c r="AE109" s="531">
        <v>1.2500000000000001E-2</v>
      </c>
      <c r="AF109" s="504"/>
      <c r="AG109" s="504"/>
      <c r="AH109" s="504"/>
      <c r="AI109" s="504"/>
      <c r="AJ109" s="504"/>
      <c r="AK109" s="2141" t="s">
        <v>1581</v>
      </c>
    </row>
    <row r="110" spans="1:37">
      <c r="A110" s="2149"/>
      <c r="B110" s="2149"/>
      <c r="C110" s="2149"/>
      <c r="D110" s="2149"/>
      <c r="E110" s="504" t="s">
        <v>1306</v>
      </c>
      <c r="F110" s="654" t="s">
        <v>1308</v>
      </c>
      <c r="G110" s="2149"/>
      <c r="H110" s="504">
        <v>68207</v>
      </c>
      <c r="I110" s="504"/>
      <c r="J110" s="504"/>
      <c r="K110" s="504"/>
      <c r="L110" s="504" t="s">
        <v>35</v>
      </c>
      <c r="M110" s="504"/>
      <c r="N110" s="2153"/>
      <c r="O110" s="2149"/>
      <c r="P110" s="2149"/>
      <c r="Q110" s="2149"/>
      <c r="R110" s="2149"/>
      <c r="S110" s="2149"/>
      <c r="T110" s="2149"/>
      <c r="U110" s="503">
        <v>163.30000000000001</v>
      </c>
      <c r="V110" s="504">
        <v>292.18</v>
      </c>
      <c r="W110" s="504">
        <v>27.04</v>
      </c>
      <c r="X110" s="504">
        <v>204.72</v>
      </c>
      <c r="Y110" s="504">
        <v>18.25</v>
      </c>
      <c r="Z110" s="504">
        <v>14.92</v>
      </c>
      <c r="AA110" s="499">
        <f t="shared" si="3"/>
        <v>1.9928721260000002</v>
      </c>
      <c r="AB110" s="504"/>
      <c r="AC110" s="531">
        <v>1.2500000000000001E-2</v>
      </c>
      <c r="AD110" s="531">
        <v>1.2500000000000001E-2</v>
      </c>
      <c r="AE110" s="531">
        <v>1.2500000000000001E-2</v>
      </c>
      <c r="AF110" s="504"/>
      <c r="AG110" s="504"/>
      <c r="AH110" s="504"/>
      <c r="AI110" s="504"/>
      <c r="AJ110" s="504"/>
      <c r="AK110" s="2143"/>
    </row>
    <row r="111" spans="1:37">
      <c r="A111" s="2149">
        <v>35</v>
      </c>
      <c r="B111" s="2149" t="s">
        <v>1030</v>
      </c>
      <c r="C111" s="2149" t="s">
        <v>29</v>
      </c>
      <c r="D111" s="2149" t="s">
        <v>1278</v>
      </c>
      <c r="E111" s="504" t="s">
        <v>1309</v>
      </c>
      <c r="F111" s="654" t="s">
        <v>608</v>
      </c>
      <c r="G111" s="2149" t="s">
        <v>1289</v>
      </c>
      <c r="H111" s="504">
        <v>68207</v>
      </c>
      <c r="I111" s="504"/>
      <c r="J111" s="504"/>
      <c r="K111" s="504"/>
      <c r="L111" s="504" t="s">
        <v>35</v>
      </c>
      <c r="M111" s="504"/>
      <c r="N111" s="2153">
        <v>44053</v>
      </c>
      <c r="O111" s="2149" t="s">
        <v>1348</v>
      </c>
      <c r="P111" s="2149"/>
      <c r="Q111" s="2149" t="s">
        <v>1351</v>
      </c>
      <c r="R111" s="2149" t="s">
        <v>1379</v>
      </c>
      <c r="S111" s="2149" t="s">
        <v>1379</v>
      </c>
      <c r="T111" s="2149" t="s">
        <v>1216</v>
      </c>
      <c r="U111" s="503">
        <v>187.57</v>
      </c>
      <c r="V111" s="504">
        <v>290.18</v>
      </c>
      <c r="W111" s="504">
        <v>22.53</v>
      </c>
      <c r="X111" s="504">
        <v>144.36000000000001</v>
      </c>
      <c r="Y111" s="504">
        <v>17.25</v>
      </c>
      <c r="Z111" s="504">
        <v>12.82</v>
      </c>
      <c r="AA111" s="499">
        <f t="shared" si="3"/>
        <v>1.9792307260000002</v>
      </c>
      <c r="AB111" s="504"/>
      <c r="AC111" s="531">
        <v>0.01</v>
      </c>
      <c r="AD111" s="531">
        <v>0.01</v>
      </c>
      <c r="AE111" s="531">
        <v>0.01</v>
      </c>
      <c r="AF111" s="504"/>
      <c r="AG111" s="504"/>
      <c r="AH111" s="504"/>
      <c r="AI111" s="504"/>
      <c r="AJ111" s="504"/>
      <c r="AK111" s="2141" t="s">
        <v>1581</v>
      </c>
    </row>
    <row r="112" spans="1:37">
      <c r="A112" s="2149"/>
      <c r="B112" s="2149"/>
      <c r="C112" s="2149"/>
      <c r="D112" s="2149"/>
      <c r="E112" s="504" t="s">
        <v>1310</v>
      </c>
      <c r="F112" s="654" t="s">
        <v>612</v>
      </c>
      <c r="G112" s="2149"/>
      <c r="H112" s="504">
        <v>68207</v>
      </c>
      <c r="I112" s="504"/>
      <c r="J112" s="504"/>
      <c r="K112" s="504"/>
      <c r="L112" s="504" t="s">
        <v>35</v>
      </c>
      <c r="M112" s="504"/>
      <c r="N112" s="2153"/>
      <c r="O112" s="2149"/>
      <c r="P112" s="2149"/>
      <c r="Q112" s="2149"/>
      <c r="R112" s="2149"/>
      <c r="S112" s="2149"/>
      <c r="T112" s="2149"/>
      <c r="U112" s="503">
        <v>187.49</v>
      </c>
      <c r="V112" s="504">
        <v>290.10000000000002</v>
      </c>
      <c r="W112" s="504">
        <v>22.53</v>
      </c>
      <c r="X112" s="504">
        <v>134.68</v>
      </c>
      <c r="Y112" s="504">
        <v>17.25</v>
      </c>
      <c r="Z112" s="504">
        <v>12.82</v>
      </c>
      <c r="AA112" s="499">
        <f t="shared" si="3"/>
        <v>1.9786850700000003</v>
      </c>
      <c r="AB112" s="504"/>
      <c r="AC112" s="531">
        <v>0.01</v>
      </c>
      <c r="AD112" s="531">
        <v>0.01</v>
      </c>
      <c r="AE112" s="531">
        <v>0.01</v>
      </c>
      <c r="AF112" s="504"/>
      <c r="AG112" s="504"/>
      <c r="AH112" s="504"/>
      <c r="AI112" s="504"/>
      <c r="AJ112" s="504"/>
      <c r="AK112" s="2143"/>
    </row>
    <row r="113" spans="1:37">
      <c r="A113" s="2147">
        <v>36</v>
      </c>
      <c r="B113" s="2147" t="s">
        <v>1030</v>
      </c>
      <c r="C113" s="2147" t="s">
        <v>29</v>
      </c>
      <c r="D113" s="2147" t="s">
        <v>1279</v>
      </c>
      <c r="E113" s="534" t="s">
        <v>1311</v>
      </c>
      <c r="F113" s="656" t="s">
        <v>1327</v>
      </c>
      <c r="G113" s="2147" t="s">
        <v>1289</v>
      </c>
      <c r="H113" s="534">
        <v>25029</v>
      </c>
      <c r="I113" s="497"/>
      <c r="J113" s="497"/>
      <c r="K113" s="497"/>
      <c r="L113" s="497" t="s">
        <v>35</v>
      </c>
      <c r="M113" s="497"/>
      <c r="N113" s="2152">
        <v>44053</v>
      </c>
      <c r="O113" s="2147" t="s">
        <v>1347</v>
      </c>
      <c r="P113" s="2147"/>
      <c r="Q113" s="2147" t="s">
        <v>1378</v>
      </c>
      <c r="R113" s="2147" t="s">
        <v>1348</v>
      </c>
      <c r="S113" s="2147" t="s">
        <v>1380</v>
      </c>
      <c r="T113" s="2147" t="s">
        <v>1216</v>
      </c>
      <c r="U113" s="501">
        <v>580.11339044992962</v>
      </c>
      <c r="V113" s="501">
        <v>980.96763104622676</v>
      </c>
      <c r="W113" s="501">
        <v>87.156383692244958</v>
      </c>
      <c r="X113" s="501">
        <v>470.61</v>
      </c>
      <c r="Y113" s="497">
        <v>158.5</v>
      </c>
      <c r="Z113" s="497">
        <v>63.14</v>
      </c>
      <c r="AA113" s="501">
        <f t="shared" si="3"/>
        <v>2.4552638837456011</v>
      </c>
      <c r="AB113" s="497"/>
      <c r="AC113" s="532">
        <v>0.01</v>
      </c>
      <c r="AD113" s="532">
        <v>0.01</v>
      </c>
      <c r="AE113" s="532">
        <v>0.01</v>
      </c>
      <c r="AF113" s="501" t="s">
        <v>342</v>
      </c>
      <c r="AG113" s="497">
        <v>751.97</v>
      </c>
      <c r="AH113" s="2147">
        <v>850.68</v>
      </c>
      <c r="AI113" s="2147"/>
      <c r="AJ113" s="2147"/>
      <c r="AK113" s="2144" t="s">
        <v>1581</v>
      </c>
    </row>
    <row r="114" spans="1:37">
      <c r="A114" s="2147"/>
      <c r="B114" s="2147"/>
      <c r="C114" s="2147"/>
      <c r="D114" s="2147"/>
      <c r="E114" s="534" t="s">
        <v>1312</v>
      </c>
      <c r="F114" s="656" t="s">
        <v>1327</v>
      </c>
      <c r="G114" s="2147"/>
      <c r="H114" s="534">
        <v>25029</v>
      </c>
      <c r="I114" s="497"/>
      <c r="J114" s="497"/>
      <c r="K114" s="497"/>
      <c r="L114" s="497" t="s">
        <v>35</v>
      </c>
      <c r="M114" s="497"/>
      <c r="N114" s="2152"/>
      <c r="O114" s="2147"/>
      <c r="P114" s="2147"/>
      <c r="Q114" s="2147"/>
      <c r="R114" s="2147"/>
      <c r="S114" s="2147"/>
      <c r="T114" s="2147"/>
      <c r="U114" s="501">
        <v>591.50317239992955</v>
      </c>
      <c r="V114" s="501">
        <v>1008.4517679792303</v>
      </c>
      <c r="W114" s="501">
        <v>90.881831167401771</v>
      </c>
      <c r="X114" s="501">
        <v>323.58999999999997</v>
      </c>
      <c r="Y114" s="497"/>
      <c r="Z114" s="497"/>
      <c r="AA114" s="501">
        <f t="shared" si="3"/>
        <v>2.5240539300752154</v>
      </c>
      <c r="AB114" s="497"/>
      <c r="AC114" s="532">
        <v>0.01</v>
      </c>
      <c r="AD114" s="532">
        <v>0.01</v>
      </c>
      <c r="AE114" s="532">
        <v>0.01</v>
      </c>
      <c r="AF114" s="501" t="s">
        <v>342</v>
      </c>
      <c r="AG114" s="497">
        <v>781.54</v>
      </c>
      <c r="AH114" s="2147"/>
      <c r="AI114" s="2147"/>
      <c r="AJ114" s="2147"/>
      <c r="AK114" s="2145"/>
    </row>
    <row r="115" spans="1:37">
      <c r="A115" s="2147"/>
      <c r="B115" s="2147"/>
      <c r="C115" s="2147"/>
      <c r="D115" s="2147"/>
      <c r="E115" s="534" t="s">
        <v>1313</v>
      </c>
      <c r="F115" s="656" t="s">
        <v>1327</v>
      </c>
      <c r="G115" s="2147"/>
      <c r="H115" s="534">
        <v>9075</v>
      </c>
      <c r="I115" s="497"/>
      <c r="J115" s="497"/>
      <c r="K115" s="497"/>
      <c r="L115" s="497" t="s">
        <v>35</v>
      </c>
      <c r="M115" s="497"/>
      <c r="N115" s="2152"/>
      <c r="O115" s="2147"/>
      <c r="P115" s="2147"/>
      <c r="Q115" s="2147"/>
      <c r="R115" s="2147"/>
      <c r="S115" s="2147"/>
      <c r="T115" s="2147"/>
      <c r="U115" s="501">
        <v>578.80881770199699</v>
      </c>
      <c r="V115" s="501">
        <v>976.75126338886707</v>
      </c>
      <c r="W115" s="501">
        <v>86.336172798727489</v>
      </c>
      <c r="X115" s="501">
        <v>23.98</v>
      </c>
      <c r="Y115" s="497"/>
      <c r="Z115" s="497"/>
      <c r="AA115" s="501">
        <f t="shared" si="3"/>
        <v>0.88640177152539679</v>
      </c>
      <c r="AB115" s="497"/>
      <c r="AC115" s="532">
        <v>0.01</v>
      </c>
      <c r="AD115" s="532">
        <v>0.01</v>
      </c>
      <c r="AE115" s="532">
        <v>0.01</v>
      </c>
      <c r="AF115" s="501" t="s">
        <v>342</v>
      </c>
      <c r="AG115" s="497">
        <v>754.72</v>
      </c>
      <c r="AH115" s="2147"/>
      <c r="AI115" s="2147"/>
      <c r="AJ115" s="2147"/>
      <c r="AK115" s="2145"/>
    </row>
    <row r="116" spans="1:37">
      <c r="A116" s="2147"/>
      <c r="B116" s="2147"/>
      <c r="C116" s="2147"/>
      <c r="D116" s="2147"/>
      <c r="E116" s="534" t="s">
        <v>1314</v>
      </c>
      <c r="F116" s="656" t="s">
        <v>1327</v>
      </c>
      <c r="G116" s="2147"/>
      <c r="H116" s="534">
        <v>9075</v>
      </c>
      <c r="I116" s="497"/>
      <c r="J116" s="497"/>
      <c r="K116" s="497"/>
      <c r="L116" s="497" t="s">
        <v>35</v>
      </c>
      <c r="M116" s="497"/>
      <c r="N116" s="2152"/>
      <c r="O116" s="2147"/>
      <c r="P116" s="2147"/>
      <c r="Q116" s="2147"/>
      <c r="R116" s="2147"/>
      <c r="S116" s="2147"/>
      <c r="T116" s="2147"/>
      <c r="U116" s="501">
        <v>576.48511107808383</v>
      </c>
      <c r="V116" s="501">
        <v>985.55849866733786</v>
      </c>
      <c r="W116" s="501">
        <v>88.701471063847237</v>
      </c>
      <c r="X116" s="501">
        <v>9.09</v>
      </c>
      <c r="Y116" s="497"/>
      <c r="Z116" s="497"/>
      <c r="AA116" s="501">
        <f t="shared" si="3"/>
        <v>0.89439433754060904</v>
      </c>
      <c r="AB116" s="497"/>
      <c r="AC116" s="532">
        <v>0.01</v>
      </c>
      <c r="AD116" s="532">
        <v>0.01</v>
      </c>
      <c r="AE116" s="532">
        <v>0.01</v>
      </c>
      <c r="AF116" s="501" t="s">
        <v>342</v>
      </c>
      <c r="AG116" s="497">
        <v>763.05</v>
      </c>
      <c r="AH116" s="2147"/>
      <c r="AI116" s="2147"/>
      <c r="AJ116" s="2147"/>
      <c r="AK116" s="2145"/>
    </row>
    <row r="117" spans="1:37">
      <c r="A117" s="2147"/>
      <c r="B117" s="2147"/>
      <c r="C117" s="2147"/>
      <c r="D117" s="2147"/>
      <c r="E117" s="534" t="s">
        <v>1315</v>
      </c>
      <c r="F117" s="656" t="s">
        <v>1328</v>
      </c>
      <c r="G117" s="2147"/>
      <c r="H117" s="534">
        <v>5082</v>
      </c>
      <c r="I117" s="497"/>
      <c r="J117" s="497"/>
      <c r="K117" s="497"/>
      <c r="L117" s="497" t="s">
        <v>35</v>
      </c>
      <c r="M117" s="497"/>
      <c r="N117" s="2152"/>
      <c r="O117" s="2147"/>
      <c r="P117" s="2147"/>
      <c r="Q117" s="2147"/>
      <c r="R117" s="2147"/>
      <c r="S117" s="2147"/>
      <c r="T117" s="2147"/>
      <c r="U117" s="501">
        <v>370.20216860803794</v>
      </c>
      <c r="V117" s="501">
        <v>624.73539515481832</v>
      </c>
      <c r="W117" s="501">
        <v>51.978864004711347</v>
      </c>
      <c r="X117" s="497"/>
      <c r="Y117" s="497"/>
      <c r="Z117" s="497"/>
      <c r="AA117" s="501">
        <f t="shared" si="3"/>
        <v>0.31749052781767867</v>
      </c>
      <c r="AB117" s="497"/>
      <c r="AC117" s="532">
        <v>0.01</v>
      </c>
      <c r="AD117" s="532">
        <v>0.01</v>
      </c>
      <c r="AE117" s="532">
        <v>0.01</v>
      </c>
      <c r="AF117" s="501" t="s">
        <v>342</v>
      </c>
      <c r="AG117" s="497">
        <v>475.12</v>
      </c>
      <c r="AH117" s="2147"/>
      <c r="AI117" s="2147"/>
      <c r="AJ117" s="2147"/>
      <c r="AK117" s="2145"/>
    </row>
    <row r="118" spans="1:37">
      <c r="A118" s="2147"/>
      <c r="B118" s="2147"/>
      <c r="C118" s="2147"/>
      <c r="D118" s="2147"/>
      <c r="E118" s="534" t="s">
        <v>1316</v>
      </c>
      <c r="F118" s="656" t="s">
        <v>1328</v>
      </c>
      <c r="G118" s="2147"/>
      <c r="H118" s="534">
        <v>5082</v>
      </c>
      <c r="I118" s="497"/>
      <c r="J118" s="497"/>
      <c r="K118" s="497"/>
      <c r="L118" s="497" t="s">
        <v>35</v>
      </c>
      <c r="M118" s="497"/>
      <c r="N118" s="2152"/>
      <c r="O118" s="2147"/>
      <c r="P118" s="2147"/>
      <c r="Q118" s="2147"/>
      <c r="R118" s="2147"/>
      <c r="S118" s="2147"/>
      <c r="T118" s="2147"/>
      <c r="U118" s="501">
        <v>365.8017341580379</v>
      </c>
      <c r="V118" s="501">
        <v>625.58706582591265</v>
      </c>
      <c r="W118" s="501">
        <v>53.095561795230957</v>
      </c>
      <c r="X118" s="497"/>
      <c r="Y118" s="497"/>
      <c r="Z118" s="497"/>
      <c r="AA118" s="501">
        <f t="shared" si="3"/>
        <v>0.31792334685272883</v>
      </c>
      <c r="AB118" s="497"/>
      <c r="AC118" s="532">
        <v>0.01</v>
      </c>
      <c r="AD118" s="532">
        <v>0.01</v>
      </c>
      <c r="AE118" s="532">
        <v>0.01</v>
      </c>
      <c r="AF118" s="501" t="s">
        <v>342</v>
      </c>
      <c r="AG118" s="497">
        <v>476.17</v>
      </c>
      <c r="AH118" s="2147"/>
      <c r="AI118" s="2147"/>
      <c r="AJ118" s="2147"/>
      <c r="AK118" s="2145"/>
    </row>
    <row r="119" spans="1:37">
      <c r="A119" s="2147"/>
      <c r="B119" s="2147"/>
      <c r="C119" s="2147"/>
      <c r="D119" s="2147"/>
      <c r="E119" s="534" t="s">
        <v>1317</v>
      </c>
      <c r="F119" s="656" t="s">
        <v>1328</v>
      </c>
      <c r="G119" s="2147"/>
      <c r="H119" s="534">
        <v>8004</v>
      </c>
      <c r="I119" s="497"/>
      <c r="J119" s="497"/>
      <c r="K119" s="497"/>
      <c r="L119" s="497" t="s">
        <v>35</v>
      </c>
      <c r="M119" s="497"/>
      <c r="N119" s="2152"/>
      <c r="O119" s="2147"/>
      <c r="P119" s="2147"/>
      <c r="Q119" s="2147"/>
      <c r="R119" s="2147"/>
      <c r="S119" s="2147"/>
      <c r="T119" s="2147"/>
      <c r="U119" s="501">
        <v>368.88611347573027</v>
      </c>
      <c r="V119" s="501">
        <v>626.82270520367911</v>
      </c>
      <c r="W119" s="501">
        <v>52.687836422545587</v>
      </c>
      <c r="X119" s="497"/>
      <c r="Y119" s="497"/>
      <c r="Z119" s="497"/>
      <c r="AA119" s="501">
        <f t="shared" si="3"/>
        <v>0.50170889324502477</v>
      </c>
      <c r="AB119" s="497"/>
      <c r="AC119" s="532">
        <v>0.01</v>
      </c>
      <c r="AD119" s="532">
        <v>0.01</v>
      </c>
      <c r="AE119" s="532">
        <v>0.01</v>
      </c>
      <c r="AF119" s="501" t="s">
        <v>342</v>
      </c>
      <c r="AG119" s="497">
        <v>476.65</v>
      </c>
      <c r="AH119" s="2147"/>
      <c r="AI119" s="2147"/>
      <c r="AJ119" s="2147"/>
      <c r="AK119" s="2145"/>
    </row>
    <row r="120" spans="1:37">
      <c r="A120" s="2147"/>
      <c r="B120" s="2147"/>
      <c r="C120" s="2147"/>
      <c r="D120" s="2147"/>
      <c r="E120" s="534" t="s">
        <v>1318</v>
      </c>
      <c r="F120" s="656" t="s">
        <v>1328</v>
      </c>
      <c r="G120" s="2147"/>
      <c r="H120" s="534">
        <v>8004</v>
      </c>
      <c r="I120" s="497"/>
      <c r="J120" s="497"/>
      <c r="K120" s="497"/>
      <c r="L120" s="497" t="s">
        <v>35</v>
      </c>
      <c r="M120" s="497"/>
      <c r="N120" s="2152"/>
      <c r="O120" s="2147"/>
      <c r="P120" s="2147"/>
      <c r="Q120" s="2147"/>
      <c r="R120" s="2147"/>
      <c r="S120" s="2147"/>
      <c r="T120" s="2147"/>
      <c r="U120" s="501">
        <v>364.48567902573024</v>
      </c>
      <c r="V120" s="501">
        <v>624.37474620161754</v>
      </c>
      <c r="W120" s="501">
        <v>53.069240692584799</v>
      </c>
      <c r="X120" s="497"/>
      <c r="Y120" s="497"/>
      <c r="Z120" s="497"/>
      <c r="AA120" s="501">
        <f t="shared" si="3"/>
        <v>0.49974954685977463</v>
      </c>
      <c r="AB120" s="497"/>
      <c r="AC120" s="532">
        <v>0.01</v>
      </c>
      <c r="AD120" s="532">
        <v>0.01</v>
      </c>
      <c r="AE120" s="532">
        <v>0.01</v>
      </c>
      <c r="AF120" s="501" t="s">
        <v>342</v>
      </c>
      <c r="AG120" s="497">
        <v>476.47</v>
      </c>
      <c r="AH120" s="2147"/>
      <c r="AI120" s="2147"/>
      <c r="AJ120" s="2147"/>
      <c r="AK120" s="2145"/>
    </row>
    <row r="121" spans="1:37">
      <c r="A121" s="2147"/>
      <c r="B121" s="2147"/>
      <c r="C121" s="2147"/>
      <c r="D121" s="2147"/>
      <c r="E121" s="534" t="s">
        <v>1319</v>
      </c>
      <c r="F121" s="656" t="s">
        <v>1329</v>
      </c>
      <c r="G121" s="2147"/>
      <c r="H121" s="534">
        <v>10163</v>
      </c>
      <c r="I121" s="497"/>
      <c r="J121" s="497"/>
      <c r="K121" s="497"/>
      <c r="L121" s="497" t="s">
        <v>35</v>
      </c>
      <c r="M121" s="497"/>
      <c r="N121" s="2152"/>
      <c r="O121" s="2147"/>
      <c r="P121" s="2147"/>
      <c r="Q121" s="2147"/>
      <c r="R121" s="2147"/>
      <c r="S121" s="2147"/>
      <c r="T121" s="2147"/>
      <c r="U121" s="501">
        <v>2.6835105031250004</v>
      </c>
      <c r="V121" s="501">
        <v>10.458395328375524</v>
      </c>
      <c r="W121" s="501">
        <v>1.5658702100624999</v>
      </c>
      <c r="X121" s="497"/>
      <c r="Y121" s="497"/>
      <c r="Z121" s="497"/>
      <c r="AA121" s="501">
        <f t="shared" si="3"/>
        <v>1.0628867172228045E-2</v>
      </c>
      <c r="AB121" s="497"/>
      <c r="AC121" s="532">
        <v>0.01</v>
      </c>
      <c r="AD121" s="532">
        <v>0.01</v>
      </c>
      <c r="AE121" s="532">
        <v>0.01</v>
      </c>
      <c r="AF121" s="501" t="s">
        <v>342</v>
      </c>
      <c r="AG121" s="497">
        <v>5.85</v>
      </c>
      <c r="AH121" s="2147"/>
      <c r="AI121" s="2147"/>
      <c r="AJ121" s="2147"/>
      <c r="AK121" s="2145"/>
    </row>
    <row r="122" spans="1:37">
      <c r="A122" s="2147"/>
      <c r="B122" s="2147"/>
      <c r="C122" s="2147"/>
      <c r="D122" s="2147"/>
      <c r="E122" s="534" t="s">
        <v>1320</v>
      </c>
      <c r="F122" s="656" t="s">
        <v>1329</v>
      </c>
      <c r="G122" s="2147"/>
      <c r="H122" s="534">
        <v>16008</v>
      </c>
      <c r="I122" s="497"/>
      <c r="J122" s="497"/>
      <c r="K122" s="497"/>
      <c r="L122" s="497" t="s">
        <v>35</v>
      </c>
      <c r="M122" s="497"/>
      <c r="N122" s="2152"/>
      <c r="O122" s="2147"/>
      <c r="P122" s="2147"/>
      <c r="Q122" s="2147"/>
      <c r="R122" s="2147"/>
      <c r="S122" s="2147"/>
      <c r="T122" s="2147"/>
      <c r="U122" s="501">
        <v>2.6949928875000002</v>
      </c>
      <c r="V122" s="501">
        <v>10.360525936333334</v>
      </c>
      <c r="W122" s="501">
        <v>1.56609985775</v>
      </c>
      <c r="X122" s="497"/>
      <c r="Y122" s="497"/>
      <c r="Z122" s="497"/>
      <c r="AA122" s="501">
        <f t="shared" si="3"/>
        <v>1.6585129918882398E-2</v>
      </c>
      <c r="AB122" s="497"/>
      <c r="AC122" s="532">
        <v>0.01</v>
      </c>
      <c r="AD122" s="532">
        <v>0.01</v>
      </c>
      <c r="AE122" s="532">
        <v>0.01</v>
      </c>
      <c r="AF122" s="501" t="s">
        <v>342</v>
      </c>
      <c r="AG122" s="497">
        <v>5.89</v>
      </c>
      <c r="AH122" s="2147"/>
      <c r="AI122" s="2147"/>
      <c r="AJ122" s="2147"/>
      <c r="AK122" s="2145"/>
    </row>
    <row r="123" spans="1:37">
      <c r="A123" s="2147"/>
      <c r="B123" s="2147"/>
      <c r="C123" s="2147"/>
      <c r="D123" s="2147"/>
      <c r="E123" s="534" t="s">
        <v>1321</v>
      </c>
      <c r="F123" s="656" t="s">
        <v>1330</v>
      </c>
      <c r="G123" s="2147"/>
      <c r="H123" s="534">
        <v>10163</v>
      </c>
      <c r="I123" s="497"/>
      <c r="J123" s="497"/>
      <c r="K123" s="497"/>
      <c r="L123" s="497" t="s">
        <v>35</v>
      </c>
      <c r="M123" s="497"/>
      <c r="N123" s="2152"/>
      <c r="O123" s="2147"/>
      <c r="P123" s="2147"/>
      <c r="Q123" s="2147"/>
      <c r="R123" s="2147"/>
      <c r="S123" s="2147"/>
      <c r="T123" s="2147"/>
      <c r="U123" s="501">
        <v>4.2292154625</v>
      </c>
      <c r="V123" s="501">
        <v>11.209795252303129</v>
      </c>
      <c r="W123" s="501">
        <v>1.4845843092500002</v>
      </c>
      <c r="X123" s="497"/>
      <c r="Y123" s="497"/>
      <c r="Z123" s="497"/>
      <c r="AA123" s="501">
        <f t="shared" si="3"/>
        <v>1.139251491491567E-2</v>
      </c>
      <c r="AB123" s="497"/>
      <c r="AC123" s="532">
        <v>0.01</v>
      </c>
      <c r="AD123" s="532">
        <v>0.01</v>
      </c>
      <c r="AE123" s="532">
        <v>0.01</v>
      </c>
      <c r="AF123" s="501" t="s">
        <v>342</v>
      </c>
      <c r="AG123" s="497">
        <v>6.46</v>
      </c>
      <c r="AH123" s="2147"/>
      <c r="AI123" s="2147"/>
      <c r="AJ123" s="2147"/>
      <c r="AK123" s="2145"/>
    </row>
    <row r="124" spans="1:37">
      <c r="A124" s="2147"/>
      <c r="B124" s="2147"/>
      <c r="C124" s="2147"/>
      <c r="D124" s="2147"/>
      <c r="E124" s="534" t="s">
        <v>1322</v>
      </c>
      <c r="F124" s="656" t="s">
        <v>1330</v>
      </c>
      <c r="G124" s="2147"/>
      <c r="H124" s="534">
        <v>16008</v>
      </c>
      <c r="I124" s="497"/>
      <c r="J124" s="497"/>
      <c r="K124" s="497"/>
      <c r="L124" s="497" t="s">
        <v>35</v>
      </c>
      <c r="M124" s="497"/>
      <c r="N124" s="2152"/>
      <c r="O124" s="2147"/>
      <c r="P124" s="2147"/>
      <c r="Q124" s="2147"/>
      <c r="R124" s="2147"/>
      <c r="S124" s="2147"/>
      <c r="T124" s="2147"/>
      <c r="U124" s="501">
        <v>3.9256685510869569</v>
      </c>
      <c r="V124" s="501">
        <v>10.881789946784355</v>
      </c>
      <c r="W124" s="501">
        <v>1.4785133710217393</v>
      </c>
      <c r="X124" s="497"/>
      <c r="Y124" s="497"/>
      <c r="Z124" s="497"/>
      <c r="AA124" s="501">
        <f t="shared" si="3"/>
        <v>1.7419569346812398E-2</v>
      </c>
      <c r="AB124" s="497"/>
      <c r="AC124" s="532">
        <v>0.01</v>
      </c>
      <c r="AD124" s="532">
        <v>0.01</v>
      </c>
      <c r="AE124" s="532">
        <v>0.01</v>
      </c>
      <c r="AF124" s="501" t="s">
        <v>342</v>
      </c>
      <c r="AG124" s="497">
        <v>6.18</v>
      </c>
      <c r="AH124" s="2147"/>
      <c r="AI124" s="2147"/>
      <c r="AJ124" s="2147"/>
      <c r="AK124" s="2145"/>
    </row>
    <row r="125" spans="1:37">
      <c r="A125" s="2147"/>
      <c r="B125" s="2147"/>
      <c r="C125" s="2147"/>
      <c r="D125" s="2147"/>
      <c r="E125" s="534" t="s">
        <v>1323</v>
      </c>
      <c r="F125" s="656" t="s">
        <v>1331</v>
      </c>
      <c r="G125" s="2147"/>
      <c r="H125" s="534">
        <v>5082</v>
      </c>
      <c r="I125" s="497"/>
      <c r="J125" s="497"/>
      <c r="K125" s="497"/>
      <c r="L125" s="497" t="s">
        <v>35</v>
      </c>
      <c r="M125" s="497"/>
      <c r="N125" s="2152"/>
      <c r="O125" s="2147"/>
      <c r="P125" s="2147"/>
      <c r="Q125" s="2147"/>
      <c r="R125" s="2147"/>
      <c r="S125" s="2147"/>
      <c r="T125" s="2147"/>
      <c r="U125" s="501">
        <v>15.790216400000002</v>
      </c>
      <c r="V125" s="501">
        <v>26.50768139581831</v>
      </c>
      <c r="W125" s="501">
        <v>2.3358043280000005</v>
      </c>
      <c r="X125" s="497"/>
      <c r="Y125" s="497"/>
      <c r="Z125" s="497"/>
      <c r="AA125" s="501">
        <f t="shared" si="3"/>
        <v>1.3471203685354866E-2</v>
      </c>
      <c r="AB125" s="497"/>
      <c r="AC125" s="532">
        <v>0.01</v>
      </c>
      <c r="AD125" s="532">
        <v>0.01</v>
      </c>
      <c r="AE125" s="532">
        <v>0.01</v>
      </c>
      <c r="AF125" s="501" t="s">
        <v>342</v>
      </c>
      <c r="AG125" s="497">
        <v>19.190000000000001</v>
      </c>
      <c r="AH125" s="2147"/>
      <c r="AI125" s="2147"/>
      <c r="AJ125" s="2147"/>
      <c r="AK125" s="2145"/>
    </row>
    <row r="126" spans="1:37">
      <c r="A126" s="2147"/>
      <c r="B126" s="2147"/>
      <c r="C126" s="2147"/>
      <c r="D126" s="2147"/>
      <c r="E126" s="534" t="s">
        <v>1324</v>
      </c>
      <c r="F126" s="656" t="s">
        <v>1331</v>
      </c>
      <c r="G126" s="2147"/>
      <c r="H126" s="534">
        <v>8004</v>
      </c>
      <c r="I126" s="497"/>
      <c r="J126" s="497"/>
      <c r="K126" s="497"/>
      <c r="L126" s="497" t="s">
        <v>35</v>
      </c>
      <c r="M126" s="497"/>
      <c r="N126" s="2152"/>
      <c r="O126" s="2147"/>
      <c r="P126" s="2147"/>
      <c r="Q126" s="2147"/>
      <c r="R126" s="2147"/>
      <c r="S126" s="2147"/>
      <c r="T126" s="2147"/>
      <c r="U126" s="501">
        <v>2.3802747375000002</v>
      </c>
      <c r="V126" s="501">
        <v>11.770700346131207</v>
      </c>
      <c r="W126" s="501">
        <v>1.79584549475</v>
      </c>
      <c r="X126" s="497"/>
      <c r="Y126" s="497"/>
      <c r="Z126" s="497"/>
      <c r="AA126" s="501">
        <f t="shared" si="3"/>
        <v>9.4212685570434183E-3</v>
      </c>
      <c r="AB126" s="497"/>
      <c r="AC126" s="532">
        <v>0.01</v>
      </c>
      <c r="AD126" s="532">
        <v>0.01</v>
      </c>
      <c r="AE126" s="532">
        <v>0.01</v>
      </c>
      <c r="AF126" s="501" t="s">
        <v>342</v>
      </c>
      <c r="AG126" s="497">
        <v>6.98</v>
      </c>
      <c r="AH126" s="2147"/>
      <c r="AI126" s="2147"/>
      <c r="AJ126" s="2147"/>
      <c r="AK126" s="2145"/>
    </row>
    <row r="127" spans="1:37" ht="17.25">
      <c r="A127" s="2147"/>
      <c r="B127" s="2147"/>
      <c r="C127" s="2147"/>
      <c r="D127" s="2147"/>
      <c r="E127" s="534" t="s">
        <v>1325</v>
      </c>
      <c r="F127" s="656" t="s">
        <v>1332</v>
      </c>
      <c r="G127" s="2147"/>
      <c r="H127" s="534">
        <v>26171</v>
      </c>
      <c r="I127" s="497"/>
      <c r="J127" s="497"/>
      <c r="K127" s="497"/>
      <c r="L127" s="497" t="s">
        <v>35</v>
      </c>
      <c r="M127" s="497"/>
      <c r="N127" s="2152"/>
      <c r="O127" s="2147"/>
      <c r="P127" s="2147"/>
      <c r="Q127" s="2147"/>
      <c r="R127" s="2147"/>
      <c r="S127" s="2147"/>
      <c r="T127" s="2147"/>
      <c r="U127" s="501">
        <v>101.49924793813332</v>
      </c>
      <c r="V127" s="501">
        <v>180.78875540477512</v>
      </c>
      <c r="W127" s="501">
        <v>12.69229401293112</v>
      </c>
      <c r="X127" s="497"/>
      <c r="Y127" s="497"/>
      <c r="Z127" s="497"/>
      <c r="AA127" s="501">
        <f t="shared" si="3"/>
        <v>0.47314225176983699</v>
      </c>
      <c r="AB127" s="497"/>
      <c r="AC127" s="532">
        <v>0.01</v>
      </c>
      <c r="AD127" s="532">
        <v>0.01</v>
      </c>
      <c r="AE127" s="532">
        <v>0.01</v>
      </c>
      <c r="AF127" s="501" t="s">
        <v>342</v>
      </c>
      <c r="AG127" s="497">
        <v>127.37</v>
      </c>
      <c r="AH127" s="2147"/>
      <c r="AI127" s="2147"/>
      <c r="AJ127" s="2147"/>
      <c r="AK127" s="2145"/>
    </row>
    <row r="128" spans="1:37" ht="17.25">
      <c r="A128" s="2147"/>
      <c r="B128" s="2147"/>
      <c r="C128" s="2147"/>
      <c r="D128" s="2147"/>
      <c r="E128" s="534" t="s">
        <v>1326</v>
      </c>
      <c r="F128" s="656" t="s">
        <v>1333</v>
      </c>
      <c r="G128" s="2147"/>
      <c r="H128" s="534">
        <v>26171</v>
      </c>
      <c r="I128" s="497"/>
      <c r="J128" s="497"/>
      <c r="K128" s="497"/>
      <c r="L128" s="497" t="s">
        <v>35</v>
      </c>
      <c r="M128" s="497"/>
      <c r="N128" s="2152"/>
      <c r="O128" s="2147"/>
      <c r="P128" s="2147"/>
      <c r="Q128" s="2147"/>
      <c r="R128" s="2147"/>
      <c r="S128" s="2147"/>
      <c r="T128" s="2147"/>
      <c r="U128" s="501">
        <v>101.49924793813332</v>
      </c>
      <c r="V128" s="501">
        <v>177.08283744632479</v>
      </c>
      <c r="W128" s="501">
        <v>11.866462712997899</v>
      </c>
      <c r="X128" s="497"/>
      <c r="Y128" s="497"/>
      <c r="Z128" s="497"/>
      <c r="AA128" s="501">
        <f t="shared" si="3"/>
        <v>0.4634434938807766</v>
      </c>
      <c r="AB128" s="497"/>
      <c r="AC128" s="532">
        <v>0.01</v>
      </c>
      <c r="AD128" s="532">
        <v>0.01</v>
      </c>
      <c r="AE128" s="532">
        <v>0.01</v>
      </c>
      <c r="AF128" s="501" t="s">
        <v>342</v>
      </c>
      <c r="AG128" s="497">
        <v>124.41</v>
      </c>
      <c r="AH128" s="2147"/>
      <c r="AI128" s="2147"/>
      <c r="AJ128" s="2147"/>
      <c r="AK128" s="2146"/>
    </row>
    <row r="129" spans="1:37">
      <c r="A129" s="504">
        <v>37</v>
      </c>
      <c r="B129" s="504" t="s">
        <v>1030</v>
      </c>
      <c r="C129" s="504" t="s">
        <v>29</v>
      </c>
      <c r="D129" s="504" t="s">
        <v>1280</v>
      </c>
      <c r="E129" s="505" t="s">
        <v>1345</v>
      </c>
      <c r="F129" s="657" t="s">
        <v>1346</v>
      </c>
      <c r="G129" s="505" t="s">
        <v>1289</v>
      </c>
      <c r="H129" s="505">
        <v>26171</v>
      </c>
      <c r="I129" s="504"/>
      <c r="J129" s="504"/>
      <c r="K129" s="504"/>
      <c r="L129" s="504" t="s">
        <v>35</v>
      </c>
      <c r="M129" s="504"/>
      <c r="N129" s="651">
        <v>44053</v>
      </c>
      <c r="O129" s="504" t="s">
        <v>1353</v>
      </c>
      <c r="P129" s="504"/>
      <c r="Q129" s="504" t="s">
        <v>1351</v>
      </c>
      <c r="R129" s="504" t="s">
        <v>1379</v>
      </c>
      <c r="S129" s="504" t="s">
        <v>1381</v>
      </c>
      <c r="T129" s="504" t="s">
        <v>1216</v>
      </c>
      <c r="U129" s="503">
        <v>371.12</v>
      </c>
      <c r="V129" s="504">
        <v>471.3</v>
      </c>
      <c r="W129" s="504">
        <v>23.78</v>
      </c>
      <c r="X129" s="504">
        <v>235.42</v>
      </c>
      <c r="Y129" s="504"/>
      <c r="Z129" s="504">
        <v>19.68</v>
      </c>
      <c r="AA129" s="499">
        <f t="shared" si="3"/>
        <v>1.2334392300000001</v>
      </c>
      <c r="AB129" s="504"/>
      <c r="AC129" s="531">
        <v>0</v>
      </c>
      <c r="AD129" s="531">
        <v>0</v>
      </c>
      <c r="AE129" s="531">
        <v>0</v>
      </c>
      <c r="AF129" s="504" t="s">
        <v>1546</v>
      </c>
      <c r="AG129" s="504"/>
      <c r="AH129" s="504"/>
      <c r="AI129" s="504"/>
      <c r="AJ129" s="504"/>
      <c r="AK129" s="523" t="s">
        <v>1581</v>
      </c>
    </row>
    <row r="130" spans="1:37">
      <c r="A130" s="504">
        <v>39</v>
      </c>
      <c r="B130" s="504" t="s">
        <v>1030</v>
      </c>
      <c r="C130" s="504" t="s">
        <v>29</v>
      </c>
      <c r="D130" s="504" t="s">
        <v>1281</v>
      </c>
      <c r="E130" s="505" t="s">
        <v>1339</v>
      </c>
      <c r="F130" s="657" t="s">
        <v>1340</v>
      </c>
      <c r="G130" s="504" t="s">
        <v>1289</v>
      </c>
      <c r="H130" s="505">
        <v>26171</v>
      </c>
      <c r="I130" s="504"/>
      <c r="J130" s="504"/>
      <c r="K130" s="504"/>
      <c r="L130" s="504" t="s">
        <v>35</v>
      </c>
      <c r="M130" s="504"/>
      <c r="N130" s="651">
        <v>44056</v>
      </c>
      <c r="O130" s="504" t="s">
        <v>1352</v>
      </c>
      <c r="P130" s="504"/>
      <c r="Q130" s="504" t="s">
        <v>1378</v>
      </c>
      <c r="R130" s="504" t="s">
        <v>1348</v>
      </c>
      <c r="S130" s="504" t="s">
        <v>1382</v>
      </c>
      <c r="T130" s="504" t="s">
        <v>1216</v>
      </c>
      <c r="U130" s="503">
        <v>243.46</v>
      </c>
      <c r="V130" s="504">
        <v>373.21</v>
      </c>
      <c r="W130" s="504">
        <v>18.87</v>
      </c>
      <c r="X130" s="504">
        <v>192.12</v>
      </c>
      <c r="Y130" s="504"/>
      <c r="Z130" s="504">
        <v>16.18</v>
      </c>
      <c r="AA130" s="499">
        <f t="shared" si="3"/>
        <v>0.97672789100000001</v>
      </c>
      <c r="AB130" s="504"/>
      <c r="AC130" s="531">
        <v>1.2500000000000001E-2</v>
      </c>
      <c r="AD130" s="531">
        <v>1.2500000000000001E-2</v>
      </c>
      <c r="AE130" s="531">
        <v>1.2500000000000001E-2</v>
      </c>
      <c r="AF130" s="504" t="s">
        <v>1546</v>
      </c>
      <c r="AG130" s="504"/>
      <c r="AH130" s="504"/>
      <c r="AI130" s="504"/>
      <c r="AJ130" s="504"/>
      <c r="AK130" s="523" t="s">
        <v>1581</v>
      </c>
    </row>
    <row r="131" spans="1:37">
      <c r="A131" s="504">
        <v>39</v>
      </c>
      <c r="B131" s="504" t="s">
        <v>1030</v>
      </c>
      <c r="C131" s="504" t="s">
        <v>29</v>
      </c>
      <c r="D131" s="504" t="s">
        <v>1282</v>
      </c>
      <c r="E131" s="535" t="s">
        <v>1341</v>
      </c>
      <c r="F131" s="658" t="s">
        <v>1342</v>
      </c>
      <c r="G131" s="504" t="s">
        <v>1289</v>
      </c>
      <c r="H131" s="535">
        <v>68207</v>
      </c>
      <c r="I131" s="504"/>
      <c r="J131" s="504"/>
      <c r="K131" s="504"/>
      <c r="L131" s="504" t="s">
        <v>35</v>
      </c>
      <c r="M131" s="504"/>
      <c r="N131" s="651">
        <v>44065</v>
      </c>
      <c r="O131" s="504" t="s">
        <v>1350</v>
      </c>
      <c r="P131" s="504"/>
      <c r="Q131" s="504" t="s">
        <v>1355</v>
      </c>
      <c r="R131" s="504" t="s">
        <v>1383</v>
      </c>
      <c r="S131" s="504" t="s">
        <v>1380</v>
      </c>
      <c r="T131" s="504" t="s">
        <v>1216</v>
      </c>
      <c r="U131" s="503">
        <v>524.61</v>
      </c>
      <c r="V131" s="504">
        <v>801.75</v>
      </c>
      <c r="W131" s="504">
        <v>52.73</v>
      </c>
      <c r="X131" s="504">
        <v>44.63</v>
      </c>
      <c r="Y131" s="502">
        <v>53</v>
      </c>
      <c r="Z131" s="504">
        <v>28</v>
      </c>
      <c r="AA131" s="499">
        <f t="shared" ref="AA131:AA161" si="4">H131*V131/10^7</f>
        <v>5.468496225</v>
      </c>
      <c r="AB131" s="504"/>
      <c r="AC131" s="531">
        <v>2.5000000000000001E-3</v>
      </c>
      <c r="AD131" s="531">
        <v>2.5000000000000001E-3</v>
      </c>
      <c r="AE131" s="531">
        <v>2.5000000000000001E-3</v>
      </c>
      <c r="AF131" s="504" t="s">
        <v>1546</v>
      </c>
      <c r="AG131" s="504"/>
      <c r="AH131" s="504"/>
      <c r="AI131" s="504"/>
      <c r="AJ131" s="504"/>
      <c r="AK131" s="523" t="s">
        <v>1581</v>
      </c>
    </row>
    <row r="132" spans="1:37">
      <c r="A132" s="504">
        <v>40</v>
      </c>
      <c r="B132" s="504" t="s">
        <v>1285</v>
      </c>
      <c r="C132" s="504" t="s">
        <v>29</v>
      </c>
      <c r="D132" s="504" t="s">
        <v>1283</v>
      </c>
      <c r="E132" s="505" t="s">
        <v>1343</v>
      </c>
      <c r="F132" s="657" t="s">
        <v>1344</v>
      </c>
      <c r="G132" s="504" t="s">
        <v>1289</v>
      </c>
      <c r="H132" s="505">
        <v>129500</v>
      </c>
      <c r="I132" s="504"/>
      <c r="J132" s="504"/>
      <c r="K132" s="504"/>
      <c r="L132" s="504" t="s">
        <v>35</v>
      </c>
      <c r="M132" s="504"/>
      <c r="N132" s="651">
        <v>44068</v>
      </c>
      <c r="O132" s="504" t="s">
        <v>1349</v>
      </c>
      <c r="P132" s="504"/>
      <c r="Q132" s="504" t="s">
        <v>1382</v>
      </c>
      <c r="R132" s="504" t="s">
        <v>1380</v>
      </c>
      <c r="S132" s="504" t="s">
        <v>1380</v>
      </c>
      <c r="T132" s="504" t="s">
        <v>1216</v>
      </c>
      <c r="U132" s="503">
        <v>84.45</v>
      </c>
      <c r="V132" s="504">
        <v>162.88999999999999</v>
      </c>
      <c r="W132" s="504">
        <v>17.329999999999998</v>
      </c>
      <c r="X132" s="504">
        <v>97.53</v>
      </c>
      <c r="Y132" s="502">
        <v>27.75</v>
      </c>
      <c r="Z132" s="504">
        <v>18.48</v>
      </c>
      <c r="AA132" s="499">
        <f t="shared" si="4"/>
        <v>2.1094255</v>
      </c>
      <c r="AB132" s="504"/>
      <c r="AC132" s="531">
        <v>1.2500000000000001E-2</v>
      </c>
      <c r="AD132" s="531">
        <v>1.2500000000000001E-2</v>
      </c>
      <c r="AE132" s="531">
        <v>1.2500000000000001E-2</v>
      </c>
      <c r="AF132" s="504" t="s">
        <v>1546</v>
      </c>
      <c r="AG132" s="504"/>
      <c r="AH132" s="504"/>
      <c r="AI132" s="504"/>
      <c r="AJ132" s="504"/>
      <c r="AK132" s="504"/>
    </row>
    <row r="133" spans="1:37">
      <c r="A133" s="2147">
        <v>41</v>
      </c>
      <c r="B133" s="2147" t="s">
        <v>1030</v>
      </c>
      <c r="C133" s="2147" t="s">
        <v>29</v>
      </c>
      <c r="D133" s="2147" t="s">
        <v>1284</v>
      </c>
      <c r="E133" s="497" t="s">
        <v>1334</v>
      </c>
      <c r="F133" s="655" t="s">
        <v>1338</v>
      </c>
      <c r="G133" s="2147" t="s">
        <v>1289</v>
      </c>
      <c r="H133" s="497">
        <v>30110</v>
      </c>
      <c r="I133" s="497"/>
      <c r="J133" s="497"/>
      <c r="K133" s="497"/>
      <c r="L133" s="497" t="s">
        <v>35</v>
      </c>
      <c r="M133" s="497"/>
      <c r="N133" s="2152">
        <v>44074</v>
      </c>
      <c r="O133" s="2147" t="s">
        <v>1347</v>
      </c>
      <c r="P133" s="2147"/>
      <c r="Q133" s="2147" t="s">
        <v>1378</v>
      </c>
      <c r="R133" s="2147" t="s">
        <v>1348</v>
      </c>
      <c r="S133" s="2147" t="s">
        <v>1380</v>
      </c>
      <c r="T133" s="2147" t="s">
        <v>1216</v>
      </c>
      <c r="U133" s="501">
        <v>335.689436579394</v>
      </c>
      <c r="V133" s="501">
        <v>529.22992779783999</v>
      </c>
      <c r="W133" s="501">
        <v>42.517192599442112</v>
      </c>
      <c r="X133" s="501">
        <v>316.95</v>
      </c>
      <c r="Y133" s="501">
        <v>63.5</v>
      </c>
      <c r="Z133" s="501">
        <v>36.549999999999997</v>
      </c>
      <c r="AA133" s="501">
        <f t="shared" si="4"/>
        <v>1.5935113125992961</v>
      </c>
      <c r="AB133" s="497"/>
      <c r="AC133" s="532">
        <v>1.2500000000000001E-2</v>
      </c>
      <c r="AD133" s="532">
        <v>1.2500000000000001E-2</v>
      </c>
      <c r="AE133" s="532">
        <v>1.2500000000000001E-2</v>
      </c>
      <c r="AF133" s="501" t="s">
        <v>342</v>
      </c>
      <c r="AG133" s="497">
        <v>426</v>
      </c>
      <c r="AH133" s="2147">
        <v>240</v>
      </c>
      <c r="AI133" s="2147"/>
      <c r="AJ133" s="2147"/>
      <c r="AK133" s="2144" t="s">
        <v>1581</v>
      </c>
    </row>
    <row r="134" spans="1:37">
      <c r="A134" s="2147"/>
      <c r="B134" s="2147"/>
      <c r="C134" s="2147"/>
      <c r="D134" s="2147"/>
      <c r="E134" s="497" t="s">
        <v>1335</v>
      </c>
      <c r="F134" s="655" t="s">
        <v>1338</v>
      </c>
      <c r="G134" s="2147"/>
      <c r="H134" s="497">
        <v>30110</v>
      </c>
      <c r="I134" s="497"/>
      <c r="J134" s="497"/>
      <c r="K134" s="497"/>
      <c r="L134" s="497" t="s">
        <v>35</v>
      </c>
      <c r="M134" s="497"/>
      <c r="N134" s="2152"/>
      <c r="O134" s="2147"/>
      <c r="P134" s="2147"/>
      <c r="Q134" s="2147"/>
      <c r="R134" s="2147"/>
      <c r="S134" s="2147"/>
      <c r="T134" s="2147"/>
      <c r="U134" s="501">
        <v>336.00383657939403</v>
      </c>
      <c r="V134" s="501">
        <v>529.55533179784004</v>
      </c>
      <c r="W134" s="501">
        <v>42.523480599442109</v>
      </c>
      <c r="X134" s="501"/>
      <c r="Y134" s="501"/>
      <c r="Z134" s="501"/>
      <c r="AA134" s="501">
        <f t="shared" si="4"/>
        <v>1.5944911040432963</v>
      </c>
      <c r="AB134" s="497"/>
      <c r="AC134" s="532">
        <v>1.2500000000000001E-2</v>
      </c>
      <c r="AD134" s="532">
        <v>1.2500000000000001E-2</v>
      </c>
      <c r="AE134" s="532">
        <v>1.2500000000000001E-2</v>
      </c>
      <c r="AF134" s="501" t="s">
        <v>342</v>
      </c>
      <c r="AG134" s="497">
        <v>426.33</v>
      </c>
      <c r="AH134" s="2147"/>
      <c r="AI134" s="2147"/>
      <c r="AJ134" s="2147"/>
      <c r="AK134" s="2145"/>
    </row>
    <row r="135" spans="1:37">
      <c r="A135" s="2147"/>
      <c r="B135" s="2147"/>
      <c r="C135" s="2147"/>
      <c r="D135" s="2147"/>
      <c r="E135" s="497" t="s">
        <v>1336</v>
      </c>
      <c r="F135" s="655" t="s">
        <v>1338</v>
      </c>
      <c r="G135" s="2147"/>
      <c r="H135" s="497">
        <v>17079</v>
      </c>
      <c r="I135" s="497"/>
      <c r="J135" s="497"/>
      <c r="K135" s="497"/>
      <c r="L135" s="497" t="s">
        <v>35</v>
      </c>
      <c r="M135" s="497"/>
      <c r="N135" s="2152"/>
      <c r="O135" s="2147"/>
      <c r="P135" s="2147"/>
      <c r="Q135" s="2147"/>
      <c r="R135" s="2147"/>
      <c r="S135" s="2147"/>
      <c r="T135" s="2147"/>
      <c r="U135" s="501">
        <v>335.92523657939398</v>
      </c>
      <c r="V135" s="501">
        <v>532.3350325950579</v>
      </c>
      <c r="W135" s="501">
        <v>43.159468888515732</v>
      </c>
      <c r="X135" s="501">
        <v>100.23</v>
      </c>
      <c r="Y135" s="501"/>
      <c r="Z135" s="501"/>
      <c r="AA135" s="501">
        <f t="shared" si="4"/>
        <v>0.90917500216909941</v>
      </c>
      <c r="AB135" s="497"/>
      <c r="AC135" s="532">
        <v>1.2500000000000001E-2</v>
      </c>
      <c r="AD135" s="532">
        <v>1.2500000000000001E-2</v>
      </c>
      <c r="AE135" s="532">
        <v>1.2500000000000001E-2</v>
      </c>
      <c r="AF135" s="501" t="s">
        <v>342</v>
      </c>
      <c r="AG135" s="497">
        <v>427.75</v>
      </c>
      <c r="AH135" s="2147"/>
      <c r="AI135" s="2147"/>
      <c r="AJ135" s="2147"/>
      <c r="AK135" s="2145"/>
    </row>
    <row r="136" spans="1:37">
      <c r="A136" s="2147"/>
      <c r="B136" s="2147"/>
      <c r="C136" s="2147"/>
      <c r="D136" s="2147"/>
      <c r="E136" s="497" t="s">
        <v>1337</v>
      </c>
      <c r="F136" s="655" t="s">
        <v>1338</v>
      </c>
      <c r="G136" s="2147"/>
      <c r="H136" s="497">
        <v>17079</v>
      </c>
      <c r="I136" s="497"/>
      <c r="J136" s="497"/>
      <c r="K136" s="497"/>
      <c r="L136" s="497" t="s">
        <v>35</v>
      </c>
      <c r="M136" s="497"/>
      <c r="N136" s="2152"/>
      <c r="O136" s="2147"/>
      <c r="P136" s="2147"/>
      <c r="Q136" s="2147"/>
      <c r="R136" s="2147"/>
      <c r="S136" s="2147"/>
      <c r="T136" s="2147"/>
      <c r="U136" s="501">
        <v>335.92523657939398</v>
      </c>
      <c r="V136" s="501">
        <v>532.3350325950579</v>
      </c>
      <c r="W136" s="501">
        <v>43.159468888515732</v>
      </c>
      <c r="X136" s="501"/>
      <c r="Y136" s="501"/>
      <c r="Z136" s="501"/>
      <c r="AA136" s="501">
        <f t="shared" si="4"/>
        <v>0.90917500216909941</v>
      </c>
      <c r="AB136" s="497"/>
      <c r="AC136" s="532">
        <v>1.2500000000000001E-2</v>
      </c>
      <c r="AD136" s="532">
        <v>1.2500000000000001E-2</v>
      </c>
      <c r="AE136" s="532">
        <v>1.2500000000000001E-2</v>
      </c>
      <c r="AF136" s="501" t="s">
        <v>342</v>
      </c>
      <c r="AG136" s="497">
        <v>427.75</v>
      </c>
      <c r="AH136" s="2147"/>
      <c r="AI136" s="2147"/>
      <c r="AJ136" s="2147"/>
      <c r="AK136" s="2146"/>
    </row>
    <row r="137" spans="1:37">
      <c r="A137" s="504">
        <v>42</v>
      </c>
      <c r="B137" s="504" t="s">
        <v>973</v>
      </c>
      <c r="C137" s="504" t="s">
        <v>29</v>
      </c>
      <c r="D137" s="504" t="s">
        <v>1005</v>
      </c>
      <c r="E137" s="504" t="s">
        <v>1007</v>
      </c>
      <c r="F137" s="654" t="s">
        <v>1010</v>
      </c>
      <c r="G137" s="504" t="s">
        <v>299</v>
      </c>
      <c r="H137" s="504">
        <v>121917</v>
      </c>
      <c r="I137" s="504"/>
      <c r="J137" s="504"/>
      <c r="K137" s="504"/>
      <c r="L137" s="504" t="s">
        <v>35</v>
      </c>
      <c r="M137" s="504"/>
      <c r="N137" s="651"/>
      <c r="O137" s="504"/>
      <c r="P137" s="504"/>
      <c r="Q137" s="504"/>
      <c r="R137" s="504"/>
      <c r="S137" s="504"/>
      <c r="T137" s="504" t="s">
        <v>1216</v>
      </c>
      <c r="U137" s="503">
        <v>205.91</v>
      </c>
      <c r="V137" s="504">
        <v>329.08</v>
      </c>
      <c r="W137" s="504">
        <v>23.55</v>
      </c>
      <c r="X137" s="504">
        <v>32.92</v>
      </c>
      <c r="Y137" s="502">
        <v>25</v>
      </c>
      <c r="Z137" s="504">
        <v>15.31</v>
      </c>
      <c r="AA137" s="499">
        <f t="shared" si="4"/>
        <v>4.0120446359999997</v>
      </c>
      <c r="AB137" s="504"/>
      <c r="AC137" s="536">
        <v>0</v>
      </c>
      <c r="AD137" s="536">
        <v>0</v>
      </c>
      <c r="AE137" s="536">
        <v>0</v>
      </c>
      <c r="AF137" s="504" t="s">
        <v>1546</v>
      </c>
      <c r="AG137" s="504"/>
      <c r="AH137" s="504"/>
      <c r="AI137" s="504"/>
      <c r="AJ137" s="504"/>
      <c r="AK137" s="523">
        <v>44713</v>
      </c>
    </row>
    <row r="138" spans="1:37">
      <c r="A138" s="2149">
        <v>43</v>
      </c>
      <c r="B138" s="2149" t="s">
        <v>973</v>
      </c>
      <c r="C138" s="2149" t="s">
        <v>29</v>
      </c>
      <c r="D138" s="2149" t="s">
        <v>974</v>
      </c>
      <c r="E138" s="504" t="s">
        <v>975</v>
      </c>
      <c r="F138" s="2151" t="s">
        <v>978</v>
      </c>
      <c r="G138" s="2149" t="s">
        <v>979</v>
      </c>
      <c r="H138" s="504">
        <v>82022</v>
      </c>
      <c r="I138" s="504" t="s">
        <v>34</v>
      </c>
      <c r="J138" s="504" t="s">
        <v>34</v>
      </c>
      <c r="K138" s="504" t="s">
        <v>34</v>
      </c>
      <c r="L138" s="504" t="s">
        <v>35</v>
      </c>
      <c r="M138" s="504" t="s">
        <v>36</v>
      </c>
      <c r="N138" s="651"/>
      <c r="O138" s="504"/>
      <c r="P138" s="504"/>
      <c r="Q138" s="504"/>
      <c r="R138" s="504"/>
      <c r="S138" s="504"/>
      <c r="T138" s="2149" t="s">
        <v>1216</v>
      </c>
      <c r="U138" s="499">
        <v>252.52728720205445</v>
      </c>
      <c r="V138" s="537">
        <v>407.75137072694946</v>
      </c>
      <c r="W138" s="502">
        <v>33.315610830505804</v>
      </c>
      <c r="X138" s="504">
        <v>255.3</v>
      </c>
      <c r="Y138" s="502">
        <v>80</v>
      </c>
      <c r="Z138" s="502">
        <v>12.414791666666666</v>
      </c>
      <c r="AA138" s="499">
        <f t="shared" si="4"/>
        <v>3.3444582929765851</v>
      </c>
      <c r="AB138" s="504"/>
      <c r="AC138" s="531">
        <v>1.4999999999999999E-2</v>
      </c>
      <c r="AD138" s="531">
        <v>1.4999999999999999E-2</v>
      </c>
      <c r="AE138" s="531">
        <v>1.4999999999999999E-2</v>
      </c>
      <c r="AF138" s="504" t="s">
        <v>1546</v>
      </c>
      <c r="AG138" s="504"/>
      <c r="AH138" s="504"/>
      <c r="AI138" s="504"/>
      <c r="AJ138" s="504"/>
      <c r="AK138" s="2141">
        <v>44713</v>
      </c>
    </row>
    <row r="139" spans="1:37">
      <c r="A139" s="2149"/>
      <c r="B139" s="2149"/>
      <c r="C139" s="2149"/>
      <c r="D139" s="2149"/>
      <c r="E139" s="504" t="s">
        <v>976</v>
      </c>
      <c r="F139" s="2151"/>
      <c r="G139" s="2149"/>
      <c r="H139" s="504">
        <v>21365</v>
      </c>
      <c r="I139" s="504" t="s">
        <v>34</v>
      </c>
      <c r="J139" s="504" t="s">
        <v>34</v>
      </c>
      <c r="K139" s="504" t="s">
        <v>34</v>
      </c>
      <c r="L139" s="504" t="s">
        <v>35</v>
      </c>
      <c r="M139" s="504" t="s">
        <v>36</v>
      </c>
      <c r="N139" s="651"/>
      <c r="O139" s="504"/>
      <c r="P139" s="504"/>
      <c r="Q139" s="504"/>
      <c r="R139" s="504"/>
      <c r="S139" s="504"/>
      <c r="T139" s="2149"/>
      <c r="U139" s="499">
        <v>288.9643578727426</v>
      </c>
      <c r="V139" s="502">
        <v>445.46373887111162</v>
      </c>
      <c r="W139" s="502">
        <v>34.044352243919562</v>
      </c>
      <c r="X139" s="504">
        <v>231.94</v>
      </c>
      <c r="Y139" s="504"/>
      <c r="Z139" s="502">
        <v>12.414791666666666</v>
      </c>
      <c r="AA139" s="499">
        <f t="shared" si="4"/>
        <v>0.95173327809813002</v>
      </c>
      <c r="AB139" s="504"/>
      <c r="AC139" s="531">
        <v>1.4999999999999999E-2</v>
      </c>
      <c r="AD139" s="531">
        <v>1.4999999999999999E-2</v>
      </c>
      <c r="AE139" s="531">
        <v>1.4999999999999999E-2</v>
      </c>
      <c r="AF139" s="504" t="s">
        <v>1546</v>
      </c>
      <c r="AG139" s="504"/>
      <c r="AH139" s="504"/>
      <c r="AI139" s="504"/>
      <c r="AJ139" s="504"/>
      <c r="AK139" s="2142"/>
    </row>
    <row r="140" spans="1:37">
      <c r="A140" s="2149"/>
      <c r="B140" s="2149"/>
      <c r="C140" s="2149"/>
      <c r="D140" s="2149"/>
      <c r="E140" s="504" t="s">
        <v>977</v>
      </c>
      <c r="F140" s="2151"/>
      <c r="G140" s="2149"/>
      <c r="H140" s="504">
        <v>18530</v>
      </c>
      <c r="I140" s="504" t="s">
        <v>34</v>
      </c>
      <c r="J140" s="504" t="s">
        <v>34</v>
      </c>
      <c r="K140" s="504" t="s">
        <v>34</v>
      </c>
      <c r="L140" s="504" t="s">
        <v>35</v>
      </c>
      <c r="M140" s="504" t="s">
        <v>36</v>
      </c>
      <c r="N140" s="651"/>
      <c r="O140" s="504"/>
      <c r="P140" s="504"/>
      <c r="Q140" s="504"/>
      <c r="R140" s="504"/>
      <c r="S140" s="504"/>
      <c r="T140" s="2149"/>
      <c r="U140" s="499">
        <v>255.64728720205446</v>
      </c>
      <c r="V140" s="502">
        <v>411.87807072694943</v>
      </c>
      <c r="W140" s="502">
        <v>33.578010830505804</v>
      </c>
      <c r="X140" s="504"/>
      <c r="Y140" s="504"/>
      <c r="Z140" s="502">
        <v>12.414791666666666</v>
      </c>
      <c r="AA140" s="499">
        <f t="shared" si="4"/>
        <v>0.76321006505703726</v>
      </c>
      <c r="AB140" s="504"/>
      <c r="AC140" s="531">
        <v>1.4999999999999999E-2</v>
      </c>
      <c r="AD140" s="531">
        <v>1.4999999999999999E-2</v>
      </c>
      <c r="AE140" s="531">
        <v>1.4999999999999999E-2</v>
      </c>
      <c r="AF140" s="504" t="s">
        <v>1546</v>
      </c>
      <c r="AG140" s="504"/>
      <c r="AH140" s="504"/>
      <c r="AI140" s="504"/>
      <c r="AJ140" s="504"/>
      <c r="AK140" s="2143"/>
    </row>
    <row r="141" spans="1:37">
      <c r="A141" s="2149">
        <v>44</v>
      </c>
      <c r="B141" s="2149" t="s">
        <v>973</v>
      </c>
      <c r="C141" s="2149" t="s">
        <v>29</v>
      </c>
      <c r="D141" s="2149" t="s">
        <v>980</v>
      </c>
      <c r="E141" s="504" t="s">
        <v>981</v>
      </c>
      <c r="F141" s="2151" t="s">
        <v>988</v>
      </c>
      <c r="G141" s="2149" t="s">
        <v>979</v>
      </c>
      <c r="H141" s="504">
        <v>76790</v>
      </c>
      <c r="I141" s="504" t="s">
        <v>34</v>
      </c>
      <c r="J141" s="504" t="s">
        <v>34</v>
      </c>
      <c r="K141" s="504" t="s">
        <v>34</v>
      </c>
      <c r="L141" s="504" t="s">
        <v>35</v>
      </c>
      <c r="M141" s="504" t="s">
        <v>36</v>
      </c>
      <c r="N141" s="651"/>
      <c r="O141" s="504"/>
      <c r="P141" s="504"/>
      <c r="Q141" s="504"/>
      <c r="R141" s="504"/>
      <c r="S141" s="504"/>
      <c r="T141" s="2149" t="s">
        <v>1216</v>
      </c>
      <c r="U141" s="499">
        <v>484.1025865382399</v>
      </c>
      <c r="V141" s="502">
        <v>743.5428508449462</v>
      </c>
      <c r="W141" s="502">
        <v>55.63104290124992</v>
      </c>
      <c r="X141" s="504">
        <v>360.49</v>
      </c>
      <c r="Y141" s="502">
        <v>109</v>
      </c>
      <c r="Z141" s="504">
        <v>52.59</v>
      </c>
      <c r="AA141" s="499">
        <f t="shared" si="4"/>
        <v>5.7096655516383414</v>
      </c>
      <c r="AB141" s="504"/>
      <c r="AC141" s="531">
        <v>1.4999999999999999E-2</v>
      </c>
      <c r="AD141" s="531">
        <v>1.4999999999999999E-2</v>
      </c>
      <c r="AE141" s="531">
        <v>1.4999999999999999E-2</v>
      </c>
      <c r="AF141" s="504" t="s">
        <v>1546</v>
      </c>
      <c r="AG141" s="504"/>
      <c r="AH141" s="504"/>
      <c r="AI141" s="504"/>
      <c r="AJ141" s="504"/>
      <c r="AK141" s="2141">
        <v>44713</v>
      </c>
    </row>
    <row r="142" spans="1:37">
      <c r="A142" s="2149"/>
      <c r="B142" s="2149"/>
      <c r="C142" s="2149"/>
      <c r="D142" s="2149"/>
      <c r="E142" s="504" t="s">
        <v>983</v>
      </c>
      <c r="F142" s="2151"/>
      <c r="G142" s="2149"/>
      <c r="H142" s="504">
        <v>16637</v>
      </c>
      <c r="I142" s="504" t="s">
        <v>34</v>
      </c>
      <c r="J142" s="504" t="s">
        <v>34</v>
      </c>
      <c r="K142" s="504" t="s">
        <v>34</v>
      </c>
      <c r="L142" s="504" t="s">
        <v>35</v>
      </c>
      <c r="M142" s="504" t="s">
        <v>36</v>
      </c>
      <c r="N142" s="651"/>
      <c r="O142" s="504"/>
      <c r="P142" s="504"/>
      <c r="Q142" s="504"/>
      <c r="R142" s="504"/>
      <c r="S142" s="504"/>
      <c r="T142" s="2149"/>
      <c r="U142" s="499">
        <v>481.58458653823988</v>
      </c>
      <c r="V142" s="502">
        <v>744.4069422675276</v>
      </c>
      <c r="W142" s="502">
        <v>56.371616558818332</v>
      </c>
      <c r="X142" s="504">
        <v>308.83</v>
      </c>
      <c r="Y142" s="504"/>
      <c r="Z142" s="504"/>
      <c r="AA142" s="499">
        <f t="shared" si="4"/>
        <v>1.2384698298504857</v>
      </c>
      <c r="AB142" s="504"/>
      <c r="AC142" s="531">
        <v>1.4999999999999999E-2</v>
      </c>
      <c r="AD142" s="531">
        <v>1.4999999999999999E-2</v>
      </c>
      <c r="AE142" s="531">
        <v>1.4999999999999999E-2</v>
      </c>
      <c r="AF142" s="504" t="s">
        <v>1546</v>
      </c>
      <c r="AG142" s="504"/>
      <c r="AH142" s="504"/>
      <c r="AI142" s="504"/>
      <c r="AJ142" s="504"/>
      <c r="AK142" s="2142"/>
    </row>
    <row r="143" spans="1:37">
      <c r="A143" s="2149"/>
      <c r="B143" s="2149"/>
      <c r="C143" s="2149"/>
      <c r="D143" s="2149"/>
      <c r="E143" s="504" t="s">
        <v>984</v>
      </c>
      <c r="F143" s="2151"/>
      <c r="G143" s="2149"/>
      <c r="H143" s="504">
        <v>16670</v>
      </c>
      <c r="I143" s="504" t="s">
        <v>34</v>
      </c>
      <c r="J143" s="504" t="s">
        <v>34</v>
      </c>
      <c r="K143" s="504" t="s">
        <v>34</v>
      </c>
      <c r="L143" s="504" t="s">
        <v>35</v>
      </c>
      <c r="M143" s="504" t="s">
        <v>36</v>
      </c>
      <c r="N143" s="651"/>
      <c r="O143" s="504"/>
      <c r="P143" s="504"/>
      <c r="Q143" s="504"/>
      <c r="R143" s="504"/>
      <c r="S143" s="504"/>
      <c r="T143" s="2149"/>
      <c r="U143" s="499">
        <v>489.39734508823989</v>
      </c>
      <c r="V143" s="502">
        <v>779.70539973774657</v>
      </c>
      <c r="W143" s="502">
        <v>62.730094492432329</v>
      </c>
      <c r="X143" s="504">
        <v>4.34</v>
      </c>
      <c r="Y143" s="504"/>
      <c r="Z143" s="504"/>
      <c r="AA143" s="499">
        <f t="shared" si="4"/>
        <v>1.2997689013628235</v>
      </c>
      <c r="AB143" s="504"/>
      <c r="AC143" s="531">
        <v>1.4999999999999999E-2</v>
      </c>
      <c r="AD143" s="531">
        <v>1.4999999999999999E-2</v>
      </c>
      <c r="AE143" s="531">
        <v>1.4999999999999999E-2</v>
      </c>
      <c r="AF143" s="504" t="s">
        <v>1546</v>
      </c>
      <c r="AG143" s="504"/>
      <c r="AH143" s="504"/>
      <c r="AI143" s="504"/>
      <c r="AJ143" s="504"/>
      <c r="AK143" s="2142"/>
    </row>
    <row r="144" spans="1:37">
      <c r="A144" s="2149"/>
      <c r="B144" s="2149"/>
      <c r="C144" s="2149"/>
      <c r="D144" s="2149"/>
      <c r="E144" s="504" t="s">
        <v>985</v>
      </c>
      <c r="F144" s="2151"/>
      <c r="G144" s="2149"/>
      <c r="H144" s="504">
        <v>4728</v>
      </c>
      <c r="I144" s="504" t="s">
        <v>34</v>
      </c>
      <c r="J144" s="504" t="s">
        <v>34</v>
      </c>
      <c r="K144" s="504" t="s">
        <v>34</v>
      </c>
      <c r="L144" s="504" t="s">
        <v>35</v>
      </c>
      <c r="M144" s="504" t="s">
        <v>36</v>
      </c>
      <c r="N144" s="651"/>
      <c r="O144" s="504"/>
      <c r="P144" s="504"/>
      <c r="Q144" s="504"/>
      <c r="R144" s="504"/>
      <c r="S144" s="504"/>
      <c r="T144" s="2149"/>
      <c r="U144" s="499">
        <v>481.58458653823988</v>
      </c>
      <c r="V144" s="502">
        <v>744.4069422675276</v>
      </c>
      <c r="W144" s="502">
        <v>56.371616558818332</v>
      </c>
      <c r="X144" s="504"/>
      <c r="Y144" s="504"/>
      <c r="Z144" s="504"/>
      <c r="AA144" s="499">
        <f t="shared" si="4"/>
        <v>0.35195560230408707</v>
      </c>
      <c r="AB144" s="504"/>
      <c r="AC144" s="531">
        <v>1.4999999999999999E-2</v>
      </c>
      <c r="AD144" s="531">
        <v>1.4999999999999999E-2</v>
      </c>
      <c r="AE144" s="531">
        <v>1.4999999999999999E-2</v>
      </c>
      <c r="AF144" s="504" t="s">
        <v>1546</v>
      </c>
      <c r="AG144" s="504"/>
      <c r="AH144" s="504"/>
      <c r="AI144" s="504"/>
      <c r="AJ144" s="504"/>
      <c r="AK144" s="2142"/>
    </row>
    <row r="145" spans="1:37">
      <c r="A145" s="2149"/>
      <c r="B145" s="2149"/>
      <c r="C145" s="2149"/>
      <c r="D145" s="2149"/>
      <c r="E145" s="504" t="s">
        <v>986</v>
      </c>
      <c r="F145" s="2151"/>
      <c r="G145" s="2149"/>
      <c r="H145" s="504">
        <v>3740</v>
      </c>
      <c r="I145" s="504" t="s">
        <v>34</v>
      </c>
      <c r="J145" s="504" t="s">
        <v>34</v>
      </c>
      <c r="K145" s="504" t="s">
        <v>34</v>
      </c>
      <c r="L145" s="504" t="s">
        <v>35</v>
      </c>
      <c r="M145" s="504" t="s">
        <v>36</v>
      </c>
      <c r="N145" s="651"/>
      <c r="O145" s="504"/>
      <c r="P145" s="504"/>
      <c r="Q145" s="504"/>
      <c r="R145" s="504"/>
      <c r="S145" s="504"/>
      <c r="T145" s="2149"/>
      <c r="U145" s="499">
        <v>499.8955461910399</v>
      </c>
      <c r="V145" s="502">
        <v>770.41232598236934</v>
      </c>
      <c r="W145" s="502">
        <v>58.345480304397128</v>
      </c>
      <c r="X145" s="504">
        <v>13.63</v>
      </c>
      <c r="Y145" s="504"/>
      <c r="Z145" s="504"/>
      <c r="AA145" s="499">
        <f t="shared" si="4"/>
        <v>0.28813420991740613</v>
      </c>
      <c r="AB145" s="504"/>
      <c r="AC145" s="531">
        <v>1.4999999999999999E-2</v>
      </c>
      <c r="AD145" s="531">
        <v>1.4999999999999999E-2</v>
      </c>
      <c r="AE145" s="531">
        <v>1.4999999999999999E-2</v>
      </c>
      <c r="AF145" s="504" t="s">
        <v>1546</v>
      </c>
      <c r="AG145" s="504"/>
      <c r="AH145" s="504"/>
      <c r="AI145" s="504"/>
      <c r="AJ145" s="504"/>
      <c r="AK145" s="2142"/>
    </row>
    <row r="146" spans="1:37">
      <c r="A146" s="2149"/>
      <c r="B146" s="2149"/>
      <c r="C146" s="2149"/>
      <c r="D146" s="2149"/>
      <c r="E146" s="504" t="s">
        <v>987</v>
      </c>
      <c r="F146" s="2151"/>
      <c r="G146" s="2149"/>
      <c r="H146" s="504">
        <v>1492</v>
      </c>
      <c r="I146" s="504" t="s">
        <v>34</v>
      </c>
      <c r="J146" s="504" t="s">
        <v>34</v>
      </c>
      <c r="K146" s="504" t="s">
        <v>34</v>
      </c>
      <c r="L146" s="504" t="s">
        <v>35</v>
      </c>
      <c r="M146" s="504" t="s">
        <v>36</v>
      </c>
      <c r="N146" s="651"/>
      <c r="O146" s="504"/>
      <c r="P146" s="504"/>
      <c r="Q146" s="504"/>
      <c r="R146" s="504"/>
      <c r="S146" s="504"/>
      <c r="T146" s="2149"/>
      <c r="U146" s="499">
        <v>484.1025865382399</v>
      </c>
      <c r="V146" s="502">
        <v>754.24835084494623</v>
      </c>
      <c r="W146" s="502">
        <v>58.071042901249918</v>
      </c>
      <c r="X146" s="504"/>
      <c r="Y146" s="504"/>
      <c r="Z146" s="504"/>
      <c r="AA146" s="499">
        <f t="shared" si="4"/>
        <v>0.11253385394606598</v>
      </c>
      <c r="AB146" s="504"/>
      <c r="AC146" s="531">
        <v>1.4999999999999999E-2</v>
      </c>
      <c r="AD146" s="531">
        <v>1.4999999999999999E-2</v>
      </c>
      <c r="AE146" s="531">
        <v>1.4999999999999999E-2</v>
      </c>
      <c r="AF146" s="504" t="s">
        <v>1546</v>
      </c>
      <c r="AG146" s="504"/>
      <c r="AH146" s="504"/>
      <c r="AI146" s="504"/>
      <c r="AJ146" s="504"/>
      <c r="AK146" s="2142"/>
    </row>
    <row r="147" spans="1:37">
      <c r="A147" s="2149"/>
      <c r="B147" s="2149"/>
      <c r="C147" s="2149"/>
      <c r="D147" s="2149"/>
      <c r="E147" s="504" t="s">
        <v>982</v>
      </c>
      <c r="F147" s="2151"/>
      <c r="G147" s="2149"/>
      <c r="H147" s="504">
        <v>1860</v>
      </c>
      <c r="I147" s="504" t="s">
        <v>34</v>
      </c>
      <c r="J147" s="504" t="s">
        <v>34</v>
      </c>
      <c r="K147" s="504" t="s">
        <v>34</v>
      </c>
      <c r="L147" s="504" t="s">
        <v>35</v>
      </c>
      <c r="M147" s="504" t="s">
        <v>36</v>
      </c>
      <c r="N147" s="651"/>
      <c r="O147" s="504"/>
      <c r="P147" s="504"/>
      <c r="Q147" s="504"/>
      <c r="R147" s="504"/>
      <c r="S147" s="504"/>
      <c r="T147" s="2149"/>
      <c r="U147" s="499">
        <v>502.79397546603991</v>
      </c>
      <c r="V147" s="502">
        <v>794.41331217876973</v>
      </c>
      <c r="W147" s="502">
        <v>63.19002709998832</v>
      </c>
      <c r="X147" s="504"/>
      <c r="Y147" s="504"/>
      <c r="Z147" s="504"/>
      <c r="AA147" s="499">
        <f t="shared" si="4"/>
        <v>0.14776087606525115</v>
      </c>
      <c r="AB147" s="504"/>
      <c r="AC147" s="531">
        <v>1.4999999999999999E-2</v>
      </c>
      <c r="AD147" s="531">
        <v>1.4999999999999999E-2</v>
      </c>
      <c r="AE147" s="531">
        <v>1.4999999999999999E-2</v>
      </c>
      <c r="AF147" s="504" t="s">
        <v>1546</v>
      </c>
      <c r="AG147" s="504"/>
      <c r="AH147" s="504"/>
      <c r="AI147" s="504"/>
      <c r="AJ147" s="504"/>
      <c r="AK147" s="2143"/>
    </row>
    <row r="148" spans="1:37" s="506" customFormat="1">
      <c r="A148" s="497">
        <v>45</v>
      </c>
      <c r="B148" s="497" t="s">
        <v>1737</v>
      </c>
      <c r="C148" s="497" t="s">
        <v>1738</v>
      </c>
      <c r="D148" s="497" t="s">
        <v>1739</v>
      </c>
      <c r="E148" s="497" t="s">
        <v>1740</v>
      </c>
      <c r="F148" s="655" t="s">
        <v>1741</v>
      </c>
      <c r="G148" s="497" t="s">
        <v>1742</v>
      </c>
      <c r="H148" s="497">
        <v>120000</v>
      </c>
      <c r="I148" s="497" t="s">
        <v>34</v>
      </c>
      <c r="J148" s="497" t="s">
        <v>34</v>
      </c>
      <c r="K148" s="497" t="s">
        <v>34</v>
      </c>
      <c r="L148" s="497" t="s">
        <v>1544</v>
      </c>
      <c r="M148" s="497" t="s">
        <v>36</v>
      </c>
      <c r="N148" s="652">
        <v>43795</v>
      </c>
      <c r="O148" s="652">
        <v>43852</v>
      </c>
      <c r="P148" s="652">
        <v>43852</v>
      </c>
      <c r="Q148" s="652">
        <v>43795</v>
      </c>
      <c r="R148" s="652">
        <v>43834</v>
      </c>
      <c r="S148" s="497" t="s">
        <v>1216</v>
      </c>
      <c r="T148" s="497" t="s">
        <v>1216</v>
      </c>
      <c r="U148" s="497">
        <v>263.04000000000002</v>
      </c>
      <c r="V148" s="497">
        <v>539.04999999999995</v>
      </c>
      <c r="W148" s="497">
        <v>56.96</v>
      </c>
      <c r="X148" s="497">
        <v>9</v>
      </c>
      <c r="Y148" s="497">
        <v>27.25</v>
      </c>
      <c r="Z148" s="497">
        <v>5</v>
      </c>
      <c r="AA148" s="497">
        <f t="shared" si="4"/>
        <v>6.4685999999999995</v>
      </c>
      <c r="AB148" s="497"/>
      <c r="AC148" s="660">
        <v>0.01</v>
      </c>
      <c r="AD148" s="660">
        <v>0.01</v>
      </c>
      <c r="AE148" s="660">
        <v>0.01</v>
      </c>
      <c r="AF148" s="497" t="s">
        <v>342</v>
      </c>
      <c r="AG148" s="497">
        <v>539.04999999999995</v>
      </c>
      <c r="AH148" s="497">
        <v>27.25</v>
      </c>
      <c r="AI148" s="497">
        <v>5</v>
      </c>
      <c r="AJ148" s="497">
        <v>9</v>
      </c>
      <c r="AK148" s="522">
        <v>44470</v>
      </c>
    </row>
    <row r="149" spans="1:37">
      <c r="A149" s="504">
        <v>46</v>
      </c>
      <c r="B149" s="504" t="s">
        <v>973</v>
      </c>
      <c r="C149" s="504" t="s">
        <v>29</v>
      </c>
      <c r="D149" s="504" t="s">
        <v>1008</v>
      </c>
      <c r="E149" s="504" t="s">
        <v>1009</v>
      </c>
      <c r="F149" s="654" t="s">
        <v>1011</v>
      </c>
      <c r="G149" s="504" t="s">
        <v>979</v>
      </c>
      <c r="H149" s="504">
        <v>6220</v>
      </c>
      <c r="I149" s="504"/>
      <c r="J149" s="504"/>
      <c r="K149" s="504"/>
      <c r="L149" s="504" t="s">
        <v>35</v>
      </c>
      <c r="M149" s="504"/>
      <c r="N149" s="651"/>
      <c r="O149" s="504"/>
      <c r="P149" s="504"/>
      <c r="Q149" s="504"/>
      <c r="R149" s="504"/>
      <c r="S149" s="504"/>
      <c r="T149" s="504" t="s">
        <v>1216</v>
      </c>
      <c r="U149" s="503">
        <v>536.98</v>
      </c>
      <c r="V149" s="504">
        <v>1127.1600000000001</v>
      </c>
      <c r="W149" s="504">
        <v>124.73</v>
      </c>
      <c r="X149" s="504">
        <v>351.59</v>
      </c>
      <c r="Y149" s="504">
        <v>25.5</v>
      </c>
      <c r="Z149" s="504">
        <v>36.64</v>
      </c>
      <c r="AA149" s="499">
        <f t="shared" si="4"/>
        <v>0.70109352000000003</v>
      </c>
      <c r="AB149" s="504"/>
      <c r="AC149" s="531">
        <v>1.4999999999999999E-2</v>
      </c>
      <c r="AD149" s="531">
        <v>1.4999999999999999E-2</v>
      </c>
      <c r="AE149" s="531">
        <v>1.4999999999999999E-2</v>
      </c>
      <c r="AF149" s="504" t="s">
        <v>1546</v>
      </c>
      <c r="AG149" s="504"/>
      <c r="AH149" s="504"/>
      <c r="AI149" s="504"/>
      <c r="AJ149" s="504"/>
      <c r="AK149" s="523">
        <v>44713</v>
      </c>
    </row>
    <row r="150" spans="1:37">
      <c r="A150" s="497">
        <v>47</v>
      </c>
      <c r="B150" s="497" t="s">
        <v>1030</v>
      </c>
      <c r="C150" s="497" t="s">
        <v>29</v>
      </c>
      <c r="D150" s="497" t="s">
        <v>1412</v>
      </c>
      <c r="E150" s="497" t="s">
        <v>1413</v>
      </c>
      <c r="F150" s="655" t="s">
        <v>1414</v>
      </c>
      <c r="G150" s="497" t="s">
        <v>1289</v>
      </c>
      <c r="H150" s="497">
        <v>94378</v>
      </c>
      <c r="I150" s="497"/>
      <c r="J150" s="497"/>
      <c r="K150" s="497"/>
      <c r="L150" s="497" t="s">
        <v>35</v>
      </c>
      <c r="M150" s="497" t="s">
        <v>36</v>
      </c>
      <c r="N150" s="652">
        <v>44095</v>
      </c>
      <c r="O150" s="497" t="s">
        <v>1415</v>
      </c>
      <c r="P150" s="497"/>
      <c r="Q150" s="497" t="s">
        <v>1416</v>
      </c>
      <c r="R150" s="497" t="s">
        <v>1417</v>
      </c>
      <c r="S150" s="497" t="s">
        <v>1418</v>
      </c>
      <c r="T150" s="497" t="s">
        <v>1216</v>
      </c>
      <c r="U150" s="497">
        <v>214.27</v>
      </c>
      <c r="V150" s="497">
        <v>349.25</v>
      </c>
      <c r="W150" s="497">
        <v>27.78</v>
      </c>
      <c r="X150" s="497">
        <v>121.2</v>
      </c>
      <c r="Y150" s="497">
        <v>34.5</v>
      </c>
      <c r="Z150" s="497">
        <v>19.89</v>
      </c>
      <c r="AA150" s="501">
        <f t="shared" si="4"/>
        <v>3.2961516500000001</v>
      </c>
      <c r="AB150" s="497"/>
      <c r="AC150" s="518">
        <v>1.2500000000000001E-2</v>
      </c>
      <c r="AD150" s="518">
        <v>1.2500000000000001E-2</v>
      </c>
      <c r="AE150" s="518">
        <v>1.2500000000000001E-2</v>
      </c>
      <c r="AF150" s="501" t="s">
        <v>342</v>
      </c>
      <c r="AG150" s="501">
        <v>275</v>
      </c>
      <c r="AH150" s="2147">
        <v>140.4</v>
      </c>
      <c r="AI150" s="2147"/>
      <c r="AJ150" s="2147"/>
      <c r="AK150" s="522" t="s">
        <v>1581</v>
      </c>
    </row>
    <row r="151" spans="1:37" ht="30">
      <c r="A151" s="497">
        <v>48</v>
      </c>
      <c r="B151" s="497" t="s">
        <v>1724</v>
      </c>
      <c r="C151" s="497" t="s">
        <v>29</v>
      </c>
      <c r="D151" s="497" t="s">
        <v>1419</v>
      </c>
      <c r="E151" s="497" t="s">
        <v>1420</v>
      </c>
      <c r="F151" s="655" t="s">
        <v>1421</v>
      </c>
      <c r="G151" s="497" t="s">
        <v>1422</v>
      </c>
      <c r="H151" s="497">
        <v>120000</v>
      </c>
      <c r="I151" s="497"/>
      <c r="J151" s="497"/>
      <c r="K151" s="497"/>
      <c r="L151" s="497" t="s">
        <v>1544</v>
      </c>
      <c r="M151" s="497" t="s">
        <v>237</v>
      </c>
      <c r="N151" s="652"/>
      <c r="O151" s="497"/>
      <c r="P151" s="497"/>
      <c r="Q151" s="497"/>
      <c r="R151" s="497"/>
      <c r="S151" s="497"/>
      <c r="T151" s="497" t="s">
        <v>1216</v>
      </c>
      <c r="U151" s="497">
        <v>1138.32</v>
      </c>
      <c r="V151" s="501">
        <v>1916.51</v>
      </c>
      <c r="W151" s="497">
        <v>116.85</v>
      </c>
      <c r="X151" s="497">
        <v>327.25</v>
      </c>
      <c r="Y151" s="497">
        <v>52</v>
      </c>
      <c r="Z151" s="497">
        <v>43.82</v>
      </c>
      <c r="AA151" s="501">
        <f t="shared" si="4"/>
        <v>22.99812</v>
      </c>
      <c r="AB151" s="497"/>
      <c r="AC151" s="518">
        <v>5.0000000000000001E-3</v>
      </c>
      <c r="AD151" s="518">
        <v>5.0000000000000001E-3</v>
      </c>
      <c r="AE151" s="518">
        <v>5.0000000000000001E-3</v>
      </c>
      <c r="AF151" s="497" t="s">
        <v>1545</v>
      </c>
      <c r="AG151" s="501">
        <v>1916.51</v>
      </c>
      <c r="AH151" s="2147">
        <v>539.91999999999996</v>
      </c>
      <c r="AI151" s="2147"/>
      <c r="AJ151" s="2147"/>
      <c r="AK151" s="522">
        <v>44713</v>
      </c>
    </row>
    <row r="152" spans="1:37">
      <c r="A152" s="2147">
        <f>A151+1</f>
        <v>49</v>
      </c>
      <c r="B152" s="2147" t="s">
        <v>1030</v>
      </c>
      <c r="C152" s="2147" t="s">
        <v>29</v>
      </c>
      <c r="D152" s="2147" t="s">
        <v>1162</v>
      </c>
      <c r="E152" s="497" t="s">
        <v>1163</v>
      </c>
      <c r="F152" s="655" t="s">
        <v>1423</v>
      </c>
      <c r="G152" s="497" t="s">
        <v>1289</v>
      </c>
      <c r="H152" s="497">
        <v>68207</v>
      </c>
      <c r="I152" s="497"/>
      <c r="J152" s="497"/>
      <c r="K152" s="497"/>
      <c r="L152" s="497" t="s">
        <v>35</v>
      </c>
      <c r="M152" s="497" t="s">
        <v>36</v>
      </c>
      <c r="N152" s="652"/>
      <c r="O152" s="497"/>
      <c r="P152" s="497"/>
      <c r="Q152" s="497"/>
      <c r="R152" s="497"/>
      <c r="S152" s="497"/>
      <c r="T152" s="497" t="s">
        <v>1216</v>
      </c>
      <c r="U152" s="497">
        <v>444.64</v>
      </c>
      <c r="V152" s="497">
        <v>679.55</v>
      </c>
      <c r="W152" s="497">
        <v>47.43</v>
      </c>
      <c r="X152" s="497">
        <v>444.98</v>
      </c>
      <c r="Y152" s="497">
        <v>44</v>
      </c>
      <c r="Z152" s="497">
        <v>23.42</v>
      </c>
      <c r="AA152" s="501">
        <f t="shared" si="4"/>
        <v>4.6350066849999996</v>
      </c>
      <c r="AB152" s="497"/>
      <c r="AC152" s="518">
        <v>1.2500000000000001E-2</v>
      </c>
      <c r="AD152" s="518">
        <v>1.2500000000000001E-2</v>
      </c>
      <c r="AE152" s="518">
        <v>1.2500000000000001E-2</v>
      </c>
      <c r="AF152" s="501" t="s">
        <v>342</v>
      </c>
      <c r="AG152" s="497">
        <v>537.9</v>
      </c>
      <c r="AH152" s="2147">
        <v>431.96</v>
      </c>
      <c r="AI152" s="2147"/>
      <c r="AJ152" s="2147"/>
      <c r="AK152" s="2144" t="s">
        <v>1581</v>
      </c>
    </row>
    <row r="153" spans="1:37">
      <c r="A153" s="2147"/>
      <c r="B153" s="2147"/>
      <c r="C153" s="2147"/>
      <c r="D153" s="2147"/>
      <c r="E153" s="497" t="s">
        <v>1165</v>
      </c>
      <c r="F153" s="655" t="s">
        <v>1424</v>
      </c>
      <c r="G153" s="497" t="s">
        <v>1289</v>
      </c>
      <c r="H153" s="497">
        <v>68207</v>
      </c>
      <c r="I153" s="497"/>
      <c r="J153" s="497"/>
      <c r="K153" s="497"/>
      <c r="L153" s="497" t="s">
        <v>35</v>
      </c>
      <c r="M153" s="497" t="s">
        <v>36</v>
      </c>
      <c r="N153" s="652"/>
      <c r="O153" s="497"/>
      <c r="P153" s="497"/>
      <c r="Q153" s="497"/>
      <c r="R153" s="497"/>
      <c r="S153" s="497"/>
      <c r="T153" s="497" t="s">
        <v>1216</v>
      </c>
      <c r="U153" s="497">
        <v>444.54</v>
      </c>
      <c r="V153" s="497">
        <v>679.45</v>
      </c>
      <c r="W153" s="497">
        <v>47.43</v>
      </c>
      <c r="X153" s="497">
        <v>419.49</v>
      </c>
      <c r="Y153" s="497">
        <v>46.5</v>
      </c>
      <c r="Z153" s="497">
        <v>23.42</v>
      </c>
      <c r="AA153" s="501">
        <f t="shared" si="4"/>
        <v>4.6343246150000006</v>
      </c>
      <c r="AB153" s="497"/>
      <c r="AC153" s="518">
        <v>1.2500000000000001E-2</v>
      </c>
      <c r="AD153" s="518">
        <v>1.2500000000000001E-2</v>
      </c>
      <c r="AE153" s="518">
        <v>1.2500000000000001E-2</v>
      </c>
      <c r="AF153" s="501" t="s">
        <v>342</v>
      </c>
      <c r="AG153" s="497">
        <v>537.79999999999995</v>
      </c>
      <c r="AH153" s="2147">
        <v>413.67</v>
      </c>
      <c r="AI153" s="2147"/>
      <c r="AJ153" s="2147"/>
      <c r="AK153" s="2146"/>
    </row>
    <row r="154" spans="1:37">
      <c r="A154" s="504">
        <v>50</v>
      </c>
      <c r="B154" s="504" t="s">
        <v>973</v>
      </c>
      <c r="C154" s="504" t="s">
        <v>29</v>
      </c>
      <c r="D154" s="504" t="s">
        <v>1425</v>
      </c>
      <c r="E154" s="504" t="s">
        <v>1426</v>
      </c>
      <c r="F154" s="659" t="s">
        <v>1427</v>
      </c>
      <c r="G154" s="504" t="s">
        <v>300</v>
      </c>
      <c r="H154" s="504">
        <v>102470</v>
      </c>
      <c r="I154" s="504"/>
      <c r="J154" s="504"/>
      <c r="K154" s="504"/>
      <c r="L154" s="504" t="s">
        <v>35</v>
      </c>
      <c r="M154" s="504" t="s">
        <v>36</v>
      </c>
      <c r="N154" s="651"/>
      <c r="O154" s="504"/>
      <c r="P154" s="504"/>
      <c r="Q154" s="504"/>
      <c r="R154" s="504"/>
      <c r="S154" s="504"/>
      <c r="T154" s="504" t="s">
        <v>1216</v>
      </c>
      <c r="U154" s="503">
        <v>117.12</v>
      </c>
      <c r="V154" s="504">
        <v>218.35</v>
      </c>
      <c r="W154" s="504">
        <v>19.579999999999998</v>
      </c>
      <c r="X154" s="504">
        <v>50.07</v>
      </c>
      <c r="Y154" s="504">
        <v>33.5</v>
      </c>
      <c r="Z154" s="504">
        <v>18.57</v>
      </c>
      <c r="AA154" s="499">
        <f t="shared" si="4"/>
        <v>2.23743245</v>
      </c>
      <c r="AB154" s="504"/>
      <c r="AC154" s="517">
        <v>1.15E-2</v>
      </c>
      <c r="AD154" s="517">
        <v>1.15E-2</v>
      </c>
      <c r="AE154" s="517">
        <v>1.15E-2</v>
      </c>
      <c r="AF154" s="504" t="s">
        <v>1546</v>
      </c>
      <c r="AG154" s="504"/>
      <c r="AH154" s="504"/>
      <c r="AI154" s="504"/>
      <c r="AJ154" s="504"/>
      <c r="AK154" s="523">
        <v>44713</v>
      </c>
    </row>
    <row r="155" spans="1:37">
      <c r="A155" s="504">
        <v>51</v>
      </c>
      <c r="B155" s="504" t="s">
        <v>973</v>
      </c>
      <c r="C155" s="504" t="s">
        <v>29</v>
      </c>
      <c r="D155" s="504" t="s">
        <v>1429</v>
      </c>
      <c r="E155" s="504" t="s">
        <v>1430</v>
      </c>
      <c r="F155" s="654" t="s">
        <v>1428</v>
      </c>
      <c r="G155" s="504" t="s">
        <v>300</v>
      </c>
      <c r="H155" s="504">
        <v>102470</v>
      </c>
      <c r="I155" s="504"/>
      <c r="J155" s="504"/>
      <c r="K155" s="504"/>
      <c r="L155" s="504" t="s">
        <v>35</v>
      </c>
      <c r="M155" s="504" t="s">
        <v>36</v>
      </c>
      <c r="N155" s="651"/>
      <c r="O155" s="504"/>
      <c r="P155" s="504"/>
      <c r="Q155" s="504"/>
      <c r="R155" s="504"/>
      <c r="S155" s="504"/>
      <c r="T155" s="504" t="s">
        <v>1216</v>
      </c>
      <c r="U155" s="503">
        <v>68.69</v>
      </c>
      <c r="V155" s="504">
        <v>114.13</v>
      </c>
      <c r="W155" s="504">
        <v>8.23</v>
      </c>
      <c r="X155" s="504">
        <v>22.43</v>
      </c>
      <c r="Y155" s="504">
        <v>2.5</v>
      </c>
      <c r="Z155" s="504">
        <v>8.52</v>
      </c>
      <c r="AA155" s="499">
        <f t="shared" si="4"/>
        <v>1.1694901099999999</v>
      </c>
      <c r="AB155" s="504"/>
      <c r="AC155" s="526">
        <v>0.01</v>
      </c>
      <c r="AD155" s="526">
        <v>0.01</v>
      </c>
      <c r="AE155" s="526">
        <v>0.01</v>
      </c>
      <c r="AF155" s="504" t="s">
        <v>1546</v>
      </c>
      <c r="AG155" s="504"/>
      <c r="AH155" s="504"/>
      <c r="AI155" s="504"/>
      <c r="AJ155" s="504"/>
      <c r="AK155" s="523">
        <v>44713</v>
      </c>
    </row>
    <row r="156" spans="1:37" ht="22.5" customHeight="1">
      <c r="A156" s="497">
        <v>52</v>
      </c>
      <c r="B156" s="497" t="s">
        <v>1030</v>
      </c>
      <c r="C156" s="497" t="s">
        <v>29</v>
      </c>
      <c r="D156" s="497" t="s">
        <v>1548</v>
      </c>
      <c r="E156" s="497" t="s">
        <v>1431</v>
      </c>
      <c r="F156" s="655" t="s">
        <v>1432</v>
      </c>
      <c r="G156" s="497" t="s">
        <v>1250</v>
      </c>
      <c r="H156" s="497">
        <v>62426</v>
      </c>
      <c r="I156" s="497"/>
      <c r="J156" s="497"/>
      <c r="K156" s="497"/>
      <c r="L156" s="497" t="s">
        <v>1047</v>
      </c>
      <c r="M156" s="497" t="s">
        <v>36</v>
      </c>
      <c r="N156" s="652"/>
      <c r="O156" s="497"/>
      <c r="P156" s="497"/>
      <c r="Q156" s="497"/>
      <c r="R156" s="497"/>
      <c r="S156" s="497"/>
      <c r="T156" s="497" t="s">
        <v>1216</v>
      </c>
      <c r="U156" s="497">
        <v>1757.41</v>
      </c>
      <c r="V156" s="497">
        <v>3392.83</v>
      </c>
      <c r="W156" s="497">
        <v>255.53</v>
      </c>
      <c r="X156" s="497">
        <v>341.24</v>
      </c>
      <c r="Y156" s="497">
        <v>110.25</v>
      </c>
      <c r="Z156" s="497">
        <v>59.03</v>
      </c>
      <c r="AA156" s="501">
        <f t="shared" si="4"/>
        <v>21.180080557999997</v>
      </c>
      <c r="AB156" s="497"/>
      <c r="AC156" s="518">
        <v>1.2500000000000001E-2</v>
      </c>
      <c r="AD156" s="518">
        <v>1.2500000000000001E-2</v>
      </c>
      <c r="AE156" s="518">
        <v>1.2500000000000001E-2</v>
      </c>
      <c r="AF156" s="501" t="s">
        <v>342</v>
      </c>
      <c r="AG156" s="497">
        <v>3336.24</v>
      </c>
      <c r="AH156" s="2147">
        <f>428.75+58.81</f>
        <v>487.56</v>
      </c>
      <c r="AI156" s="2147"/>
      <c r="AJ156" s="2147"/>
      <c r="AK156" s="2144" t="s">
        <v>1581</v>
      </c>
    </row>
    <row r="157" spans="1:37">
      <c r="A157" s="2147">
        <v>53</v>
      </c>
      <c r="B157" s="2147" t="s">
        <v>1030</v>
      </c>
      <c r="C157" s="2147" t="s">
        <v>29</v>
      </c>
      <c r="D157" s="2147" t="s">
        <v>1433</v>
      </c>
      <c r="E157" s="497" t="s">
        <v>1434</v>
      </c>
      <c r="F157" s="655" t="s">
        <v>1435</v>
      </c>
      <c r="G157" s="497" t="s">
        <v>1250</v>
      </c>
      <c r="H157" s="497">
        <v>48431</v>
      </c>
      <c r="I157" s="497"/>
      <c r="J157" s="497"/>
      <c r="K157" s="497"/>
      <c r="L157" s="497" t="s">
        <v>1047</v>
      </c>
      <c r="M157" s="497" t="s">
        <v>36</v>
      </c>
      <c r="N157" s="652"/>
      <c r="O157" s="497"/>
      <c r="P157" s="497"/>
      <c r="Q157" s="497"/>
      <c r="R157" s="497"/>
      <c r="S157" s="497"/>
      <c r="T157" s="497" t="s">
        <v>1216</v>
      </c>
      <c r="U157" s="497">
        <v>2410.83</v>
      </c>
      <c r="V157" s="497">
        <v>3548.18</v>
      </c>
      <c r="W157" s="497">
        <v>220.33</v>
      </c>
      <c r="X157" s="497">
        <v>328.49</v>
      </c>
      <c r="Y157" s="497">
        <v>93.75</v>
      </c>
      <c r="Z157" s="497">
        <v>58.54</v>
      </c>
      <c r="AA157" s="501">
        <f t="shared" si="4"/>
        <v>17.184190557999997</v>
      </c>
      <c r="AB157" s="497"/>
      <c r="AC157" s="518">
        <v>1.2500000000000001E-2</v>
      </c>
      <c r="AD157" s="518">
        <v>1.2500000000000001E-2</v>
      </c>
      <c r="AE157" s="518">
        <v>1.2500000000000001E-2</v>
      </c>
      <c r="AF157" s="501" t="s">
        <v>342</v>
      </c>
      <c r="AG157" s="497">
        <v>3439.97</v>
      </c>
      <c r="AH157" s="2147">
        <v>472.19</v>
      </c>
      <c r="AI157" s="2147"/>
      <c r="AJ157" s="2147"/>
      <c r="AK157" s="2145"/>
    </row>
    <row r="158" spans="1:37">
      <c r="A158" s="2147"/>
      <c r="B158" s="2147"/>
      <c r="C158" s="2147"/>
      <c r="D158" s="2147"/>
      <c r="E158" s="497" t="s">
        <v>1436</v>
      </c>
      <c r="F158" s="655" t="s">
        <v>1435</v>
      </c>
      <c r="G158" s="497" t="s">
        <v>1250</v>
      </c>
      <c r="H158" s="497">
        <v>13995</v>
      </c>
      <c r="I158" s="497"/>
      <c r="J158" s="497"/>
      <c r="K158" s="497"/>
      <c r="L158" s="497" t="s">
        <v>1047</v>
      </c>
      <c r="M158" s="497" t="s">
        <v>36</v>
      </c>
      <c r="N158" s="652"/>
      <c r="O158" s="497"/>
      <c r="P158" s="497"/>
      <c r="Q158" s="497"/>
      <c r="R158" s="497"/>
      <c r="S158" s="497"/>
      <c r="T158" s="497" t="s">
        <v>1216</v>
      </c>
      <c r="U158" s="497">
        <v>2422.62</v>
      </c>
      <c r="V158" s="497">
        <v>3566.69</v>
      </c>
      <c r="W158" s="497">
        <v>220.69</v>
      </c>
      <c r="X158" s="497">
        <v>72.760000000000005</v>
      </c>
      <c r="Y158" s="497">
        <v>5</v>
      </c>
      <c r="Z158" s="497" t="s">
        <v>1261</v>
      </c>
      <c r="AA158" s="501">
        <f t="shared" si="4"/>
        <v>4.9915826550000002</v>
      </c>
      <c r="AB158" s="497"/>
      <c r="AC158" s="518">
        <v>1.2500000000000001E-2</v>
      </c>
      <c r="AD158" s="518">
        <v>1.2500000000000001E-2</v>
      </c>
      <c r="AE158" s="518">
        <v>1.2500000000000001E-2</v>
      </c>
      <c r="AF158" s="501" t="s">
        <v>342</v>
      </c>
      <c r="AG158" s="497">
        <v>3453.76</v>
      </c>
      <c r="AH158" s="2147">
        <v>75.930000000000007</v>
      </c>
      <c r="AI158" s="2147"/>
      <c r="AJ158" s="2147"/>
      <c r="AK158" s="2146"/>
    </row>
    <row r="159" spans="1:37">
      <c r="A159" s="504">
        <v>54</v>
      </c>
      <c r="B159" s="504" t="s">
        <v>1030</v>
      </c>
      <c r="C159" s="504" t="s">
        <v>29</v>
      </c>
      <c r="D159" s="504" t="s">
        <v>1437</v>
      </c>
      <c r="E159" s="504" t="s">
        <v>1438</v>
      </c>
      <c r="F159" s="654" t="s">
        <v>1439</v>
      </c>
      <c r="G159" s="504" t="s">
        <v>1250</v>
      </c>
      <c r="H159" s="504">
        <v>68207</v>
      </c>
      <c r="I159" s="504"/>
      <c r="J159" s="504"/>
      <c r="K159" s="504"/>
      <c r="L159" s="504" t="s">
        <v>1047</v>
      </c>
      <c r="M159" s="504" t="s">
        <v>36</v>
      </c>
      <c r="N159" s="651"/>
      <c r="O159" s="504"/>
      <c r="P159" s="504"/>
      <c r="Q159" s="504"/>
      <c r="R159" s="504"/>
      <c r="S159" s="502"/>
      <c r="T159" s="504" t="s">
        <v>1216</v>
      </c>
      <c r="U159" s="499">
        <v>141.65</v>
      </c>
      <c r="V159" s="504">
        <v>225.02</v>
      </c>
      <c r="W159" s="504">
        <v>12.02</v>
      </c>
      <c r="X159" s="504">
        <v>3.83</v>
      </c>
      <c r="Y159" s="504">
        <v>28</v>
      </c>
      <c r="Z159" s="504">
        <v>9.43</v>
      </c>
      <c r="AA159" s="499">
        <f t="shared" si="4"/>
        <v>1.534793914</v>
      </c>
      <c r="AB159" s="504"/>
      <c r="AC159" s="517">
        <v>1.2500000000000001E-2</v>
      </c>
      <c r="AD159" s="517">
        <v>1.2500000000000001E-2</v>
      </c>
      <c r="AE159" s="517">
        <v>1.2500000000000001E-2</v>
      </c>
      <c r="AF159" s="504" t="s">
        <v>1546</v>
      </c>
      <c r="AG159" s="504"/>
      <c r="AH159" s="504"/>
      <c r="AI159" s="504"/>
      <c r="AJ159" s="504"/>
      <c r="AK159" s="523" t="s">
        <v>1581</v>
      </c>
    </row>
    <row r="160" spans="1:37">
      <c r="A160" s="504">
        <v>55</v>
      </c>
      <c r="B160" s="504" t="s">
        <v>1030</v>
      </c>
      <c r="C160" s="504" t="s">
        <v>29</v>
      </c>
      <c r="D160" s="504" t="s">
        <v>1440</v>
      </c>
      <c r="E160" s="504" t="s">
        <v>1441</v>
      </c>
      <c r="F160" s="654" t="s">
        <v>1442</v>
      </c>
      <c r="G160" s="504" t="s">
        <v>1250</v>
      </c>
      <c r="H160" s="504">
        <v>18150</v>
      </c>
      <c r="I160" s="504"/>
      <c r="J160" s="504"/>
      <c r="K160" s="504"/>
      <c r="L160" s="504" t="s">
        <v>1047</v>
      </c>
      <c r="M160" s="504" t="s">
        <v>36</v>
      </c>
      <c r="N160" s="651"/>
      <c r="O160" s="504"/>
      <c r="P160" s="504"/>
      <c r="Q160" s="504"/>
      <c r="R160" s="504"/>
      <c r="S160" s="504"/>
      <c r="T160" s="504" t="s">
        <v>1216</v>
      </c>
      <c r="U160" s="503">
        <v>174.07</v>
      </c>
      <c r="V160" s="504">
        <v>295.69</v>
      </c>
      <c r="W160" s="504">
        <v>15.26</v>
      </c>
      <c r="X160" s="504">
        <v>6</v>
      </c>
      <c r="Y160" s="504">
        <v>28</v>
      </c>
      <c r="Z160" s="504">
        <v>9.33</v>
      </c>
      <c r="AA160" s="499">
        <f t="shared" si="4"/>
        <v>0.53667735000000005</v>
      </c>
      <c r="AB160" s="504"/>
      <c r="AC160" s="517">
        <v>1.2500000000000001E-2</v>
      </c>
      <c r="AD160" s="517">
        <v>1.2500000000000001E-2</v>
      </c>
      <c r="AE160" s="517">
        <v>1.2500000000000001E-2</v>
      </c>
      <c r="AF160" s="504" t="s">
        <v>1546</v>
      </c>
      <c r="AG160" s="504"/>
      <c r="AH160" s="504"/>
      <c r="AI160" s="504"/>
      <c r="AJ160" s="504"/>
      <c r="AK160" s="523" t="s">
        <v>1581</v>
      </c>
    </row>
    <row r="161" spans="1:37">
      <c r="A161" s="504">
        <v>56</v>
      </c>
      <c r="B161" s="504" t="s">
        <v>1030</v>
      </c>
      <c r="C161" s="504" t="s">
        <v>29</v>
      </c>
      <c r="D161" s="504" t="s">
        <v>1443</v>
      </c>
      <c r="E161" s="504" t="s">
        <v>1444</v>
      </c>
      <c r="F161" s="654" t="s">
        <v>1442</v>
      </c>
      <c r="G161" s="504" t="s">
        <v>1250</v>
      </c>
      <c r="H161" s="504">
        <v>50057</v>
      </c>
      <c r="I161" s="504"/>
      <c r="J161" s="504"/>
      <c r="K161" s="504"/>
      <c r="L161" s="504" t="s">
        <v>1047</v>
      </c>
      <c r="M161" s="504" t="s">
        <v>36</v>
      </c>
      <c r="N161" s="651"/>
      <c r="O161" s="504"/>
      <c r="P161" s="504"/>
      <c r="Q161" s="504"/>
      <c r="R161" s="504"/>
      <c r="S161" s="504"/>
      <c r="T161" s="504" t="s">
        <v>1216</v>
      </c>
      <c r="U161" s="503">
        <v>114.16</v>
      </c>
      <c r="V161" s="504">
        <v>185.37</v>
      </c>
      <c r="W161" s="504">
        <v>8.36</v>
      </c>
      <c r="X161" s="504">
        <v>3.68</v>
      </c>
      <c r="Y161" s="504">
        <v>28</v>
      </c>
      <c r="Z161" s="504">
        <v>8.75</v>
      </c>
      <c r="AA161" s="502">
        <f t="shared" si="4"/>
        <v>0.92790660899999999</v>
      </c>
      <c r="AB161" s="504"/>
      <c r="AC161" s="517">
        <v>1.2500000000000001E-2</v>
      </c>
      <c r="AD161" s="517">
        <v>1.2500000000000001E-2</v>
      </c>
      <c r="AE161" s="517">
        <v>1.2500000000000001E-2</v>
      </c>
      <c r="AF161" s="504" t="s">
        <v>1546</v>
      </c>
      <c r="AG161" s="504"/>
      <c r="AH161" s="504"/>
      <c r="AI161" s="504"/>
      <c r="AJ161" s="504"/>
      <c r="AK161" s="523" t="s">
        <v>1581</v>
      </c>
    </row>
    <row r="162" spans="1:37" ht="15.75" thickBot="1"/>
    <row r="163" spans="1:37" ht="15.75" thickBot="1">
      <c r="B163" s="507"/>
      <c r="C163" s="508" t="s">
        <v>1549</v>
      </c>
    </row>
    <row r="164" spans="1:37" ht="15.75" thickBot="1">
      <c r="B164" s="509"/>
      <c r="C164" s="508" t="s">
        <v>342</v>
      </c>
    </row>
  </sheetData>
  <autoFilter ref="A2:AEQ161"/>
  <mergeCells count="408">
    <mergeCell ref="A1:A2"/>
    <mergeCell ref="B1:B2"/>
    <mergeCell ref="C1:C2"/>
    <mergeCell ref="D45:D50"/>
    <mergeCell ref="A43:A44"/>
    <mergeCell ref="C39:C42"/>
    <mergeCell ref="C43:C44"/>
    <mergeCell ref="C45:C50"/>
    <mergeCell ref="A11:A15"/>
    <mergeCell ref="B11:B15"/>
    <mergeCell ref="C3:C10"/>
    <mergeCell ref="C33:C36"/>
    <mergeCell ref="A17:A18"/>
    <mergeCell ref="A3:A10"/>
    <mergeCell ref="B3:B10"/>
    <mergeCell ref="D3:D10"/>
    <mergeCell ref="D11:D15"/>
    <mergeCell ref="D17:D18"/>
    <mergeCell ref="D1:D2"/>
    <mergeCell ref="B21:B24"/>
    <mergeCell ref="B26:B29"/>
    <mergeCell ref="P26:P29"/>
    <mergeCell ref="S26:S29"/>
    <mergeCell ref="S33:S36"/>
    <mergeCell ref="S17:S18"/>
    <mergeCell ref="T17:T18"/>
    <mergeCell ref="T33:T36"/>
    <mergeCell ref="T37:T38"/>
    <mergeCell ref="C11:C15"/>
    <mergeCell ref="C109:C110"/>
    <mergeCell ref="G94:G95"/>
    <mergeCell ref="D96:D97"/>
    <mergeCell ref="O21:O24"/>
    <mergeCell ref="P21:P24"/>
    <mergeCell ref="O26:O29"/>
    <mergeCell ref="Q26:Q29"/>
    <mergeCell ref="R33:R36"/>
    <mergeCell ref="C21:C24"/>
    <mergeCell ref="C26:C29"/>
    <mergeCell ref="G33:G36"/>
    <mergeCell ref="G37:G38"/>
    <mergeCell ref="N21:N24"/>
    <mergeCell ref="N26:N29"/>
    <mergeCell ref="N33:N36"/>
    <mergeCell ref="R76:R77"/>
    <mergeCell ref="G3:G10"/>
    <mergeCell ref="N3:N10"/>
    <mergeCell ref="G11:G15"/>
    <mergeCell ref="R3:R10"/>
    <mergeCell ref="S3:S10"/>
    <mergeCell ref="R17:R18"/>
    <mergeCell ref="P17:P18"/>
    <mergeCell ref="Z11:Z15"/>
    <mergeCell ref="N17:N18"/>
    <mergeCell ref="AB11:AB15"/>
    <mergeCell ref="N11:N15"/>
    <mergeCell ref="O11:O15"/>
    <mergeCell ref="P11:P15"/>
    <mergeCell ref="Q11:Q15"/>
    <mergeCell ref="R11:R15"/>
    <mergeCell ref="S11:S15"/>
    <mergeCell ref="T11:T15"/>
    <mergeCell ref="AB3:AB6"/>
    <mergeCell ref="AB7:AB10"/>
    <mergeCell ref="P3:P10"/>
    <mergeCell ref="T3:T10"/>
    <mergeCell ref="AK1:AK2"/>
    <mergeCell ref="N1:N2"/>
    <mergeCell ref="O1:O2"/>
    <mergeCell ref="P1:P2"/>
    <mergeCell ref="Q1:Q2"/>
    <mergeCell ref="R1:R2"/>
    <mergeCell ref="S1:S2"/>
    <mergeCell ref="AE1:AE2"/>
    <mergeCell ref="AC1:AC2"/>
    <mergeCell ref="AD1:AD2"/>
    <mergeCell ref="T1:T2"/>
    <mergeCell ref="AG1:AJ1"/>
    <mergeCell ref="AF1:AF2"/>
    <mergeCell ref="U1:Z1"/>
    <mergeCell ref="AK3:AK10"/>
    <mergeCell ref="A56:A63"/>
    <mergeCell ref="B56:B63"/>
    <mergeCell ref="A64:A73"/>
    <mergeCell ref="B64:B73"/>
    <mergeCell ref="G56:G63"/>
    <mergeCell ref="G64:G73"/>
    <mergeCell ref="D33:D36"/>
    <mergeCell ref="D37:D38"/>
    <mergeCell ref="D39:D42"/>
    <mergeCell ref="A45:A50"/>
    <mergeCell ref="B33:B36"/>
    <mergeCell ref="B37:B38"/>
    <mergeCell ref="B39:B42"/>
    <mergeCell ref="A21:A24"/>
    <mergeCell ref="A26:A29"/>
    <mergeCell ref="A33:A36"/>
    <mergeCell ref="A37:A38"/>
    <mergeCell ref="A39:A42"/>
    <mergeCell ref="C37:C38"/>
    <mergeCell ref="B43:B44"/>
    <mergeCell ref="B45:B50"/>
    <mergeCell ref="R21:R24"/>
    <mergeCell ref="R26:R29"/>
    <mergeCell ref="E1:E2"/>
    <mergeCell ref="O3:O10"/>
    <mergeCell ref="Q3:Q10"/>
    <mergeCell ref="D56:D63"/>
    <mergeCell ref="D64:D73"/>
    <mergeCell ref="D74:D75"/>
    <mergeCell ref="M1:M2"/>
    <mergeCell ref="K1:K2"/>
    <mergeCell ref="L1:L2"/>
    <mergeCell ref="G1:G2"/>
    <mergeCell ref="H1:H2"/>
    <mergeCell ref="I1:I2"/>
    <mergeCell ref="J1:J2"/>
    <mergeCell ref="G74:G75"/>
    <mergeCell ref="D43:D44"/>
    <mergeCell ref="D21:D24"/>
    <mergeCell ref="D26:D29"/>
    <mergeCell ref="F1:F2"/>
    <mergeCell ref="G21:G24"/>
    <mergeCell ref="G26:G29"/>
    <mergeCell ref="G39:G42"/>
    <mergeCell ref="G43:G44"/>
    <mergeCell ref="G45:G50"/>
    <mergeCell ref="N56:N63"/>
    <mergeCell ref="T56:T63"/>
    <mergeCell ref="T64:T73"/>
    <mergeCell ref="T74:T75"/>
    <mergeCell ref="T76:T77"/>
    <mergeCell ref="T78:T89"/>
    <mergeCell ref="T90:T91"/>
    <mergeCell ref="O33:O36"/>
    <mergeCell ref="P33:P36"/>
    <mergeCell ref="O39:O42"/>
    <mergeCell ref="R90:R91"/>
    <mergeCell ref="S90:S91"/>
    <mergeCell ref="Q45:Q50"/>
    <mergeCell ref="Q39:Q42"/>
    <mergeCell ref="O43:O44"/>
    <mergeCell ref="P43:P44"/>
    <mergeCell ref="Q43:Q44"/>
    <mergeCell ref="Q33:Q36"/>
    <mergeCell ref="O37:O38"/>
    <mergeCell ref="P37:P38"/>
    <mergeCell ref="Q37:Q38"/>
    <mergeCell ref="S76:S77"/>
    <mergeCell ref="O78:O89"/>
    <mergeCell ref="P39:P42"/>
    <mergeCell ref="S64:S73"/>
    <mergeCell ref="R64:R73"/>
    <mergeCell ref="N78:N89"/>
    <mergeCell ref="A74:A75"/>
    <mergeCell ref="B74:B75"/>
    <mergeCell ref="S39:S42"/>
    <mergeCell ref="S43:S44"/>
    <mergeCell ref="S45:S50"/>
    <mergeCell ref="S56:S63"/>
    <mergeCell ref="R37:R38"/>
    <mergeCell ref="R39:R42"/>
    <mergeCell ref="R43:R44"/>
    <mergeCell ref="R45:R50"/>
    <mergeCell ref="R56:R63"/>
    <mergeCell ref="S37:S38"/>
    <mergeCell ref="P78:P89"/>
    <mergeCell ref="N74:N75"/>
    <mergeCell ref="O74:O75"/>
    <mergeCell ref="N43:N44"/>
    <mergeCell ref="N45:N50"/>
    <mergeCell ref="A78:A89"/>
    <mergeCell ref="N37:N38"/>
    <mergeCell ref="N39:N42"/>
    <mergeCell ref="N64:N73"/>
    <mergeCell ref="P74:P75"/>
    <mergeCell ref="T43:T44"/>
    <mergeCell ref="T26:T29"/>
    <mergeCell ref="T21:T24"/>
    <mergeCell ref="T39:T42"/>
    <mergeCell ref="T45:T50"/>
    <mergeCell ref="S21:S24"/>
    <mergeCell ref="P101:P102"/>
    <mergeCell ref="O98:O100"/>
    <mergeCell ref="O107:O108"/>
    <mergeCell ref="Q64:Q73"/>
    <mergeCell ref="O56:O63"/>
    <mergeCell ref="P56:P63"/>
    <mergeCell ref="Q56:Q63"/>
    <mergeCell ref="O45:O50"/>
    <mergeCell ref="P45:P50"/>
    <mergeCell ref="Q94:Q95"/>
    <mergeCell ref="Q96:Q97"/>
    <mergeCell ref="P90:P91"/>
    <mergeCell ref="O64:O73"/>
    <mergeCell ref="P64:P73"/>
    <mergeCell ref="O94:O95"/>
    <mergeCell ref="P94:P95"/>
    <mergeCell ref="O96:O97"/>
    <mergeCell ref="P96:P97"/>
    <mergeCell ref="A90:A91"/>
    <mergeCell ref="B90:B91"/>
    <mergeCell ref="A92:A93"/>
    <mergeCell ref="B92:B93"/>
    <mergeCell ref="G90:G91"/>
    <mergeCell ref="G92:G93"/>
    <mergeCell ref="C92:C93"/>
    <mergeCell ref="N96:N97"/>
    <mergeCell ref="N92:N93"/>
    <mergeCell ref="B96:B97"/>
    <mergeCell ref="O92:O93"/>
    <mergeCell ref="P92:P93"/>
    <mergeCell ref="O90:O91"/>
    <mergeCell ref="N90:N91"/>
    <mergeCell ref="N76:N77"/>
    <mergeCell ref="O76:O77"/>
    <mergeCell ref="P76:P77"/>
    <mergeCell ref="G107:G108"/>
    <mergeCell ref="G109:G110"/>
    <mergeCell ref="G96:G97"/>
    <mergeCell ref="G98:G100"/>
    <mergeCell ref="G101:G102"/>
    <mergeCell ref="N94:N95"/>
    <mergeCell ref="G111:G112"/>
    <mergeCell ref="G113:G128"/>
    <mergeCell ref="G133:G136"/>
    <mergeCell ref="P98:P100"/>
    <mergeCell ref="Q98:Q100"/>
    <mergeCell ref="O109:O110"/>
    <mergeCell ref="N113:N128"/>
    <mergeCell ref="O113:O128"/>
    <mergeCell ref="P113:P128"/>
    <mergeCell ref="Q113:Q128"/>
    <mergeCell ref="N111:N112"/>
    <mergeCell ref="O111:O112"/>
    <mergeCell ref="P111:P112"/>
    <mergeCell ref="Q111:Q112"/>
    <mergeCell ref="N109:N110"/>
    <mergeCell ref="P109:P110"/>
    <mergeCell ref="Q109:Q110"/>
    <mergeCell ref="P107:P108"/>
    <mergeCell ref="Q107:Q108"/>
    <mergeCell ref="N101:N102"/>
    <mergeCell ref="N107:N108"/>
    <mergeCell ref="O101:O102"/>
    <mergeCell ref="N98:N100"/>
    <mergeCell ref="G104:G106"/>
    <mergeCell ref="D76:D77"/>
    <mergeCell ref="D78:D89"/>
    <mergeCell ref="D90:D91"/>
    <mergeCell ref="D92:D93"/>
    <mergeCell ref="C98:C100"/>
    <mergeCell ref="G76:G77"/>
    <mergeCell ref="G78:G89"/>
    <mergeCell ref="D98:D100"/>
    <mergeCell ref="C56:C63"/>
    <mergeCell ref="C64:C73"/>
    <mergeCell ref="C74:C75"/>
    <mergeCell ref="C76:C77"/>
    <mergeCell ref="C78:C89"/>
    <mergeCell ref="C90:C91"/>
    <mergeCell ref="A98:A100"/>
    <mergeCell ref="D109:D110"/>
    <mergeCell ref="D111:D112"/>
    <mergeCell ref="D101:D102"/>
    <mergeCell ref="B101:B102"/>
    <mergeCell ref="A101:A102"/>
    <mergeCell ref="D94:D95"/>
    <mergeCell ref="B94:B95"/>
    <mergeCell ref="C101:C102"/>
    <mergeCell ref="A94:A95"/>
    <mergeCell ref="C94:C95"/>
    <mergeCell ref="C96:C97"/>
    <mergeCell ref="A96:A97"/>
    <mergeCell ref="C111:C112"/>
    <mergeCell ref="A76:A77"/>
    <mergeCell ref="B76:B77"/>
    <mergeCell ref="A107:A108"/>
    <mergeCell ref="C107:C108"/>
    <mergeCell ref="B98:B100"/>
    <mergeCell ref="B78:B89"/>
    <mergeCell ref="B104:B106"/>
    <mergeCell ref="A104:A106"/>
    <mergeCell ref="D152:D153"/>
    <mergeCell ref="C152:C153"/>
    <mergeCell ref="B152:B153"/>
    <mergeCell ref="A152:A153"/>
    <mergeCell ref="D107:D108"/>
    <mergeCell ref="B107:B108"/>
    <mergeCell ref="A133:A136"/>
    <mergeCell ref="B133:B136"/>
    <mergeCell ref="D133:D136"/>
    <mergeCell ref="B109:B110"/>
    <mergeCell ref="A109:A110"/>
    <mergeCell ref="B111:B112"/>
    <mergeCell ref="A111:A112"/>
    <mergeCell ref="A113:A128"/>
    <mergeCell ref="B113:B128"/>
    <mergeCell ref="A138:A140"/>
    <mergeCell ref="A141:A147"/>
    <mergeCell ref="D113:D128"/>
    <mergeCell ref="B138:B140"/>
    <mergeCell ref="D138:D140"/>
    <mergeCell ref="B141:B147"/>
    <mergeCell ref="D141:D147"/>
    <mergeCell ref="T138:T140"/>
    <mergeCell ref="T141:T147"/>
    <mergeCell ref="B157:B158"/>
    <mergeCell ref="C157:C158"/>
    <mergeCell ref="D157:D158"/>
    <mergeCell ref="A157:A158"/>
    <mergeCell ref="C133:C136"/>
    <mergeCell ref="C138:C140"/>
    <mergeCell ref="C141:C147"/>
    <mergeCell ref="F138:F140"/>
    <mergeCell ref="N133:N136"/>
    <mergeCell ref="O133:O136"/>
    <mergeCell ref="P133:P136"/>
    <mergeCell ref="Q133:Q136"/>
    <mergeCell ref="G138:G140"/>
    <mergeCell ref="F141:F147"/>
    <mergeCell ref="G141:G147"/>
    <mergeCell ref="C113:C128"/>
    <mergeCell ref="AB17:AB18"/>
    <mergeCell ref="AH150:AJ150"/>
    <mergeCell ref="R133:R136"/>
    <mergeCell ref="T94:T95"/>
    <mergeCell ref="S96:S97"/>
    <mergeCell ref="T96:T97"/>
    <mergeCell ref="S98:S100"/>
    <mergeCell ref="T98:T100"/>
    <mergeCell ref="AH152:AJ152"/>
    <mergeCell ref="S101:S102"/>
    <mergeCell ref="T101:T102"/>
    <mergeCell ref="S107:S108"/>
    <mergeCell ref="T107:T108"/>
    <mergeCell ref="T104:T106"/>
    <mergeCell ref="S94:S95"/>
    <mergeCell ref="AH151:AJ151"/>
    <mergeCell ref="S133:S136"/>
    <mergeCell ref="T109:T110"/>
    <mergeCell ref="S111:S112"/>
    <mergeCell ref="T111:T112"/>
    <mergeCell ref="S113:S128"/>
    <mergeCell ref="T113:T128"/>
    <mergeCell ref="T133:T136"/>
    <mergeCell ref="S109:S110"/>
    <mergeCell ref="AH20:AJ20"/>
    <mergeCell ref="AH32:AJ32"/>
    <mergeCell ref="Q101:Q102"/>
    <mergeCell ref="R98:R100"/>
    <mergeCell ref="R101:R102"/>
    <mergeCell ref="R107:R108"/>
    <mergeCell ref="R109:R110"/>
    <mergeCell ref="R111:R112"/>
    <mergeCell ref="R113:R128"/>
    <mergeCell ref="R94:R95"/>
    <mergeCell ref="R96:R97"/>
    <mergeCell ref="Q21:Q24"/>
    <mergeCell ref="S92:S93"/>
    <mergeCell ref="T92:T93"/>
    <mergeCell ref="Q74:Q75"/>
    <mergeCell ref="R74:R75"/>
    <mergeCell ref="S74:S75"/>
    <mergeCell ref="Q78:Q89"/>
    <mergeCell ref="R78:R89"/>
    <mergeCell ref="S78:S89"/>
    <mergeCell ref="Q90:Q91"/>
    <mergeCell ref="Q92:Q93"/>
    <mergeCell ref="R92:R93"/>
    <mergeCell ref="Q76:Q77"/>
    <mergeCell ref="AK141:AK147"/>
    <mergeCell ref="AK138:AK140"/>
    <mergeCell ref="AH78:AJ89"/>
    <mergeCell ref="AH98:AJ100"/>
    <mergeCell ref="AH113:AJ128"/>
    <mergeCell ref="AH133:AJ136"/>
    <mergeCell ref="AK152:AK153"/>
    <mergeCell ref="AK156:AK158"/>
    <mergeCell ref="AK133:AK136"/>
    <mergeCell ref="AK104:AK106"/>
    <mergeCell ref="AH153:AJ153"/>
    <mergeCell ref="AH156:AJ156"/>
    <mergeCell ref="AH157:AJ157"/>
    <mergeCell ref="AH158:AJ158"/>
    <mergeCell ref="AK11:AK15"/>
    <mergeCell ref="AK21:AK24"/>
    <mergeCell ref="AK26:AK29"/>
    <mergeCell ref="AK33:AK36"/>
    <mergeCell ref="AK37:AK38"/>
    <mergeCell ref="AK113:AK128"/>
    <mergeCell ref="AK111:AK112"/>
    <mergeCell ref="AK109:AK110"/>
    <mergeCell ref="AK107:AK108"/>
    <mergeCell ref="AK101:AK102"/>
    <mergeCell ref="AK98:AK100"/>
    <mergeCell ref="AK96:AK97"/>
    <mergeCell ref="AK94:AK95"/>
    <mergeCell ref="AK92:AK93"/>
    <mergeCell ref="AK90:AK91"/>
    <mergeCell ref="AK78:AK89"/>
    <mergeCell ref="AK76:AK77"/>
    <mergeCell ref="AK74:AK75"/>
    <mergeCell ref="AK64:AK73"/>
    <mergeCell ref="AK56:AK63"/>
    <mergeCell ref="AK45:AK50"/>
    <mergeCell ref="AK43:AK44"/>
    <mergeCell ref="AK39:AK42"/>
  </mergeCells>
  <phoneticPr fontId="155" type="noConversion"/>
  <conditionalFormatting sqref="AF3:AF19">
    <cfRule type="beginsWith" dxfId="11" priority="7" operator="beginsWith" text="W">
      <formula>LEFT(AF3,LEN("W"))="W"</formula>
    </cfRule>
  </conditionalFormatting>
  <conditionalFormatting sqref="AF21:AF31">
    <cfRule type="beginsWith" dxfId="10" priority="6" operator="beginsWith" text="W">
      <formula>LEFT(AF21,LEN("W"))="W"</formula>
    </cfRule>
  </conditionalFormatting>
  <conditionalFormatting sqref="AF33:AF77">
    <cfRule type="beginsWith" dxfId="9" priority="5" operator="beginsWith" text="W">
      <formula>LEFT(AF33,LEN("W"))="W"</formula>
    </cfRule>
  </conditionalFormatting>
  <conditionalFormatting sqref="AF113:AF128 AF133:AF136">
    <cfRule type="beginsWith" dxfId="8" priority="4" operator="beginsWith" text="W">
      <formula>LEFT(AF113,LEN("W"))="W"</formula>
    </cfRule>
  </conditionalFormatting>
  <conditionalFormatting sqref="AF150">
    <cfRule type="beginsWith" dxfId="7" priority="3" operator="beginsWith" text="W">
      <formula>LEFT(AF150,LEN("W"))="W"</formula>
    </cfRule>
  </conditionalFormatting>
  <conditionalFormatting sqref="AF152:AF153">
    <cfRule type="beginsWith" dxfId="6" priority="1" operator="beginsWith" text="W">
      <formula>LEFT(AF152,LEN("W"))="W"</formula>
    </cfRule>
  </conditionalFormatting>
  <conditionalFormatting sqref="AF156:AF158">
    <cfRule type="beginsWith" dxfId="5" priority="2" operator="beginsWith" text="W">
      <formula>LEFT(AF156,LEN("W"))="W"</formula>
    </cfRule>
  </conditionalFormatting>
  <pageMargins left="0.7" right="0.7" top="0.75" bottom="0.75" header="0.3" footer="0.3"/>
  <pageSetup scale="10"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
  <sheetViews>
    <sheetView workbookViewId="0">
      <selection activeCell="I11" sqref="I11"/>
    </sheetView>
  </sheetViews>
  <sheetFormatPr defaultRowHeight="15"/>
  <cols>
    <col min="2" max="2" width="15.5703125" bestFit="1" customWidth="1"/>
    <col min="3" max="3" width="28" bestFit="1" customWidth="1"/>
    <col min="4" max="4" width="0" hidden="1" customWidth="1"/>
    <col min="6" max="6" width="25.42578125" hidden="1" customWidth="1"/>
    <col min="7" max="7" width="14" customWidth="1"/>
  </cols>
  <sheetData>
    <row r="1" spans="1:7">
      <c r="A1" s="1119" t="s">
        <v>2534</v>
      </c>
      <c r="B1" s="1119" t="s">
        <v>3</v>
      </c>
      <c r="C1" s="1119" t="s">
        <v>2535</v>
      </c>
      <c r="D1" s="1119" t="s">
        <v>2536</v>
      </c>
      <c r="E1" s="1119" t="s">
        <v>2537</v>
      </c>
      <c r="F1" s="1119" t="s">
        <v>2538</v>
      </c>
      <c r="G1" s="1119" t="s">
        <v>2539</v>
      </c>
    </row>
    <row r="2" spans="1:7">
      <c r="A2" s="1113">
        <v>1</v>
      </c>
      <c r="B2" s="1113" t="s">
        <v>2526</v>
      </c>
      <c r="C2" s="1113" t="s">
        <v>2527</v>
      </c>
      <c r="D2" s="1113">
        <v>3009.1</v>
      </c>
      <c r="E2" s="1118">
        <v>186441</v>
      </c>
      <c r="F2" s="1113" t="s">
        <v>2540</v>
      </c>
      <c r="G2" s="1120">
        <v>613.17999999999995</v>
      </c>
    </row>
    <row r="3" spans="1:7">
      <c r="A3" s="1113">
        <v>2</v>
      </c>
      <c r="B3" s="1113" t="s">
        <v>2528</v>
      </c>
      <c r="C3" s="1113" t="s">
        <v>2527</v>
      </c>
      <c r="D3" s="1113">
        <v>3575.8</v>
      </c>
      <c r="E3" s="1113">
        <v>69411</v>
      </c>
      <c r="F3" s="1113" t="s">
        <v>2541</v>
      </c>
      <c r="G3" s="1120">
        <v>728.52</v>
      </c>
    </row>
    <row r="4" spans="1:7">
      <c r="A4" s="1113">
        <v>3</v>
      </c>
      <c r="B4" s="1113" t="s">
        <v>2529</v>
      </c>
      <c r="C4" s="1113" t="s">
        <v>1262</v>
      </c>
      <c r="D4" s="1113">
        <v>4233.6000000000004</v>
      </c>
      <c r="E4" s="1118">
        <v>186441</v>
      </c>
      <c r="F4" s="1113" t="s">
        <v>2542</v>
      </c>
      <c r="G4" s="1120">
        <v>508.32</v>
      </c>
    </row>
    <row r="5" spans="1:7">
      <c r="A5" s="1113">
        <v>4</v>
      </c>
      <c r="B5" s="1113" t="s">
        <v>2530</v>
      </c>
      <c r="C5" s="1113" t="s">
        <v>1262</v>
      </c>
      <c r="D5" s="1113">
        <v>4288.7</v>
      </c>
      <c r="E5" s="1113">
        <v>69411</v>
      </c>
      <c r="F5" s="1113" t="s">
        <v>2543</v>
      </c>
      <c r="G5" s="1120">
        <v>514.91999999999996</v>
      </c>
    </row>
    <row r="6" spans="1:7">
      <c r="A6" s="1113">
        <v>5</v>
      </c>
      <c r="B6" s="1113" t="s">
        <v>2531</v>
      </c>
      <c r="C6" s="1113" t="s">
        <v>1263</v>
      </c>
      <c r="D6" s="1113">
        <v>4233.6000000000004</v>
      </c>
      <c r="E6" s="1118">
        <v>186441</v>
      </c>
      <c r="F6" s="1113" t="s">
        <v>2542</v>
      </c>
      <c r="G6" s="1120">
        <v>508.32</v>
      </c>
    </row>
    <row r="7" spans="1:7">
      <c r="A7" s="1113">
        <v>6</v>
      </c>
      <c r="B7" s="1113" t="s">
        <v>2532</v>
      </c>
      <c r="C7" s="1113" t="s">
        <v>1263</v>
      </c>
      <c r="D7" s="1113">
        <v>4287.8</v>
      </c>
      <c r="E7" s="1113">
        <v>69411</v>
      </c>
      <c r="F7" s="1113" t="s">
        <v>2543</v>
      </c>
      <c r="G7" s="1120">
        <v>514.91999999999996</v>
      </c>
    </row>
    <row r="8" spans="1:7">
      <c r="A8" s="1113">
        <v>7</v>
      </c>
      <c r="B8" s="1113" t="s">
        <v>2509</v>
      </c>
      <c r="C8" s="1113" t="s">
        <v>2478</v>
      </c>
      <c r="D8" s="1113">
        <v>3328.33</v>
      </c>
      <c r="E8" s="1118">
        <v>255852</v>
      </c>
      <c r="F8" s="1113" t="s">
        <v>2544</v>
      </c>
      <c r="G8" s="1120">
        <v>749.6</v>
      </c>
    </row>
    <row r="9" spans="1:7">
      <c r="A9" s="1113">
        <v>8</v>
      </c>
      <c r="B9" s="1113" t="s">
        <v>2510</v>
      </c>
      <c r="C9" s="1113" t="s">
        <v>2042</v>
      </c>
      <c r="D9" s="1113">
        <v>3327.81</v>
      </c>
      <c r="E9" s="1118">
        <v>255852</v>
      </c>
      <c r="F9" s="1113" t="s">
        <v>2544</v>
      </c>
      <c r="G9" s="1120">
        <v>749.37</v>
      </c>
    </row>
    <row r="10" spans="1:7">
      <c r="A10" s="1113">
        <v>9</v>
      </c>
      <c r="B10" s="1113" t="s">
        <v>2515</v>
      </c>
      <c r="C10" s="1113" t="s">
        <v>2320</v>
      </c>
      <c r="D10" s="1113">
        <v>1761.28</v>
      </c>
      <c r="E10" s="1118">
        <v>186441</v>
      </c>
      <c r="F10" s="1113" t="s">
        <v>2545</v>
      </c>
      <c r="G10" s="1120">
        <v>308.52999999999997</v>
      </c>
    </row>
    <row r="11" spans="1:7">
      <c r="A11" s="1113">
        <v>10</v>
      </c>
      <c r="B11" s="1113" t="s">
        <v>2516</v>
      </c>
      <c r="C11" s="1113" t="s">
        <v>2317</v>
      </c>
      <c r="D11" s="1113">
        <v>1759.6</v>
      </c>
      <c r="E11" s="1118">
        <v>186441</v>
      </c>
      <c r="F11" s="1113" t="s">
        <v>2545</v>
      </c>
      <c r="G11" s="1120">
        <v>308.52999999999997</v>
      </c>
    </row>
    <row r="12" spans="1:7">
      <c r="A12" s="1113">
        <v>11</v>
      </c>
      <c r="B12" s="1113" t="s">
        <v>2517</v>
      </c>
      <c r="C12" s="1113" t="s">
        <v>2317</v>
      </c>
      <c r="D12" s="1113">
        <v>1777.95</v>
      </c>
      <c r="E12" s="1113">
        <v>69411</v>
      </c>
      <c r="F12" s="1113" t="s">
        <v>2544</v>
      </c>
      <c r="G12" s="1120">
        <v>311.5</v>
      </c>
    </row>
    <row r="13" spans="1:7">
      <c r="A13" s="1113">
        <v>12</v>
      </c>
      <c r="B13" s="1113" t="s">
        <v>2518</v>
      </c>
      <c r="C13" s="1113" t="s">
        <v>2320</v>
      </c>
      <c r="D13" s="1113">
        <v>1779.62</v>
      </c>
      <c r="E13" s="1113">
        <v>69411</v>
      </c>
      <c r="F13" s="1113" t="s">
        <v>2544</v>
      </c>
      <c r="G13" s="1120">
        <v>311.5</v>
      </c>
    </row>
    <row r="14" spans="1:7">
      <c r="A14" s="1113">
        <v>13</v>
      </c>
      <c r="B14" s="1113" t="s">
        <v>2520</v>
      </c>
      <c r="C14" s="1113" t="s">
        <v>2521</v>
      </c>
      <c r="D14" s="1113">
        <v>878.33</v>
      </c>
      <c r="E14" s="1118">
        <v>143500</v>
      </c>
      <c r="F14" s="1113" t="s">
        <v>2540</v>
      </c>
      <c r="G14" s="1120">
        <v>154.19999999999999</v>
      </c>
    </row>
    <row r="15" spans="1:7">
      <c r="A15" s="1113">
        <v>14</v>
      </c>
      <c r="B15" s="1113" t="s">
        <v>2522</v>
      </c>
      <c r="C15" s="1113" t="s">
        <v>1423</v>
      </c>
      <c r="D15" s="1113">
        <v>4465</v>
      </c>
      <c r="E15" s="1118">
        <v>194236</v>
      </c>
      <c r="F15" s="1113" t="s">
        <v>2546</v>
      </c>
      <c r="G15" s="1120">
        <v>777.39</v>
      </c>
    </row>
    <row r="16" spans="1:7">
      <c r="A16" s="1113">
        <v>15</v>
      </c>
      <c r="B16" s="1113" t="s">
        <v>2523</v>
      </c>
      <c r="C16" s="1113" t="s">
        <v>1423</v>
      </c>
      <c r="D16" s="1113">
        <v>4447</v>
      </c>
      <c r="E16" s="1113">
        <v>61616</v>
      </c>
      <c r="F16" s="1113" t="s">
        <v>2546</v>
      </c>
      <c r="G16" s="1120">
        <v>774.25</v>
      </c>
    </row>
    <row r="17" spans="1:7">
      <c r="A17" s="1113">
        <v>16</v>
      </c>
      <c r="B17" s="1113" t="s">
        <v>2524</v>
      </c>
      <c r="C17" s="1113" t="s">
        <v>1424</v>
      </c>
      <c r="D17" s="1113">
        <v>4465</v>
      </c>
      <c r="E17" s="1118">
        <v>194236</v>
      </c>
      <c r="F17" s="1113" t="s">
        <v>2546</v>
      </c>
      <c r="G17" s="1120">
        <v>777.39</v>
      </c>
    </row>
    <row r="18" spans="1:7">
      <c r="A18" s="1113">
        <v>17</v>
      </c>
      <c r="B18" s="1113" t="s">
        <v>2525</v>
      </c>
      <c r="C18" s="1113" t="s">
        <v>1424</v>
      </c>
      <c r="D18" s="1113">
        <v>4448</v>
      </c>
      <c r="E18" s="1113">
        <v>61616</v>
      </c>
      <c r="F18" s="1113" t="s">
        <v>2546</v>
      </c>
      <c r="G18" s="1120">
        <v>774.25</v>
      </c>
    </row>
    <row r="19" spans="1:7" ht="15.75">
      <c r="A19" s="2169" t="s">
        <v>2547</v>
      </c>
      <c r="B19" s="2169"/>
      <c r="C19" s="2169"/>
      <c r="D19" s="2169"/>
      <c r="E19" s="2169"/>
      <c r="F19" s="2169"/>
      <c r="G19" s="1121">
        <f>G17+G15+G14+G11+G10+G9+G8+G6+G4+G2</f>
        <v>5454.83</v>
      </c>
    </row>
  </sheetData>
  <autoFilter ref="A1:G19"/>
  <mergeCells count="1">
    <mergeCell ref="A19:F19"/>
  </mergeCells>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45"/>
  <sheetViews>
    <sheetView showGridLines="0" zoomScale="70" zoomScaleNormal="70" workbookViewId="0">
      <pane xSplit="6" ySplit="2" topLeftCell="T3" activePane="bottomRight" state="frozen"/>
      <selection pane="topRight" activeCell="G1" sqref="G1"/>
      <selection pane="bottomLeft" activeCell="A3" sqref="A3"/>
      <selection pane="bottomRight" activeCell="Y16" sqref="Y16"/>
    </sheetView>
  </sheetViews>
  <sheetFormatPr defaultColWidth="9.140625" defaultRowHeight="15.75"/>
  <cols>
    <col min="1" max="1" width="6.42578125" style="729" bestFit="1" customWidth="1"/>
    <col min="2" max="2" width="14.42578125" style="729" customWidth="1"/>
    <col min="3" max="3" width="15.7109375" style="729" customWidth="1"/>
    <col min="4" max="4" width="32.140625" style="729" customWidth="1"/>
    <col min="5" max="5" width="19.28515625" style="729" customWidth="1"/>
    <col min="6" max="6" width="32.42578125" style="729" bestFit="1" customWidth="1"/>
    <col min="7" max="7" width="18.5703125" style="729" bestFit="1" customWidth="1"/>
    <col min="8" max="8" width="17.5703125" style="729" customWidth="1"/>
    <col min="9" max="9" width="8.28515625" style="729" hidden="1" customWidth="1"/>
    <col min="10" max="10" width="7" style="729" hidden="1" customWidth="1"/>
    <col min="11" max="11" width="12.5703125" style="729" hidden="1" customWidth="1"/>
    <col min="12" max="12" width="8" style="729" hidden="1" customWidth="1"/>
    <col min="13" max="13" width="11.140625" style="729" hidden="1" customWidth="1"/>
    <col min="14" max="14" width="14.5703125" style="729" customWidth="1"/>
    <col min="15" max="15" width="23" style="729" customWidth="1"/>
    <col min="16" max="16" width="20.5703125" style="729" customWidth="1"/>
    <col min="17" max="17" width="13.85546875" style="729" customWidth="1"/>
    <col min="18" max="18" width="23.140625" style="729" customWidth="1"/>
    <col min="19" max="19" width="34.42578125" style="729" bestFit="1" customWidth="1"/>
    <col min="20" max="20" width="19.42578125" style="729" bestFit="1" customWidth="1"/>
    <col min="21" max="21" width="17.42578125" style="729" customWidth="1"/>
    <col min="22" max="23" width="11.5703125" style="729" customWidth="1"/>
    <col min="24" max="24" width="13.5703125" style="729" customWidth="1"/>
    <col min="25" max="25" width="18.5703125" style="729" customWidth="1"/>
    <col min="26" max="28" width="14.42578125" style="729" customWidth="1"/>
    <col min="29" max="31" width="15.28515625" style="729" customWidth="1"/>
    <col min="32" max="32" width="49.140625" style="729" customWidth="1"/>
    <col min="33" max="33" width="21.140625" style="729" customWidth="1"/>
    <col min="34" max="34" width="13" style="729" customWidth="1"/>
    <col min="35" max="35" width="11.85546875" style="729" customWidth="1"/>
    <col min="36" max="36" width="12.140625" style="729" customWidth="1"/>
    <col min="37" max="39" width="10.42578125" style="729" customWidth="1"/>
    <col min="40" max="40" width="11.140625" style="729" customWidth="1"/>
    <col min="41" max="41" width="14.42578125" style="729" customWidth="1"/>
    <col min="42" max="16384" width="9.140625" style="729"/>
  </cols>
  <sheetData>
    <row r="1" spans="1:41" ht="15.75" customHeight="1">
      <c r="A1" s="2170" t="s">
        <v>0</v>
      </c>
      <c r="B1" s="2170" t="s">
        <v>1</v>
      </c>
      <c r="C1" s="2170" t="s">
        <v>1665</v>
      </c>
      <c r="D1" s="2170" t="s">
        <v>5</v>
      </c>
      <c r="E1" s="2170" t="s">
        <v>3</v>
      </c>
      <c r="F1" s="2170" t="s">
        <v>4</v>
      </c>
      <c r="G1" s="2170" t="s">
        <v>6</v>
      </c>
      <c r="H1" s="2170" t="s">
        <v>2362</v>
      </c>
      <c r="I1" s="2170" t="s">
        <v>8</v>
      </c>
      <c r="J1" s="2170" t="s">
        <v>9</v>
      </c>
      <c r="K1" s="2170" t="s">
        <v>10</v>
      </c>
      <c r="L1" s="2170" t="s">
        <v>11</v>
      </c>
      <c r="M1" s="2170" t="s">
        <v>12</v>
      </c>
      <c r="N1" s="2170" t="s">
        <v>55</v>
      </c>
      <c r="O1" s="2170" t="s">
        <v>116</v>
      </c>
      <c r="P1" s="2170" t="s">
        <v>1239</v>
      </c>
      <c r="Q1" s="2170" t="s">
        <v>15</v>
      </c>
      <c r="R1" s="2170" t="s">
        <v>1884</v>
      </c>
      <c r="S1" s="2170" t="s">
        <v>1215</v>
      </c>
      <c r="T1" s="2171" t="s">
        <v>349</v>
      </c>
      <c r="U1" s="2171"/>
      <c r="V1" s="2171"/>
      <c r="W1" s="2171"/>
      <c r="X1" s="2171"/>
      <c r="Y1" s="2171"/>
      <c r="Z1" s="2171"/>
      <c r="AA1" s="1103"/>
      <c r="AB1" s="1103"/>
      <c r="AC1" s="2170" t="s">
        <v>24</v>
      </c>
      <c r="AD1" s="2170" t="s">
        <v>25</v>
      </c>
      <c r="AE1" s="2170" t="s">
        <v>26</v>
      </c>
      <c r="AF1" s="2170" t="s">
        <v>1554</v>
      </c>
      <c r="AG1" s="2170" t="s">
        <v>27</v>
      </c>
      <c r="AH1" s="2170" t="s">
        <v>1583</v>
      </c>
      <c r="AI1" s="2170"/>
      <c r="AJ1" s="2170"/>
      <c r="AK1" s="2170"/>
      <c r="AL1" s="2170"/>
      <c r="AM1" s="2170"/>
      <c r="AN1" s="2170"/>
      <c r="AO1" s="2170" t="s">
        <v>23</v>
      </c>
    </row>
    <row r="2" spans="1:41" ht="110.25">
      <c r="A2" s="2170"/>
      <c r="B2" s="2170"/>
      <c r="C2" s="2170"/>
      <c r="D2" s="2170"/>
      <c r="E2" s="2170"/>
      <c r="F2" s="2170"/>
      <c r="G2" s="2170"/>
      <c r="H2" s="2170"/>
      <c r="I2" s="2170"/>
      <c r="J2" s="2170"/>
      <c r="K2" s="2170"/>
      <c r="L2" s="2170"/>
      <c r="M2" s="2170"/>
      <c r="N2" s="2170"/>
      <c r="O2" s="2170"/>
      <c r="P2" s="2170"/>
      <c r="Q2" s="2170"/>
      <c r="R2" s="2170"/>
      <c r="S2" s="2170"/>
      <c r="T2" s="1104" t="s">
        <v>2238</v>
      </c>
      <c r="U2" s="1104" t="s">
        <v>1240</v>
      </c>
      <c r="V2" s="1103" t="s">
        <v>249</v>
      </c>
      <c r="W2" s="1103" t="s">
        <v>2385</v>
      </c>
      <c r="X2" s="1104" t="s">
        <v>2383</v>
      </c>
      <c r="Y2" s="1104" t="s">
        <v>2387</v>
      </c>
      <c r="Z2" s="1104" t="s">
        <v>2386</v>
      </c>
      <c r="AA2" s="1103" t="s">
        <v>19</v>
      </c>
      <c r="AB2" s="1103" t="s">
        <v>2384</v>
      </c>
      <c r="AC2" s="2170"/>
      <c r="AD2" s="2170"/>
      <c r="AE2" s="2170"/>
      <c r="AF2" s="2170"/>
      <c r="AG2" s="2170"/>
      <c r="AH2" s="1103" t="s">
        <v>1582</v>
      </c>
      <c r="AI2" s="1104" t="s">
        <v>168</v>
      </c>
      <c r="AJ2" s="1104" t="s">
        <v>169</v>
      </c>
      <c r="AK2" s="1104" t="s">
        <v>350</v>
      </c>
      <c r="AL2" s="1103" t="s">
        <v>24</v>
      </c>
      <c r="AM2" s="1103" t="s">
        <v>25</v>
      </c>
      <c r="AN2" s="1103" t="s">
        <v>26</v>
      </c>
      <c r="AO2" s="2170"/>
    </row>
    <row r="3" spans="1:41">
      <c r="A3" s="1105">
        <v>1</v>
      </c>
      <c r="B3" s="1105" t="s">
        <v>2300</v>
      </c>
      <c r="C3" s="1105" t="s">
        <v>29</v>
      </c>
      <c r="D3" s="1105" t="s">
        <v>2301</v>
      </c>
      <c r="E3" s="1105" t="s">
        <v>2302</v>
      </c>
      <c r="F3" s="1105" t="s">
        <v>2303</v>
      </c>
      <c r="G3" s="1105" t="s">
        <v>2222</v>
      </c>
      <c r="H3" s="1105">
        <v>42000</v>
      </c>
      <c r="I3" s="1105" t="s">
        <v>2178</v>
      </c>
      <c r="J3" s="1105" t="s">
        <v>2178</v>
      </c>
      <c r="K3" s="1105" t="s">
        <v>2178</v>
      </c>
      <c r="L3" s="1105" t="s">
        <v>35</v>
      </c>
      <c r="M3" s="1105" t="s">
        <v>2306</v>
      </c>
      <c r="N3" s="1105" t="s">
        <v>2307</v>
      </c>
      <c r="O3" s="1105" t="s">
        <v>2308</v>
      </c>
      <c r="P3" s="1105" t="s">
        <v>2380</v>
      </c>
      <c r="Q3" s="1105" t="s">
        <v>2307</v>
      </c>
      <c r="R3" s="1105" t="s">
        <v>2309</v>
      </c>
      <c r="S3" s="1105" t="s">
        <v>2379</v>
      </c>
      <c r="T3" s="1107">
        <v>110.23824350640001</v>
      </c>
      <c r="U3" s="1107">
        <v>152.46365539631498</v>
      </c>
      <c r="V3" s="1107">
        <v>9.5516654381279995</v>
      </c>
      <c r="W3" s="2172">
        <v>6.2648802518208938E-2</v>
      </c>
      <c r="X3" s="1107">
        <v>155.09425845375</v>
      </c>
      <c r="Y3" s="1107">
        <v>7</v>
      </c>
      <c r="Z3" s="1107">
        <v>6.4640168999999998</v>
      </c>
      <c r="AA3" s="1107">
        <f>U3*H3/10^7</f>
        <v>0.64034735266452292</v>
      </c>
      <c r="AB3" s="2173">
        <v>0.72304604805549244</v>
      </c>
      <c r="AC3" s="1109">
        <v>0.76</v>
      </c>
      <c r="AD3" s="1109">
        <v>0.76</v>
      </c>
      <c r="AE3" s="1109">
        <v>0.75</v>
      </c>
      <c r="AF3" s="1105"/>
      <c r="AG3" s="1105"/>
      <c r="AH3" s="1105"/>
      <c r="AI3" s="1105"/>
      <c r="AJ3" s="1105"/>
      <c r="AK3" s="1105"/>
      <c r="AL3" s="1105"/>
      <c r="AM3" s="1105"/>
      <c r="AN3" s="1105"/>
      <c r="AO3" s="1105"/>
    </row>
    <row r="4" spans="1:41">
      <c r="A4" s="1105">
        <v>2</v>
      </c>
      <c r="B4" s="1105" t="s">
        <v>2300</v>
      </c>
      <c r="C4" s="1105" t="s">
        <v>29</v>
      </c>
      <c r="D4" s="1105" t="s">
        <v>2301</v>
      </c>
      <c r="E4" s="1105" t="s">
        <v>2304</v>
      </c>
      <c r="F4" s="1105" t="s">
        <v>2305</v>
      </c>
      <c r="G4" s="1105" t="s">
        <v>2222</v>
      </c>
      <c r="H4" s="1105">
        <v>42000</v>
      </c>
      <c r="I4" s="1105" t="s">
        <v>2178</v>
      </c>
      <c r="J4" s="1105" t="s">
        <v>2178</v>
      </c>
      <c r="K4" s="1105" t="s">
        <v>2178</v>
      </c>
      <c r="L4" s="1105" t="s">
        <v>35</v>
      </c>
      <c r="M4" s="1105" t="s">
        <v>2306</v>
      </c>
      <c r="N4" s="1105" t="s">
        <v>2307</v>
      </c>
      <c r="O4" s="1105" t="s">
        <v>2308</v>
      </c>
      <c r="P4" s="1105" t="s">
        <v>2381</v>
      </c>
      <c r="Q4" s="1105" t="s">
        <v>2307</v>
      </c>
      <c r="R4" s="1105" t="s">
        <v>2309</v>
      </c>
      <c r="S4" s="1105" t="s">
        <v>2379</v>
      </c>
      <c r="T4" s="1107">
        <v>110.23824350640001</v>
      </c>
      <c r="U4" s="1107">
        <v>152.46365539631498</v>
      </c>
      <c r="V4" s="1107">
        <v>9.5516654381279995</v>
      </c>
      <c r="W4" s="2172"/>
      <c r="X4" s="1107">
        <v>155.09425845375</v>
      </c>
      <c r="Y4" s="1107">
        <v>7</v>
      </c>
      <c r="Z4" s="1107">
        <v>6.4640168999999998</v>
      </c>
      <c r="AA4" s="1107">
        <f>U4*H4/10^7</f>
        <v>0.64034735266452292</v>
      </c>
      <c r="AB4" s="2173"/>
      <c r="AC4" s="1109">
        <v>0.76</v>
      </c>
      <c r="AD4" s="1109">
        <v>0.76</v>
      </c>
      <c r="AE4" s="1109">
        <v>0.75</v>
      </c>
      <c r="AF4" s="1105"/>
      <c r="AG4" s="1105"/>
      <c r="AH4" s="1105"/>
      <c r="AI4" s="1105"/>
      <c r="AJ4" s="1105"/>
      <c r="AK4" s="1105"/>
      <c r="AL4" s="1105"/>
      <c r="AM4" s="1105"/>
      <c r="AN4" s="1105"/>
      <c r="AO4" s="1105"/>
    </row>
    <row r="5" spans="1:41">
      <c r="A5" s="1105">
        <v>3</v>
      </c>
      <c r="B5" s="1105" t="s">
        <v>2300</v>
      </c>
      <c r="C5" s="1105" t="s">
        <v>29</v>
      </c>
      <c r="D5" s="1105" t="s">
        <v>2310</v>
      </c>
      <c r="E5" s="1105" t="s">
        <v>2311</v>
      </c>
      <c r="F5" s="1105" t="s">
        <v>2325</v>
      </c>
      <c r="G5" s="1105" t="s">
        <v>2222</v>
      </c>
      <c r="H5" s="1105">
        <v>137769</v>
      </c>
      <c r="I5" s="1105" t="s">
        <v>2178</v>
      </c>
      <c r="J5" s="1105" t="s">
        <v>2178</v>
      </c>
      <c r="K5" s="1105" t="s">
        <v>2178</v>
      </c>
      <c r="L5" s="1105" t="s">
        <v>35</v>
      </c>
      <c r="M5" s="1105" t="s">
        <v>2306</v>
      </c>
      <c r="N5" s="1105" t="s">
        <v>2307</v>
      </c>
      <c r="O5" s="1105" t="s">
        <v>2308</v>
      </c>
      <c r="P5" s="1105" t="s">
        <v>2382</v>
      </c>
      <c r="Q5" s="1105" t="s">
        <v>2307</v>
      </c>
      <c r="R5" s="1105" t="s">
        <v>2309</v>
      </c>
      <c r="S5" s="1105" t="s">
        <v>2379</v>
      </c>
      <c r="T5" s="1107">
        <v>82.698068754560012</v>
      </c>
      <c r="U5" s="1107">
        <v>135.69116529403377</v>
      </c>
      <c r="V5" s="1107">
        <v>11.400964837408557</v>
      </c>
      <c r="W5" s="1108">
        <v>8.4021423301240142E-2</v>
      </c>
      <c r="X5" s="1107">
        <v>230.49114164999997</v>
      </c>
      <c r="Y5" s="1107">
        <v>8</v>
      </c>
      <c r="Z5" s="1107">
        <v>8.4126590000000014</v>
      </c>
      <c r="AA5" s="1107">
        <f>U5*H5/10^7</f>
        <v>1.8694036151393738</v>
      </c>
      <c r="AB5" s="1110">
        <v>0.6094580186953128</v>
      </c>
      <c r="AC5" s="1109">
        <v>0.67845582647016889</v>
      </c>
      <c r="AD5" s="1109">
        <v>0.67506354733781804</v>
      </c>
      <c r="AE5" s="1109">
        <v>0.67168822960112895</v>
      </c>
      <c r="AF5" s="1105"/>
      <c r="AG5" s="1105"/>
      <c r="AH5" s="1105"/>
      <c r="AI5" s="1105"/>
      <c r="AJ5" s="1105"/>
      <c r="AK5" s="1105"/>
      <c r="AL5" s="1105"/>
      <c r="AM5" s="1105"/>
      <c r="AN5" s="1105"/>
      <c r="AO5" s="1105"/>
    </row>
    <row r="6" spans="1:41">
      <c r="A6" s="1105">
        <v>4</v>
      </c>
      <c r="B6" s="1105" t="s">
        <v>2300</v>
      </c>
      <c r="C6" s="1105" t="s">
        <v>29</v>
      </c>
      <c r="D6" s="1105" t="s">
        <v>2312</v>
      </c>
      <c r="E6" s="1105" t="s">
        <v>2313</v>
      </c>
      <c r="F6" s="1105" t="s">
        <v>2317</v>
      </c>
      <c r="G6" s="1105" t="s">
        <v>2222</v>
      </c>
      <c r="H6" s="1105">
        <v>149150</v>
      </c>
      <c r="I6" s="1105" t="s">
        <v>2178</v>
      </c>
      <c r="J6" s="1105" t="s">
        <v>2178</v>
      </c>
      <c r="K6" s="1105" t="s">
        <v>2178</v>
      </c>
      <c r="L6" s="1105" t="s">
        <v>35</v>
      </c>
      <c r="M6" s="1105" t="s">
        <v>2306</v>
      </c>
      <c r="N6" s="1105" t="s">
        <v>2307</v>
      </c>
      <c r="O6" s="1105" t="s">
        <v>2308</v>
      </c>
      <c r="P6" s="1105" t="s">
        <v>2378</v>
      </c>
      <c r="Q6" s="1105" t="s">
        <v>2307</v>
      </c>
      <c r="R6" s="1105" t="s">
        <v>2309</v>
      </c>
      <c r="S6" s="1105" t="s">
        <v>2379</v>
      </c>
      <c r="T6" s="1107">
        <v>242.78766416200003</v>
      </c>
      <c r="U6" s="1107">
        <v>383.4868256828355</v>
      </c>
      <c r="V6" s="1107">
        <v>28.215289547425712</v>
      </c>
      <c r="W6" s="2172">
        <v>7.2667035893398776E-2</v>
      </c>
      <c r="X6" s="1107">
        <v>430.95780769965</v>
      </c>
      <c r="Y6" s="1105">
        <v>70.75</v>
      </c>
      <c r="Z6" s="1107">
        <v>16.319333159999999</v>
      </c>
      <c r="AA6" s="1107">
        <f t="shared" ref="AA6:AA9" si="0">U6*H6/10^7</f>
        <v>5.7197060050594919</v>
      </c>
      <c r="AB6" s="2173">
        <v>0.65836323171666511</v>
      </c>
      <c r="AC6" s="1109">
        <v>3.8348682568283552</v>
      </c>
      <c r="AD6" s="1109">
        <v>3.7965195742600715</v>
      </c>
      <c r="AE6" s="1109">
        <v>3.7585543785174709</v>
      </c>
      <c r="AF6" s="1105"/>
      <c r="AG6" s="1105"/>
      <c r="AH6" s="1105"/>
      <c r="AI6" s="1105"/>
      <c r="AJ6" s="1105"/>
      <c r="AK6" s="1105"/>
      <c r="AL6" s="1105"/>
      <c r="AM6" s="1105"/>
      <c r="AN6" s="1105"/>
      <c r="AO6" s="1105"/>
    </row>
    <row r="7" spans="1:41">
      <c r="A7" s="1105">
        <v>5</v>
      </c>
      <c r="B7" s="1105" t="s">
        <v>2300</v>
      </c>
      <c r="C7" s="1105" t="s">
        <v>29</v>
      </c>
      <c r="D7" s="1105" t="s">
        <v>2312</v>
      </c>
      <c r="E7" s="1105" t="s">
        <v>2314</v>
      </c>
      <c r="F7" s="1105" t="s">
        <v>2318</v>
      </c>
      <c r="G7" s="1105" t="s">
        <v>2222</v>
      </c>
      <c r="H7" s="1105">
        <v>23061</v>
      </c>
      <c r="I7" s="1105" t="s">
        <v>2178</v>
      </c>
      <c r="J7" s="1105" t="s">
        <v>2178</v>
      </c>
      <c r="K7" s="1105" t="s">
        <v>2178</v>
      </c>
      <c r="L7" s="1105" t="s">
        <v>35</v>
      </c>
      <c r="M7" s="1105" t="s">
        <v>2306</v>
      </c>
      <c r="N7" s="1105" t="s">
        <v>2307</v>
      </c>
      <c r="O7" s="1105" t="s">
        <v>2308</v>
      </c>
      <c r="P7" s="1105" t="s">
        <v>2378</v>
      </c>
      <c r="Q7" s="1105" t="s">
        <v>2307</v>
      </c>
      <c r="R7" s="1105" t="s">
        <v>2309</v>
      </c>
      <c r="S7" s="1105" t="s">
        <v>2379</v>
      </c>
      <c r="T7" s="1107">
        <v>229.21480662200003</v>
      </c>
      <c r="U7" s="1107">
        <v>348.02713997350429</v>
      </c>
      <c r="V7" s="1107">
        <v>23.849134958951254</v>
      </c>
      <c r="W7" s="2172"/>
      <c r="X7" s="1107"/>
      <c r="Y7" s="1105">
        <v>0</v>
      </c>
      <c r="Z7" s="1107"/>
      <c r="AA7" s="1107">
        <f t="shared" si="0"/>
        <v>0.80258538749289821</v>
      </c>
      <c r="AB7" s="2173"/>
      <c r="AC7" s="1109">
        <v>3.480271399735043</v>
      </c>
      <c r="AD7" s="1109">
        <v>3.4454686857376924</v>
      </c>
      <c r="AE7" s="1109">
        <v>3.4110139988803154</v>
      </c>
      <c r="AF7" s="1105"/>
      <c r="AG7" s="1105"/>
      <c r="AH7" s="1105"/>
      <c r="AI7" s="1105"/>
      <c r="AJ7" s="1105"/>
      <c r="AK7" s="1105"/>
      <c r="AL7" s="1105"/>
      <c r="AM7" s="1105"/>
      <c r="AN7" s="1105"/>
      <c r="AO7" s="1105"/>
    </row>
    <row r="8" spans="1:41">
      <c r="A8" s="1105">
        <v>6</v>
      </c>
      <c r="B8" s="1105" t="s">
        <v>2300</v>
      </c>
      <c r="C8" s="1105" t="s">
        <v>29</v>
      </c>
      <c r="D8" s="1105" t="s">
        <v>2312</v>
      </c>
      <c r="E8" s="1105" t="s">
        <v>2315</v>
      </c>
      <c r="F8" s="1105" t="s">
        <v>2319</v>
      </c>
      <c r="G8" s="1105" t="s">
        <v>2222</v>
      </c>
      <c r="H8" s="1105">
        <v>149150</v>
      </c>
      <c r="I8" s="1105" t="s">
        <v>2178</v>
      </c>
      <c r="J8" s="1105" t="s">
        <v>2178</v>
      </c>
      <c r="K8" s="1105" t="s">
        <v>2178</v>
      </c>
      <c r="L8" s="1105" t="s">
        <v>35</v>
      </c>
      <c r="M8" s="1105" t="s">
        <v>2306</v>
      </c>
      <c r="N8" s="1105" t="s">
        <v>2307</v>
      </c>
      <c r="O8" s="1105" t="s">
        <v>2308</v>
      </c>
      <c r="P8" s="1105" t="s">
        <v>2378</v>
      </c>
      <c r="Q8" s="1105" t="s">
        <v>2307</v>
      </c>
      <c r="R8" s="1105" t="s">
        <v>2309</v>
      </c>
      <c r="S8" s="1105" t="s">
        <v>2379</v>
      </c>
      <c r="T8" s="1107">
        <v>229.81798662200001</v>
      </c>
      <c r="U8" s="1107">
        <v>349.13420295150422</v>
      </c>
      <c r="V8" s="1107">
        <v>23.948698558951254</v>
      </c>
      <c r="W8" s="2172"/>
      <c r="X8" s="1107">
        <v>390.35358313874997</v>
      </c>
      <c r="Y8" s="1105">
        <v>58.75</v>
      </c>
      <c r="Z8" s="1107">
        <v>16.319333159999999</v>
      </c>
      <c r="AA8" s="1107">
        <f t="shared" si="0"/>
        <v>5.2073366370216858</v>
      </c>
      <c r="AB8" s="2173"/>
      <c r="AC8" s="1109">
        <v>3.4913420295150428</v>
      </c>
      <c r="AD8" s="1109">
        <v>3.4564286092198921</v>
      </c>
      <c r="AE8" s="1109">
        <v>3.4218643231276933</v>
      </c>
      <c r="AF8" s="1105"/>
      <c r="AG8" s="1105"/>
      <c r="AH8" s="1105"/>
      <c r="AI8" s="1105"/>
      <c r="AJ8" s="1105"/>
      <c r="AK8" s="1105"/>
      <c r="AL8" s="1105"/>
      <c r="AM8" s="1105"/>
      <c r="AN8" s="1105"/>
      <c r="AO8" s="1105"/>
    </row>
    <row r="9" spans="1:41">
      <c r="A9" s="1105">
        <v>7</v>
      </c>
      <c r="B9" s="1105" t="s">
        <v>2300</v>
      </c>
      <c r="C9" s="1105" t="s">
        <v>29</v>
      </c>
      <c r="D9" s="1105" t="s">
        <v>2312</v>
      </c>
      <c r="E9" s="1105" t="s">
        <v>2316</v>
      </c>
      <c r="F9" s="1105" t="s">
        <v>2320</v>
      </c>
      <c r="G9" s="1105" t="s">
        <v>2222</v>
      </c>
      <c r="H9" s="1105">
        <v>23061</v>
      </c>
      <c r="I9" s="1105" t="s">
        <v>2178</v>
      </c>
      <c r="J9" s="1105" t="s">
        <v>2178</v>
      </c>
      <c r="K9" s="1105" t="s">
        <v>2178</v>
      </c>
      <c r="L9" s="1105" t="s">
        <v>35</v>
      </c>
      <c r="M9" s="1105" t="s">
        <v>2306</v>
      </c>
      <c r="N9" s="1105" t="s">
        <v>2307</v>
      </c>
      <c r="O9" s="1105" t="s">
        <v>2308</v>
      </c>
      <c r="P9" s="1105" t="s">
        <v>2378</v>
      </c>
      <c r="Q9" s="1105" t="s">
        <v>2307</v>
      </c>
      <c r="R9" s="1105" t="s">
        <v>2309</v>
      </c>
      <c r="S9" s="1105" t="s">
        <v>2379</v>
      </c>
      <c r="T9" s="1107">
        <v>243.36061816200001</v>
      </c>
      <c r="U9" s="1107">
        <v>383.44479470350245</v>
      </c>
      <c r="V9" s="1107">
        <v>28.108948912128554</v>
      </c>
      <c r="W9" s="2172"/>
      <c r="X9" s="1107">
        <v>10.563830276999999</v>
      </c>
      <c r="Y9" s="1105">
        <v>3</v>
      </c>
      <c r="Z9" s="1105"/>
      <c r="AA9" s="1107">
        <f t="shared" si="0"/>
        <v>0.88426204106574691</v>
      </c>
      <c r="AB9" s="2173"/>
      <c r="AC9" s="1109">
        <v>3.834447947035025</v>
      </c>
      <c r="AD9" s="1109">
        <v>3.796103467564675</v>
      </c>
      <c r="AE9" s="1109">
        <v>3.7581424328890285</v>
      </c>
      <c r="AF9" s="1105"/>
      <c r="AG9" s="1105"/>
      <c r="AH9" s="1105"/>
      <c r="AI9" s="1105"/>
      <c r="AJ9" s="1105"/>
      <c r="AK9" s="1105"/>
      <c r="AL9" s="1105"/>
      <c r="AM9" s="1105"/>
      <c r="AN9" s="1105"/>
      <c r="AO9" s="1105"/>
    </row>
    <row r="10" spans="1:41">
      <c r="A10" s="1105">
        <v>8</v>
      </c>
      <c r="B10" s="1105" t="s">
        <v>2300</v>
      </c>
      <c r="C10" s="1105" t="s">
        <v>29</v>
      </c>
      <c r="D10" s="1105" t="s">
        <v>2322</v>
      </c>
      <c r="E10" s="1105" t="s">
        <v>2323</v>
      </c>
      <c r="F10" s="1105" t="s">
        <v>2324</v>
      </c>
      <c r="G10" s="1105" t="s">
        <v>2222</v>
      </c>
      <c r="H10" s="1105">
        <v>172211</v>
      </c>
      <c r="I10" s="1105" t="s">
        <v>2178</v>
      </c>
      <c r="J10" s="1105" t="s">
        <v>2178</v>
      </c>
      <c r="K10" s="1105" t="s">
        <v>2178</v>
      </c>
      <c r="L10" s="1105" t="s">
        <v>35</v>
      </c>
      <c r="M10" s="1105" t="s">
        <v>2306</v>
      </c>
      <c r="N10" s="1105" t="s">
        <v>2307</v>
      </c>
      <c r="O10" s="1105" t="s">
        <v>2308</v>
      </c>
      <c r="P10" s="1105" t="s">
        <v>2377</v>
      </c>
      <c r="Q10" s="1105" t="s">
        <v>2307</v>
      </c>
      <c r="R10" s="1105" t="s">
        <v>2309</v>
      </c>
      <c r="S10" s="1105" t="s">
        <v>2379</v>
      </c>
      <c r="T10" s="1107">
        <v>41.463294737500007</v>
      </c>
      <c r="U10" s="1107">
        <v>65.835576905849351</v>
      </c>
      <c r="V10" s="1107">
        <v>5.2108699037854267</v>
      </c>
      <c r="W10" s="1108">
        <v>7.9149756844045391E-2</v>
      </c>
      <c r="X10" s="1107">
        <v>74.338168905000003</v>
      </c>
      <c r="Y10" s="1107">
        <v>5</v>
      </c>
      <c r="Z10" s="1107">
        <v>5.6747434000000005</v>
      </c>
      <c r="AA10" s="1107">
        <f>U10*H10/10^7</f>
        <v>1.1337610534533222</v>
      </c>
      <c r="AB10" s="1110">
        <v>0.62980073519817648</v>
      </c>
      <c r="AC10" s="1109">
        <v>0.32917788452924673</v>
      </c>
      <c r="AD10" s="1109">
        <v>0.32753199510660053</v>
      </c>
      <c r="AE10" s="1109">
        <v>0.32589433513106758</v>
      </c>
      <c r="AF10" s="1105"/>
      <c r="AG10" s="1105"/>
      <c r="AH10" s="1105"/>
      <c r="AI10" s="1105"/>
      <c r="AJ10" s="1105"/>
      <c r="AK10" s="1105"/>
      <c r="AL10" s="1105"/>
      <c r="AM10" s="1105"/>
      <c r="AN10" s="1105"/>
      <c r="AO10" s="1105"/>
    </row>
    <row r="11" spans="1:41">
      <c r="A11" s="1105">
        <v>9</v>
      </c>
      <c r="B11" s="1105" t="s">
        <v>2300</v>
      </c>
      <c r="C11" s="1105" t="s">
        <v>29</v>
      </c>
      <c r="D11" s="1105" t="s">
        <v>2367</v>
      </c>
      <c r="E11" s="1105" t="s">
        <v>2368</v>
      </c>
      <c r="F11" s="1105" t="s">
        <v>138</v>
      </c>
      <c r="G11" s="1105" t="s">
        <v>2222</v>
      </c>
      <c r="H11" s="1105">
        <v>172211</v>
      </c>
      <c r="I11" s="1105" t="s">
        <v>2178</v>
      </c>
      <c r="J11" s="1105" t="s">
        <v>2178</v>
      </c>
      <c r="K11" s="1105" t="s">
        <v>2178</v>
      </c>
      <c r="L11" s="1105" t="s">
        <v>35</v>
      </c>
      <c r="M11" s="1105" t="s">
        <v>2306</v>
      </c>
      <c r="N11" s="1106">
        <v>45428</v>
      </c>
      <c r="O11" s="1106">
        <v>45450</v>
      </c>
      <c r="P11" s="1105" t="s">
        <v>2388</v>
      </c>
      <c r="Q11" s="1106">
        <v>45428</v>
      </c>
      <c r="R11" s="1106">
        <v>45434</v>
      </c>
      <c r="S11" s="1105" t="s">
        <v>2379</v>
      </c>
      <c r="T11" s="1107">
        <v>256.35298487679995</v>
      </c>
      <c r="U11" s="1107">
        <v>364.70226051791201</v>
      </c>
      <c r="V11" s="1107">
        <v>23.216385357397552</v>
      </c>
      <c r="W11" s="1108">
        <v>6.4974298296338995E-2</v>
      </c>
      <c r="X11" s="1107">
        <v>548.74064866582501</v>
      </c>
      <c r="Y11" s="1107">
        <v>60.25</v>
      </c>
      <c r="Z11" s="1107">
        <v>82.460739333333322</v>
      </c>
      <c r="AA11" s="1107">
        <f>U11*H11/10^7</f>
        <v>6.2805740986050145</v>
      </c>
      <c r="AB11" s="1110">
        <v>0.71743964670343408</v>
      </c>
      <c r="AC11" s="1109">
        <v>3.6470226051791208</v>
      </c>
      <c r="AD11" s="1109">
        <v>3.6105523791273293</v>
      </c>
      <c r="AE11" s="1109">
        <v>3.5744468553360562</v>
      </c>
      <c r="AF11" s="1105"/>
      <c r="AG11" s="1105"/>
      <c r="AH11" s="1105"/>
      <c r="AI11" s="1105"/>
      <c r="AJ11" s="1105"/>
      <c r="AK11" s="1105"/>
      <c r="AL11" s="1105"/>
      <c r="AM11" s="1105"/>
      <c r="AN11" s="1105"/>
      <c r="AO11" s="1105"/>
    </row>
    <row r="12" spans="1:41">
      <c r="A12" s="1105">
        <v>10</v>
      </c>
      <c r="B12" s="1105" t="s">
        <v>2300</v>
      </c>
      <c r="C12" s="1105" t="s">
        <v>29</v>
      </c>
      <c r="D12" s="1105" t="s">
        <v>2326</v>
      </c>
      <c r="E12" s="1105" t="s">
        <v>2327</v>
      </c>
      <c r="F12" s="1105" t="s">
        <v>2328</v>
      </c>
      <c r="G12" s="1105" t="s">
        <v>2222</v>
      </c>
      <c r="H12" s="1105">
        <v>130211</v>
      </c>
      <c r="I12" s="1105" t="s">
        <v>2178</v>
      </c>
      <c r="J12" s="1105" t="s">
        <v>2178</v>
      </c>
      <c r="K12" s="1105" t="s">
        <v>2178</v>
      </c>
      <c r="L12" s="1105" t="s">
        <v>35</v>
      </c>
      <c r="M12" s="1105" t="s">
        <v>2306</v>
      </c>
      <c r="N12" s="1106">
        <v>45428</v>
      </c>
      <c r="O12" s="1106">
        <v>45450</v>
      </c>
      <c r="P12" s="1105"/>
      <c r="Q12" s="1106">
        <v>45428</v>
      </c>
      <c r="R12" s="1106">
        <v>45434</v>
      </c>
      <c r="S12" s="1105" t="s">
        <v>2321</v>
      </c>
      <c r="T12" s="1105"/>
      <c r="U12" s="1105"/>
      <c r="V12" s="1105"/>
      <c r="W12" s="1105"/>
      <c r="X12" s="1105"/>
      <c r="Y12" s="1105"/>
      <c r="Z12" s="1105"/>
      <c r="AA12" s="1105"/>
      <c r="AB12" s="1105"/>
      <c r="AC12" s="1105"/>
      <c r="AD12" s="1105"/>
      <c r="AE12" s="1105"/>
      <c r="AF12" s="1105"/>
      <c r="AG12" s="1105"/>
      <c r="AH12" s="1105"/>
      <c r="AI12" s="1105"/>
      <c r="AJ12" s="1105"/>
      <c r="AK12" s="1105"/>
      <c r="AL12" s="1105"/>
      <c r="AM12" s="1105"/>
      <c r="AN12" s="1105"/>
      <c r="AO12" s="1105"/>
    </row>
    <row r="13" spans="1:41">
      <c r="A13" s="1105">
        <v>11</v>
      </c>
      <c r="B13" s="1105" t="s">
        <v>2300</v>
      </c>
      <c r="C13" s="1105" t="s">
        <v>29</v>
      </c>
      <c r="D13" s="1105" t="s">
        <v>2326</v>
      </c>
      <c r="E13" s="1105" t="s">
        <v>2329</v>
      </c>
      <c r="F13" s="1105" t="s">
        <v>2330</v>
      </c>
      <c r="G13" s="1105" t="s">
        <v>2222</v>
      </c>
      <c r="H13" s="1105">
        <v>42000</v>
      </c>
      <c r="I13" s="1105" t="s">
        <v>2178</v>
      </c>
      <c r="J13" s="1105" t="s">
        <v>2178</v>
      </c>
      <c r="K13" s="1105" t="s">
        <v>2178</v>
      </c>
      <c r="L13" s="1105" t="s">
        <v>35</v>
      </c>
      <c r="M13" s="1105" t="s">
        <v>2306</v>
      </c>
      <c r="N13" s="1106">
        <v>45428</v>
      </c>
      <c r="O13" s="1106">
        <v>45450</v>
      </c>
      <c r="P13" s="1105"/>
      <c r="Q13" s="1106">
        <v>45428</v>
      </c>
      <c r="R13" s="1106">
        <v>45434</v>
      </c>
      <c r="S13" s="1105" t="s">
        <v>2321</v>
      </c>
      <c r="T13" s="1105"/>
      <c r="U13" s="1105"/>
      <c r="V13" s="1105"/>
      <c r="W13" s="1105"/>
      <c r="X13" s="1105"/>
      <c r="Y13" s="1105"/>
      <c r="Z13" s="1105"/>
      <c r="AA13" s="1105"/>
      <c r="AB13" s="1105"/>
      <c r="AC13" s="1105"/>
      <c r="AD13" s="1105"/>
      <c r="AE13" s="1105"/>
      <c r="AF13" s="1105"/>
      <c r="AG13" s="1105"/>
      <c r="AH13" s="1105"/>
      <c r="AI13" s="1105"/>
      <c r="AJ13" s="1105"/>
      <c r="AK13" s="1105"/>
      <c r="AL13" s="1105"/>
      <c r="AM13" s="1105"/>
      <c r="AN13" s="1105"/>
      <c r="AO13" s="1105"/>
    </row>
    <row r="14" spans="1:41">
      <c r="A14" s="1105">
        <v>12</v>
      </c>
      <c r="B14" s="1105" t="s">
        <v>2300</v>
      </c>
      <c r="C14" s="1105" t="s">
        <v>29</v>
      </c>
      <c r="D14" s="1105" t="s">
        <v>2326</v>
      </c>
      <c r="E14" s="1105" t="s">
        <v>2331</v>
      </c>
      <c r="F14" s="1105" t="s">
        <v>2328</v>
      </c>
      <c r="G14" s="1105" t="s">
        <v>2222</v>
      </c>
      <c r="H14" s="1105">
        <v>130211</v>
      </c>
      <c r="I14" s="1105" t="s">
        <v>2178</v>
      </c>
      <c r="J14" s="1105" t="s">
        <v>2178</v>
      </c>
      <c r="K14" s="1105" t="s">
        <v>2178</v>
      </c>
      <c r="L14" s="1105" t="s">
        <v>35</v>
      </c>
      <c r="M14" s="1105" t="s">
        <v>2306</v>
      </c>
      <c r="N14" s="1106">
        <v>45428</v>
      </c>
      <c r="O14" s="1106">
        <v>45450</v>
      </c>
      <c r="P14" s="1105"/>
      <c r="Q14" s="1106">
        <v>45428</v>
      </c>
      <c r="R14" s="1106">
        <v>45434</v>
      </c>
      <c r="S14" s="1105" t="s">
        <v>2321</v>
      </c>
      <c r="T14" s="1105"/>
      <c r="U14" s="1105"/>
      <c r="V14" s="1105"/>
      <c r="W14" s="1105"/>
      <c r="X14" s="1105"/>
      <c r="Y14" s="1105"/>
      <c r="Z14" s="1105"/>
      <c r="AA14" s="1105"/>
      <c r="AB14" s="1105"/>
      <c r="AC14" s="1105"/>
      <c r="AD14" s="1105"/>
      <c r="AE14" s="1105"/>
      <c r="AF14" s="1105"/>
      <c r="AG14" s="1105"/>
      <c r="AH14" s="1105"/>
      <c r="AI14" s="1105"/>
      <c r="AJ14" s="1105"/>
      <c r="AK14" s="1105"/>
      <c r="AL14" s="1105"/>
      <c r="AM14" s="1105"/>
      <c r="AN14" s="1105"/>
      <c r="AO14" s="1105"/>
    </row>
    <row r="15" spans="1:41">
      <c r="A15" s="1105">
        <v>13</v>
      </c>
      <c r="B15" s="1105" t="s">
        <v>2300</v>
      </c>
      <c r="C15" s="1105" t="s">
        <v>29</v>
      </c>
      <c r="D15" s="1105" t="s">
        <v>2326</v>
      </c>
      <c r="E15" s="1105" t="s">
        <v>2332</v>
      </c>
      <c r="F15" s="1105" t="s">
        <v>2330</v>
      </c>
      <c r="G15" s="1105" t="s">
        <v>2222</v>
      </c>
      <c r="H15" s="1105">
        <v>42000</v>
      </c>
      <c r="I15" s="1105" t="s">
        <v>2178</v>
      </c>
      <c r="J15" s="1105" t="s">
        <v>2178</v>
      </c>
      <c r="K15" s="1105" t="s">
        <v>2178</v>
      </c>
      <c r="L15" s="1105" t="s">
        <v>35</v>
      </c>
      <c r="M15" s="1105" t="s">
        <v>2306</v>
      </c>
      <c r="N15" s="1106">
        <v>45428</v>
      </c>
      <c r="O15" s="1106">
        <v>45450</v>
      </c>
      <c r="P15" s="1105"/>
      <c r="Q15" s="1106">
        <v>45428</v>
      </c>
      <c r="R15" s="1106">
        <v>45434</v>
      </c>
      <c r="S15" s="1105" t="s">
        <v>2321</v>
      </c>
      <c r="T15" s="1105"/>
      <c r="U15" s="1105"/>
      <c r="V15" s="1105"/>
      <c r="W15" s="1105"/>
      <c r="X15" s="1105"/>
      <c r="Y15" s="1105"/>
      <c r="Z15" s="1105"/>
      <c r="AA15" s="1105"/>
      <c r="AB15" s="1105"/>
      <c r="AC15" s="1105"/>
      <c r="AD15" s="1105"/>
      <c r="AE15" s="1105"/>
      <c r="AF15" s="1105"/>
      <c r="AG15" s="1105"/>
      <c r="AH15" s="1105"/>
      <c r="AI15" s="1105"/>
      <c r="AJ15" s="1105"/>
      <c r="AK15" s="1105"/>
      <c r="AL15" s="1105"/>
      <c r="AM15" s="1105"/>
      <c r="AN15" s="1105"/>
      <c r="AO15" s="1105"/>
    </row>
    <row r="16" spans="1:41">
      <c r="A16" s="1105">
        <v>14</v>
      </c>
      <c r="B16" s="1105" t="s">
        <v>2300</v>
      </c>
      <c r="C16" s="1105" t="s">
        <v>29</v>
      </c>
      <c r="D16" s="1105" t="s">
        <v>2333</v>
      </c>
      <c r="E16" s="1105" t="s">
        <v>2334</v>
      </c>
      <c r="F16" s="1105" t="s">
        <v>2335</v>
      </c>
      <c r="G16" s="1105" t="s">
        <v>2222</v>
      </c>
      <c r="H16" s="1105">
        <v>98000</v>
      </c>
      <c r="I16" s="1105" t="s">
        <v>2178</v>
      </c>
      <c r="J16" s="1105" t="s">
        <v>2178</v>
      </c>
      <c r="K16" s="1105" t="s">
        <v>2178</v>
      </c>
      <c r="L16" s="1105" t="s">
        <v>35</v>
      </c>
      <c r="M16" s="1105" t="s">
        <v>2306</v>
      </c>
      <c r="N16" s="1106">
        <v>45428</v>
      </c>
      <c r="O16" s="1106">
        <v>45450</v>
      </c>
      <c r="P16" s="1105"/>
      <c r="Q16" s="1106">
        <v>45428</v>
      </c>
      <c r="R16" s="1106">
        <v>45434</v>
      </c>
      <c r="S16" s="1105" t="s">
        <v>2321</v>
      </c>
      <c r="T16" s="1105"/>
      <c r="U16" s="1105"/>
      <c r="V16" s="1105"/>
      <c r="W16" s="1105"/>
      <c r="X16" s="1105"/>
      <c r="Y16" s="1105"/>
      <c r="Z16" s="1105"/>
      <c r="AA16" s="1105"/>
      <c r="AB16" s="1105"/>
      <c r="AC16" s="1105"/>
      <c r="AD16" s="1105"/>
      <c r="AE16" s="1105"/>
      <c r="AF16" s="1105"/>
      <c r="AG16" s="1105"/>
      <c r="AH16" s="1105"/>
      <c r="AI16" s="1105"/>
      <c r="AJ16" s="1105"/>
      <c r="AK16" s="1105"/>
      <c r="AL16" s="1105"/>
      <c r="AM16" s="1105"/>
      <c r="AN16" s="1105"/>
      <c r="AO16" s="1105"/>
    </row>
    <row r="17" spans="1:41">
      <c r="A17" s="1105">
        <v>15</v>
      </c>
      <c r="B17" s="1105" t="s">
        <v>2300</v>
      </c>
      <c r="C17" s="1105" t="s">
        <v>29</v>
      </c>
      <c r="D17" s="1105" t="s">
        <v>2333</v>
      </c>
      <c r="E17" s="1105" t="s">
        <v>2336</v>
      </c>
      <c r="F17" s="1105" t="s">
        <v>2335</v>
      </c>
      <c r="G17" s="1105" t="s">
        <v>2222</v>
      </c>
      <c r="H17" s="1105">
        <v>42000</v>
      </c>
      <c r="I17" s="1105" t="s">
        <v>2178</v>
      </c>
      <c r="J17" s="1105" t="s">
        <v>2178</v>
      </c>
      <c r="K17" s="1105" t="s">
        <v>2178</v>
      </c>
      <c r="L17" s="1105" t="s">
        <v>35</v>
      </c>
      <c r="M17" s="1105" t="s">
        <v>2306</v>
      </c>
      <c r="N17" s="1106">
        <v>45428</v>
      </c>
      <c r="O17" s="1106">
        <v>45450</v>
      </c>
      <c r="P17" s="1105"/>
      <c r="Q17" s="1106">
        <v>45428</v>
      </c>
      <c r="R17" s="1106">
        <v>45434</v>
      </c>
      <c r="S17" s="1105" t="s">
        <v>2321</v>
      </c>
      <c r="T17" s="1105"/>
      <c r="U17" s="1105"/>
      <c r="V17" s="1105"/>
      <c r="W17" s="1105"/>
      <c r="X17" s="1105"/>
      <c r="Y17" s="1105"/>
      <c r="Z17" s="1105"/>
      <c r="AA17" s="1105"/>
      <c r="AB17" s="1105"/>
      <c r="AC17" s="1105"/>
      <c r="AD17" s="1105"/>
      <c r="AE17" s="1105"/>
      <c r="AF17" s="1105"/>
      <c r="AG17" s="1105"/>
      <c r="AH17" s="1105"/>
      <c r="AI17" s="1105"/>
      <c r="AJ17" s="1105"/>
      <c r="AK17" s="1105"/>
      <c r="AL17" s="1105"/>
      <c r="AM17" s="1105"/>
      <c r="AN17" s="1105"/>
      <c r="AO17" s="1105"/>
    </row>
    <row r="18" spans="1:41">
      <c r="A18" s="1105">
        <v>16</v>
      </c>
      <c r="B18" s="1105" t="s">
        <v>2300</v>
      </c>
      <c r="C18" s="1105" t="s">
        <v>29</v>
      </c>
      <c r="D18" s="1105" t="s">
        <v>2333</v>
      </c>
      <c r="E18" s="1105" t="s">
        <v>2337</v>
      </c>
      <c r="F18" s="1105" t="s">
        <v>2335</v>
      </c>
      <c r="G18" s="1105" t="s">
        <v>2222</v>
      </c>
      <c r="H18" s="1105">
        <v>32211</v>
      </c>
      <c r="I18" s="1105" t="s">
        <v>2178</v>
      </c>
      <c r="J18" s="1105" t="s">
        <v>2178</v>
      </c>
      <c r="K18" s="1105" t="s">
        <v>2178</v>
      </c>
      <c r="L18" s="1105" t="s">
        <v>35</v>
      </c>
      <c r="M18" s="1105" t="s">
        <v>2306</v>
      </c>
      <c r="N18" s="1106">
        <v>45428</v>
      </c>
      <c r="O18" s="1106">
        <v>45450</v>
      </c>
      <c r="P18" s="1105"/>
      <c r="Q18" s="1106">
        <v>45428</v>
      </c>
      <c r="R18" s="1106">
        <v>45434</v>
      </c>
      <c r="S18" s="1105" t="s">
        <v>2321</v>
      </c>
      <c r="T18" s="1105"/>
      <c r="U18" s="1105"/>
      <c r="V18" s="1105"/>
      <c r="W18" s="1105"/>
      <c r="X18" s="1105"/>
      <c r="Y18" s="1105"/>
      <c r="Z18" s="1105"/>
      <c r="AA18" s="1105"/>
      <c r="AB18" s="1105"/>
      <c r="AC18" s="1105"/>
      <c r="AD18" s="1105"/>
      <c r="AE18" s="1105"/>
      <c r="AF18" s="1105"/>
      <c r="AG18" s="1105"/>
      <c r="AH18" s="1105"/>
      <c r="AI18" s="1105"/>
      <c r="AJ18" s="1105"/>
      <c r="AK18" s="1105"/>
      <c r="AL18" s="1105"/>
      <c r="AM18" s="1105"/>
      <c r="AN18" s="1105"/>
      <c r="AO18" s="1105"/>
    </row>
    <row r="19" spans="1:41">
      <c r="A19" s="1105">
        <v>17</v>
      </c>
      <c r="B19" s="1105" t="s">
        <v>2300</v>
      </c>
      <c r="C19" s="1105" t="s">
        <v>29</v>
      </c>
      <c r="D19" s="1105" t="s">
        <v>2333</v>
      </c>
      <c r="E19" s="1105" t="s">
        <v>2338</v>
      </c>
      <c r="F19" s="1105" t="s">
        <v>2339</v>
      </c>
      <c r="G19" s="1105" t="s">
        <v>2222</v>
      </c>
      <c r="H19" s="1105">
        <v>98000</v>
      </c>
      <c r="I19" s="1105" t="s">
        <v>2178</v>
      </c>
      <c r="J19" s="1105" t="s">
        <v>2178</v>
      </c>
      <c r="K19" s="1105" t="s">
        <v>2178</v>
      </c>
      <c r="L19" s="1105" t="s">
        <v>35</v>
      </c>
      <c r="M19" s="1105" t="s">
        <v>2306</v>
      </c>
      <c r="N19" s="1106">
        <v>45428</v>
      </c>
      <c r="O19" s="1106">
        <v>45450</v>
      </c>
      <c r="P19" s="1105"/>
      <c r="Q19" s="1106">
        <v>45428</v>
      </c>
      <c r="R19" s="1106">
        <v>45434</v>
      </c>
      <c r="S19" s="1105" t="s">
        <v>2321</v>
      </c>
      <c r="T19" s="1105"/>
      <c r="U19" s="1105"/>
      <c r="V19" s="1105"/>
      <c r="W19" s="1105"/>
      <c r="X19" s="1105"/>
      <c r="Y19" s="1105"/>
      <c r="Z19" s="1105"/>
      <c r="AA19" s="1105"/>
      <c r="AB19" s="1105"/>
      <c r="AC19" s="1105"/>
      <c r="AD19" s="1105"/>
      <c r="AE19" s="1105"/>
      <c r="AF19" s="1105"/>
      <c r="AG19" s="1105"/>
      <c r="AH19" s="1105"/>
      <c r="AI19" s="1105"/>
      <c r="AJ19" s="1105"/>
      <c r="AK19" s="1105"/>
      <c r="AL19" s="1105"/>
      <c r="AM19" s="1105"/>
      <c r="AN19" s="1105"/>
      <c r="AO19" s="1105"/>
    </row>
    <row r="20" spans="1:41">
      <c r="A20" s="1105">
        <v>18</v>
      </c>
      <c r="B20" s="1105" t="s">
        <v>2300</v>
      </c>
      <c r="C20" s="1105" t="s">
        <v>29</v>
      </c>
      <c r="D20" s="1105" t="s">
        <v>2333</v>
      </c>
      <c r="E20" s="1105" t="s">
        <v>2338</v>
      </c>
      <c r="F20" s="1105" t="s">
        <v>2339</v>
      </c>
      <c r="G20" s="1105" t="s">
        <v>2222</v>
      </c>
      <c r="H20" s="1105">
        <v>42000</v>
      </c>
      <c r="I20" s="1105" t="s">
        <v>2178</v>
      </c>
      <c r="J20" s="1105" t="s">
        <v>2178</v>
      </c>
      <c r="K20" s="1105" t="s">
        <v>2178</v>
      </c>
      <c r="L20" s="1105" t="s">
        <v>35</v>
      </c>
      <c r="M20" s="1105" t="s">
        <v>2306</v>
      </c>
      <c r="N20" s="1106">
        <v>45428</v>
      </c>
      <c r="O20" s="1106">
        <v>45450</v>
      </c>
      <c r="P20" s="1105"/>
      <c r="Q20" s="1106">
        <v>45428</v>
      </c>
      <c r="R20" s="1106">
        <v>45434</v>
      </c>
      <c r="S20" s="1105" t="s">
        <v>2321</v>
      </c>
      <c r="T20" s="1105"/>
      <c r="U20" s="1105"/>
      <c r="V20" s="1105"/>
      <c r="W20" s="1105"/>
      <c r="X20" s="1105"/>
      <c r="Y20" s="1105"/>
      <c r="Z20" s="1105"/>
      <c r="AA20" s="1105"/>
      <c r="AB20" s="1105"/>
      <c r="AC20" s="1105"/>
      <c r="AD20" s="1105"/>
      <c r="AE20" s="1105"/>
      <c r="AF20" s="1105"/>
      <c r="AG20" s="1105"/>
      <c r="AH20" s="1105"/>
      <c r="AI20" s="1105"/>
      <c r="AJ20" s="1105"/>
      <c r="AK20" s="1105"/>
      <c r="AL20" s="1105"/>
      <c r="AM20" s="1105"/>
      <c r="AN20" s="1105"/>
      <c r="AO20" s="1105"/>
    </row>
    <row r="21" spans="1:41">
      <c r="A21" s="1105">
        <v>19</v>
      </c>
      <c r="B21" s="1105" t="s">
        <v>2300</v>
      </c>
      <c r="C21" s="1105" t="s">
        <v>29</v>
      </c>
      <c r="D21" s="1105" t="s">
        <v>2333</v>
      </c>
      <c r="E21" s="1105" t="s">
        <v>2338</v>
      </c>
      <c r="F21" s="1105" t="s">
        <v>2339</v>
      </c>
      <c r="G21" s="1105" t="s">
        <v>2222</v>
      </c>
      <c r="H21" s="1105">
        <v>32211</v>
      </c>
      <c r="I21" s="1105" t="s">
        <v>2178</v>
      </c>
      <c r="J21" s="1105" t="s">
        <v>2178</v>
      </c>
      <c r="K21" s="1105" t="s">
        <v>2178</v>
      </c>
      <c r="L21" s="1105" t="s">
        <v>35</v>
      </c>
      <c r="M21" s="1105" t="s">
        <v>2306</v>
      </c>
      <c r="N21" s="1106">
        <v>45428</v>
      </c>
      <c r="O21" s="1106">
        <v>45450</v>
      </c>
      <c r="P21" s="1105"/>
      <c r="Q21" s="1106">
        <v>45428</v>
      </c>
      <c r="R21" s="1106">
        <v>45434</v>
      </c>
      <c r="S21" s="1105" t="s">
        <v>2321</v>
      </c>
      <c r="T21" s="1105"/>
      <c r="U21" s="1105"/>
      <c r="V21" s="1105"/>
      <c r="W21" s="1105"/>
      <c r="X21" s="1105"/>
      <c r="Y21" s="1105"/>
      <c r="Z21" s="1105"/>
      <c r="AA21" s="1105"/>
      <c r="AB21" s="1105"/>
      <c r="AC21" s="1105"/>
      <c r="AD21" s="1105"/>
      <c r="AE21" s="1105"/>
      <c r="AF21" s="1105"/>
      <c r="AG21" s="1105"/>
      <c r="AH21" s="1105"/>
      <c r="AI21" s="1105"/>
      <c r="AJ21" s="1105"/>
      <c r="AK21" s="1105"/>
      <c r="AL21" s="1105"/>
      <c r="AM21" s="1105"/>
      <c r="AN21" s="1105"/>
      <c r="AO21" s="1105"/>
    </row>
    <row r="22" spans="1:41">
      <c r="A22" s="1105">
        <v>20</v>
      </c>
      <c r="B22" s="1105" t="s">
        <v>2300</v>
      </c>
      <c r="C22" s="1105" t="s">
        <v>29</v>
      </c>
      <c r="D22" s="1105" t="s">
        <v>2343</v>
      </c>
      <c r="E22" s="1105" t="s">
        <v>2340</v>
      </c>
      <c r="F22" s="1105" t="s">
        <v>471</v>
      </c>
      <c r="G22" s="1105" t="s">
        <v>2222</v>
      </c>
      <c r="H22" s="1105">
        <v>172211</v>
      </c>
      <c r="I22" s="1105" t="s">
        <v>2178</v>
      </c>
      <c r="J22" s="1105" t="s">
        <v>2178</v>
      </c>
      <c r="K22" s="1105" t="s">
        <v>2178</v>
      </c>
      <c r="L22" s="1105" t="s">
        <v>35</v>
      </c>
      <c r="M22" s="1105" t="s">
        <v>2306</v>
      </c>
      <c r="N22" s="1106">
        <v>45428</v>
      </c>
      <c r="O22" s="1106">
        <v>45450</v>
      </c>
      <c r="P22" s="1105"/>
      <c r="Q22" s="1106">
        <v>45428</v>
      </c>
      <c r="R22" s="1106">
        <v>45434</v>
      </c>
      <c r="S22" s="1105" t="s">
        <v>2321</v>
      </c>
      <c r="T22" s="1105"/>
      <c r="U22" s="1105"/>
      <c r="V22" s="1105"/>
      <c r="W22" s="1105"/>
      <c r="X22" s="1105"/>
      <c r="Y22" s="1105"/>
      <c r="Z22" s="1105"/>
      <c r="AA22" s="1105"/>
      <c r="AB22" s="1105"/>
      <c r="AC22" s="1105"/>
      <c r="AD22" s="1105"/>
      <c r="AE22" s="1105"/>
      <c r="AF22" s="1105"/>
      <c r="AG22" s="1105"/>
      <c r="AH22" s="1105"/>
      <c r="AI22" s="1105"/>
      <c r="AJ22" s="1105"/>
      <c r="AK22" s="1105"/>
      <c r="AL22" s="1105"/>
      <c r="AM22" s="1105"/>
      <c r="AN22" s="1105"/>
      <c r="AO22" s="1105"/>
    </row>
    <row r="23" spans="1:41">
      <c r="A23" s="1105">
        <v>21</v>
      </c>
      <c r="B23" s="1105" t="s">
        <v>2300</v>
      </c>
      <c r="C23" s="1105" t="s">
        <v>29</v>
      </c>
      <c r="D23" s="1105" t="s">
        <v>2343</v>
      </c>
      <c r="E23" s="1105" t="s">
        <v>2341</v>
      </c>
      <c r="F23" s="1105" t="s">
        <v>471</v>
      </c>
      <c r="G23" s="1105" t="s">
        <v>2222</v>
      </c>
      <c r="H23" s="1105">
        <v>172211</v>
      </c>
      <c r="I23" s="1105" t="s">
        <v>2178</v>
      </c>
      <c r="J23" s="1105" t="s">
        <v>2178</v>
      </c>
      <c r="K23" s="1105" t="s">
        <v>2178</v>
      </c>
      <c r="L23" s="1105" t="s">
        <v>35</v>
      </c>
      <c r="M23" s="1105" t="s">
        <v>2306</v>
      </c>
      <c r="N23" s="1106">
        <v>45428</v>
      </c>
      <c r="O23" s="1106">
        <v>45450</v>
      </c>
      <c r="P23" s="1105"/>
      <c r="Q23" s="1106">
        <v>45428</v>
      </c>
      <c r="R23" s="1106">
        <v>45434</v>
      </c>
      <c r="S23" s="1105" t="s">
        <v>2321</v>
      </c>
      <c r="T23" s="1105"/>
      <c r="U23" s="1105"/>
      <c r="V23" s="1105"/>
      <c r="W23" s="1105"/>
      <c r="X23" s="1105"/>
      <c r="Y23" s="1105"/>
      <c r="Z23" s="1105"/>
      <c r="AA23" s="1105"/>
      <c r="AB23" s="1105"/>
      <c r="AC23" s="1105"/>
      <c r="AD23" s="1105"/>
      <c r="AE23" s="1105"/>
      <c r="AF23" s="1105"/>
      <c r="AG23" s="1105"/>
      <c r="AH23" s="1105"/>
      <c r="AI23" s="1105"/>
      <c r="AJ23" s="1105"/>
      <c r="AK23" s="1105"/>
      <c r="AL23" s="1105"/>
      <c r="AM23" s="1105"/>
      <c r="AN23" s="1105"/>
      <c r="AO23" s="1105"/>
    </row>
    <row r="24" spans="1:41">
      <c r="A24" s="1105">
        <v>22</v>
      </c>
      <c r="B24" s="1105" t="s">
        <v>2300</v>
      </c>
      <c r="C24" s="1105" t="s">
        <v>29</v>
      </c>
      <c r="D24" s="1105" t="s">
        <v>2343</v>
      </c>
      <c r="E24" s="1105" t="s">
        <v>2342</v>
      </c>
      <c r="F24" s="1105" t="s">
        <v>473</v>
      </c>
      <c r="G24" s="1105" t="s">
        <v>2222</v>
      </c>
      <c r="H24" s="1105">
        <v>172211</v>
      </c>
      <c r="I24" s="1105" t="s">
        <v>2178</v>
      </c>
      <c r="J24" s="1105" t="s">
        <v>2178</v>
      </c>
      <c r="K24" s="1105" t="s">
        <v>2178</v>
      </c>
      <c r="L24" s="1105" t="s">
        <v>35</v>
      </c>
      <c r="M24" s="1105" t="s">
        <v>2306</v>
      </c>
      <c r="N24" s="1106">
        <v>45428</v>
      </c>
      <c r="O24" s="1106">
        <v>45450</v>
      </c>
      <c r="P24" s="1105"/>
      <c r="Q24" s="1106">
        <v>45428</v>
      </c>
      <c r="R24" s="1106">
        <v>45434</v>
      </c>
      <c r="S24" s="1105" t="s">
        <v>2321</v>
      </c>
      <c r="T24" s="1105"/>
      <c r="U24" s="1105"/>
      <c r="V24" s="1105"/>
      <c r="W24" s="1105"/>
      <c r="X24" s="1105"/>
      <c r="Y24" s="1105"/>
      <c r="Z24" s="1105"/>
      <c r="AA24" s="1105"/>
      <c r="AB24" s="1105"/>
      <c r="AC24" s="1105"/>
      <c r="AD24" s="1105"/>
      <c r="AE24" s="1105"/>
      <c r="AF24" s="1105"/>
      <c r="AG24" s="1105"/>
      <c r="AH24" s="1105"/>
      <c r="AI24" s="1105"/>
      <c r="AJ24" s="1105"/>
      <c r="AK24" s="1105"/>
      <c r="AL24" s="1105"/>
      <c r="AM24" s="1105"/>
      <c r="AN24" s="1105"/>
      <c r="AO24" s="1105"/>
    </row>
    <row r="25" spans="1:41">
      <c r="A25" s="1105">
        <v>23</v>
      </c>
      <c r="B25" s="1105" t="s">
        <v>2300</v>
      </c>
      <c r="C25" s="1105" t="s">
        <v>29</v>
      </c>
      <c r="D25" s="1105" t="s">
        <v>2343</v>
      </c>
      <c r="E25" s="1105" t="s">
        <v>2344</v>
      </c>
      <c r="F25" s="1105" t="s">
        <v>473</v>
      </c>
      <c r="G25" s="1105" t="s">
        <v>2222</v>
      </c>
      <c r="H25" s="1105">
        <v>172211</v>
      </c>
      <c r="I25" s="1105" t="s">
        <v>2178</v>
      </c>
      <c r="J25" s="1105" t="s">
        <v>2178</v>
      </c>
      <c r="K25" s="1105" t="s">
        <v>2178</v>
      </c>
      <c r="L25" s="1105" t="s">
        <v>35</v>
      </c>
      <c r="M25" s="1105" t="s">
        <v>2306</v>
      </c>
      <c r="N25" s="1106">
        <v>45428</v>
      </c>
      <c r="O25" s="1106">
        <v>45450</v>
      </c>
      <c r="P25" s="1105"/>
      <c r="Q25" s="1106">
        <v>45428</v>
      </c>
      <c r="R25" s="1106">
        <v>45434</v>
      </c>
      <c r="S25" s="1105" t="s">
        <v>2321</v>
      </c>
      <c r="T25" s="1105"/>
      <c r="U25" s="1105"/>
      <c r="V25" s="1105"/>
      <c r="W25" s="1105"/>
      <c r="X25" s="1105"/>
      <c r="Y25" s="1105"/>
      <c r="Z25" s="1105"/>
      <c r="AA25" s="1105"/>
      <c r="AB25" s="1105"/>
      <c r="AC25" s="1105"/>
      <c r="AD25" s="1105"/>
      <c r="AE25" s="1105"/>
      <c r="AF25" s="1105"/>
      <c r="AG25" s="1105"/>
      <c r="AH25" s="1105"/>
      <c r="AI25" s="1105"/>
      <c r="AJ25" s="1105"/>
      <c r="AK25" s="1105"/>
      <c r="AL25" s="1105"/>
      <c r="AM25" s="1105"/>
      <c r="AN25" s="1105"/>
      <c r="AO25" s="1105"/>
    </row>
    <row r="26" spans="1:41">
      <c r="A26" s="1105">
        <v>24</v>
      </c>
      <c r="B26" s="1105" t="s">
        <v>2300</v>
      </c>
      <c r="C26" s="1105" t="s">
        <v>29</v>
      </c>
      <c r="D26" s="1105" t="s">
        <v>2345</v>
      </c>
      <c r="E26" s="1105" t="s">
        <v>2346</v>
      </c>
      <c r="F26" s="1105" t="s">
        <v>1111</v>
      </c>
      <c r="G26" s="1105" t="s">
        <v>2222</v>
      </c>
      <c r="H26" s="1105">
        <v>172211</v>
      </c>
      <c r="I26" s="1105" t="s">
        <v>2178</v>
      </c>
      <c r="J26" s="1105" t="s">
        <v>2178</v>
      </c>
      <c r="K26" s="1105" t="s">
        <v>2178</v>
      </c>
      <c r="L26" s="1105" t="s">
        <v>35</v>
      </c>
      <c r="M26" s="1105" t="s">
        <v>2306</v>
      </c>
      <c r="N26" s="1106">
        <v>45428</v>
      </c>
      <c r="O26" s="1106">
        <v>45450</v>
      </c>
      <c r="P26" s="1105"/>
      <c r="Q26" s="1106">
        <v>45428</v>
      </c>
      <c r="R26" s="1106">
        <v>45434</v>
      </c>
      <c r="S26" s="1105" t="s">
        <v>2321</v>
      </c>
      <c r="T26" s="1105"/>
      <c r="U26" s="1105"/>
      <c r="V26" s="1105"/>
      <c r="W26" s="1105"/>
      <c r="X26" s="1105"/>
      <c r="Y26" s="1105"/>
      <c r="Z26" s="1105"/>
      <c r="AA26" s="1105"/>
      <c r="AB26" s="1105"/>
      <c r="AC26" s="1105"/>
      <c r="AD26" s="1105"/>
      <c r="AE26" s="1105"/>
      <c r="AF26" s="1105"/>
      <c r="AG26" s="1105"/>
      <c r="AH26" s="1105"/>
      <c r="AI26" s="1105"/>
      <c r="AJ26" s="1105"/>
      <c r="AK26" s="1105"/>
      <c r="AL26" s="1105"/>
      <c r="AM26" s="1105"/>
      <c r="AN26" s="1105"/>
      <c r="AO26" s="1105"/>
    </row>
    <row r="27" spans="1:41">
      <c r="A27" s="1105">
        <v>25</v>
      </c>
      <c r="B27" s="1105" t="s">
        <v>2300</v>
      </c>
      <c r="C27" s="1105" t="s">
        <v>29</v>
      </c>
      <c r="D27" s="1105" t="s">
        <v>2345</v>
      </c>
      <c r="E27" s="1105" t="s">
        <v>2347</v>
      </c>
      <c r="F27" s="1105" t="s">
        <v>1111</v>
      </c>
      <c r="G27" s="1105" t="s">
        <v>2222</v>
      </c>
      <c r="H27" s="1105">
        <v>172211</v>
      </c>
      <c r="I27" s="1105" t="s">
        <v>2178</v>
      </c>
      <c r="J27" s="1105" t="s">
        <v>2178</v>
      </c>
      <c r="K27" s="1105" t="s">
        <v>2178</v>
      </c>
      <c r="L27" s="1105" t="s">
        <v>35</v>
      </c>
      <c r="M27" s="1105" t="s">
        <v>2306</v>
      </c>
      <c r="N27" s="1106">
        <v>45428</v>
      </c>
      <c r="O27" s="1106">
        <v>45450</v>
      </c>
      <c r="P27" s="1105"/>
      <c r="Q27" s="1106">
        <v>45428</v>
      </c>
      <c r="R27" s="1106">
        <v>45434</v>
      </c>
      <c r="S27" s="1105" t="s">
        <v>2321</v>
      </c>
      <c r="T27" s="1105"/>
      <c r="U27" s="1105"/>
      <c r="V27" s="1105"/>
      <c r="W27" s="1105"/>
      <c r="X27" s="1105"/>
      <c r="Y27" s="1105"/>
      <c r="Z27" s="1105"/>
      <c r="AA27" s="1105"/>
      <c r="AB27" s="1105"/>
      <c r="AC27" s="1105"/>
      <c r="AD27" s="1105"/>
      <c r="AE27" s="1105"/>
      <c r="AF27" s="1105"/>
      <c r="AG27" s="1105"/>
      <c r="AH27" s="1105"/>
      <c r="AI27" s="1105"/>
      <c r="AJ27" s="1105"/>
      <c r="AK27" s="1105"/>
      <c r="AL27" s="1105"/>
      <c r="AM27" s="1105"/>
      <c r="AN27" s="1105"/>
      <c r="AO27" s="1105"/>
    </row>
    <row r="28" spans="1:41">
      <c r="A28" s="1105">
        <v>26</v>
      </c>
      <c r="B28" s="1105" t="s">
        <v>2300</v>
      </c>
      <c r="C28" s="1105" t="s">
        <v>29</v>
      </c>
      <c r="D28" s="1105" t="s">
        <v>2345</v>
      </c>
      <c r="E28" s="1105" t="s">
        <v>2349</v>
      </c>
      <c r="F28" s="1105" t="s">
        <v>1112</v>
      </c>
      <c r="G28" s="1105" t="s">
        <v>2222</v>
      </c>
      <c r="H28" s="1105">
        <v>172211</v>
      </c>
      <c r="I28" s="1105" t="s">
        <v>2178</v>
      </c>
      <c r="J28" s="1105" t="s">
        <v>2178</v>
      </c>
      <c r="K28" s="1105" t="s">
        <v>2178</v>
      </c>
      <c r="L28" s="1105" t="s">
        <v>35</v>
      </c>
      <c r="M28" s="1105" t="s">
        <v>2306</v>
      </c>
      <c r="N28" s="1106">
        <v>45428</v>
      </c>
      <c r="O28" s="1106">
        <v>45450</v>
      </c>
      <c r="P28" s="1105"/>
      <c r="Q28" s="1106">
        <v>45428</v>
      </c>
      <c r="R28" s="1106">
        <v>45434</v>
      </c>
      <c r="S28" s="1105" t="s">
        <v>2321</v>
      </c>
      <c r="T28" s="1105"/>
      <c r="U28" s="1105"/>
      <c r="V28" s="1105"/>
      <c r="W28" s="1105"/>
      <c r="X28" s="1105"/>
      <c r="Y28" s="1105"/>
      <c r="Z28" s="1105"/>
      <c r="AA28" s="1105"/>
      <c r="AB28" s="1105"/>
      <c r="AC28" s="1105"/>
      <c r="AD28" s="1105"/>
      <c r="AE28" s="1105"/>
      <c r="AF28" s="1105"/>
      <c r="AG28" s="1105"/>
      <c r="AH28" s="1105"/>
      <c r="AI28" s="1105"/>
      <c r="AJ28" s="1105"/>
      <c r="AK28" s="1105"/>
      <c r="AL28" s="1105"/>
      <c r="AM28" s="1105"/>
      <c r="AN28" s="1105"/>
      <c r="AO28" s="1105"/>
    </row>
    <row r="29" spans="1:41">
      <c r="A29" s="1105">
        <v>27</v>
      </c>
      <c r="B29" s="1105" t="s">
        <v>2300</v>
      </c>
      <c r="C29" s="1105" t="s">
        <v>29</v>
      </c>
      <c r="D29" s="1105" t="s">
        <v>2345</v>
      </c>
      <c r="E29" s="1105" t="s">
        <v>2348</v>
      </c>
      <c r="F29" s="1105" t="s">
        <v>1112</v>
      </c>
      <c r="G29" s="1105" t="s">
        <v>2222</v>
      </c>
      <c r="H29" s="1105">
        <v>172211</v>
      </c>
      <c r="I29" s="1105" t="s">
        <v>2178</v>
      </c>
      <c r="J29" s="1105" t="s">
        <v>2178</v>
      </c>
      <c r="K29" s="1105" t="s">
        <v>2178</v>
      </c>
      <c r="L29" s="1105" t="s">
        <v>35</v>
      </c>
      <c r="M29" s="1105" t="s">
        <v>2306</v>
      </c>
      <c r="N29" s="1106">
        <v>45428</v>
      </c>
      <c r="O29" s="1106">
        <v>45450</v>
      </c>
      <c r="P29" s="1105"/>
      <c r="Q29" s="1106">
        <v>45428</v>
      </c>
      <c r="R29" s="1106">
        <v>45434</v>
      </c>
      <c r="S29" s="1105" t="s">
        <v>2321</v>
      </c>
      <c r="T29" s="1105"/>
      <c r="U29" s="1105"/>
      <c r="V29" s="1105"/>
      <c r="W29" s="1105"/>
      <c r="X29" s="1105"/>
      <c r="Y29" s="1105"/>
      <c r="Z29" s="1105"/>
      <c r="AA29" s="1105"/>
      <c r="AB29" s="1105"/>
      <c r="AC29" s="1105"/>
      <c r="AD29" s="1105"/>
      <c r="AE29" s="1105"/>
      <c r="AF29" s="1105"/>
      <c r="AG29" s="1105"/>
      <c r="AH29" s="1105"/>
      <c r="AI29" s="1105"/>
      <c r="AJ29" s="1105"/>
      <c r="AK29" s="1105"/>
      <c r="AL29" s="1105"/>
      <c r="AM29" s="1105"/>
      <c r="AN29" s="1105"/>
      <c r="AO29" s="1105"/>
    </row>
    <row r="30" spans="1:41">
      <c r="A30" s="1105">
        <v>28</v>
      </c>
      <c r="B30" s="1105" t="s">
        <v>2300</v>
      </c>
      <c r="C30" s="1105" t="s">
        <v>29</v>
      </c>
      <c r="D30" s="1105" t="s">
        <v>2350</v>
      </c>
      <c r="E30" s="1105" t="s">
        <v>2351</v>
      </c>
      <c r="F30" s="1105" t="s">
        <v>2352</v>
      </c>
      <c r="G30" s="1105" t="s">
        <v>2222</v>
      </c>
      <c r="H30" s="1105">
        <v>149150</v>
      </c>
      <c r="I30" s="1105" t="s">
        <v>2178</v>
      </c>
      <c r="J30" s="1105" t="s">
        <v>2178</v>
      </c>
      <c r="K30" s="1105" t="s">
        <v>2178</v>
      </c>
      <c r="L30" s="1105" t="s">
        <v>35</v>
      </c>
      <c r="M30" s="1105" t="s">
        <v>2306</v>
      </c>
      <c r="N30" s="1106">
        <v>45428</v>
      </c>
      <c r="O30" s="1106">
        <v>45450</v>
      </c>
      <c r="P30" s="1105"/>
      <c r="Q30" s="1106">
        <v>45428</v>
      </c>
      <c r="R30" s="1106">
        <v>45434</v>
      </c>
      <c r="S30" s="1105" t="s">
        <v>2321</v>
      </c>
      <c r="T30" s="1105"/>
      <c r="U30" s="1105"/>
      <c r="V30" s="1105"/>
      <c r="W30" s="1105"/>
      <c r="X30" s="1105"/>
      <c r="Y30" s="1105"/>
      <c r="Z30" s="1105"/>
      <c r="AA30" s="1105"/>
      <c r="AB30" s="1105"/>
      <c r="AC30" s="1105"/>
      <c r="AD30" s="1105"/>
      <c r="AE30" s="1105"/>
      <c r="AF30" s="1105"/>
      <c r="AG30" s="1105"/>
      <c r="AH30" s="1105"/>
      <c r="AI30" s="1105"/>
      <c r="AJ30" s="1105"/>
      <c r="AK30" s="1105"/>
      <c r="AL30" s="1105"/>
      <c r="AM30" s="1105"/>
      <c r="AN30" s="1105"/>
      <c r="AO30" s="1105"/>
    </row>
    <row r="31" spans="1:41">
      <c r="A31" s="1105">
        <v>29</v>
      </c>
      <c r="B31" s="1105" t="s">
        <v>2300</v>
      </c>
      <c r="C31" s="1105" t="s">
        <v>29</v>
      </c>
      <c r="D31" s="1105" t="s">
        <v>2350</v>
      </c>
      <c r="E31" s="1105" t="s">
        <v>2354</v>
      </c>
      <c r="F31" s="1105" t="s">
        <v>2352</v>
      </c>
      <c r="G31" s="1105" t="s">
        <v>2222</v>
      </c>
      <c r="H31" s="1105">
        <v>23061</v>
      </c>
      <c r="I31" s="1105" t="s">
        <v>2178</v>
      </c>
      <c r="J31" s="1105" t="s">
        <v>2178</v>
      </c>
      <c r="K31" s="1105" t="s">
        <v>2178</v>
      </c>
      <c r="L31" s="1105" t="s">
        <v>35</v>
      </c>
      <c r="M31" s="1105" t="s">
        <v>2306</v>
      </c>
      <c r="N31" s="1106">
        <v>45428</v>
      </c>
      <c r="O31" s="1106">
        <v>45450</v>
      </c>
      <c r="P31" s="1105"/>
      <c r="Q31" s="1106">
        <v>45428</v>
      </c>
      <c r="R31" s="1106">
        <v>45434</v>
      </c>
      <c r="S31" s="1105" t="s">
        <v>2321</v>
      </c>
      <c r="T31" s="1105"/>
      <c r="U31" s="1105"/>
      <c r="V31" s="1105"/>
      <c r="W31" s="1105"/>
      <c r="X31" s="1105"/>
      <c r="Y31" s="1105"/>
      <c r="Z31" s="1105"/>
      <c r="AA31" s="1105"/>
      <c r="AB31" s="1105"/>
      <c r="AC31" s="1105"/>
      <c r="AD31" s="1105"/>
      <c r="AE31" s="1105"/>
      <c r="AF31" s="1105"/>
      <c r="AG31" s="1105"/>
      <c r="AH31" s="1105"/>
      <c r="AI31" s="1105"/>
      <c r="AJ31" s="1105"/>
      <c r="AK31" s="1105"/>
      <c r="AL31" s="1105"/>
      <c r="AM31" s="1105"/>
      <c r="AN31" s="1105"/>
      <c r="AO31" s="1105"/>
    </row>
    <row r="32" spans="1:41">
      <c r="A32" s="1105">
        <v>30</v>
      </c>
      <c r="B32" s="1105" t="s">
        <v>2300</v>
      </c>
      <c r="C32" s="1105" t="s">
        <v>29</v>
      </c>
      <c r="D32" s="1105" t="s">
        <v>2350</v>
      </c>
      <c r="E32" s="1105" t="s">
        <v>2355</v>
      </c>
      <c r="F32" s="1105" t="s">
        <v>2353</v>
      </c>
      <c r="G32" s="1105" t="s">
        <v>2222</v>
      </c>
      <c r="H32" s="1105">
        <v>149150</v>
      </c>
      <c r="I32" s="1105" t="s">
        <v>2178</v>
      </c>
      <c r="J32" s="1105" t="s">
        <v>2178</v>
      </c>
      <c r="K32" s="1105" t="s">
        <v>2178</v>
      </c>
      <c r="L32" s="1105" t="s">
        <v>35</v>
      </c>
      <c r="M32" s="1105" t="s">
        <v>2306</v>
      </c>
      <c r="N32" s="1106">
        <v>45428</v>
      </c>
      <c r="O32" s="1106">
        <v>45450</v>
      </c>
      <c r="P32" s="1105"/>
      <c r="Q32" s="1106">
        <v>45428</v>
      </c>
      <c r="R32" s="1106">
        <v>45434</v>
      </c>
      <c r="S32" s="1105" t="s">
        <v>2321</v>
      </c>
      <c r="T32" s="1105"/>
      <c r="U32" s="1105"/>
      <c r="V32" s="1105"/>
      <c r="W32" s="1105"/>
      <c r="X32" s="1105"/>
      <c r="Y32" s="1105"/>
      <c r="Z32" s="1105"/>
      <c r="AA32" s="1105"/>
      <c r="AB32" s="1105"/>
      <c r="AC32" s="1105"/>
      <c r="AD32" s="1105"/>
      <c r="AE32" s="1105"/>
      <c r="AF32" s="1105"/>
      <c r="AG32" s="1105"/>
      <c r="AH32" s="1105"/>
      <c r="AI32" s="1105"/>
      <c r="AJ32" s="1105"/>
      <c r="AK32" s="1105"/>
      <c r="AL32" s="1105"/>
      <c r="AM32" s="1105"/>
      <c r="AN32" s="1105"/>
      <c r="AO32" s="1105"/>
    </row>
    <row r="33" spans="1:41">
      <c r="A33" s="1105">
        <v>31</v>
      </c>
      <c r="B33" s="1105" t="s">
        <v>2300</v>
      </c>
      <c r="C33" s="1105" t="s">
        <v>29</v>
      </c>
      <c r="D33" s="1105" t="s">
        <v>2350</v>
      </c>
      <c r="E33" s="1105" t="s">
        <v>2356</v>
      </c>
      <c r="F33" s="1105" t="s">
        <v>2353</v>
      </c>
      <c r="G33" s="1105" t="s">
        <v>2222</v>
      </c>
      <c r="H33" s="1105">
        <v>23061</v>
      </c>
      <c r="I33" s="1105" t="s">
        <v>2178</v>
      </c>
      <c r="J33" s="1105" t="s">
        <v>2178</v>
      </c>
      <c r="K33" s="1105" t="s">
        <v>2178</v>
      </c>
      <c r="L33" s="1105" t="s">
        <v>35</v>
      </c>
      <c r="M33" s="1105" t="s">
        <v>2306</v>
      </c>
      <c r="N33" s="1106">
        <v>45428</v>
      </c>
      <c r="O33" s="1106">
        <v>45450</v>
      </c>
      <c r="P33" s="1105"/>
      <c r="Q33" s="1106">
        <v>45428</v>
      </c>
      <c r="R33" s="1106">
        <v>45434</v>
      </c>
      <c r="S33" s="1105" t="s">
        <v>2321</v>
      </c>
      <c r="T33" s="1105"/>
      <c r="U33" s="1105"/>
      <c r="V33" s="1105"/>
      <c r="W33" s="1105"/>
      <c r="X33" s="1105"/>
      <c r="Y33" s="1105"/>
      <c r="Z33" s="1105"/>
      <c r="AA33" s="1105"/>
      <c r="AB33" s="1105"/>
      <c r="AC33" s="1105"/>
      <c r="AD33" s="1105"/>
      <c r="AE33" s="1105"/>
      <c r="AF33" s="1105"/>
      <c r="AG33" s="1105"/>
      <c r="AH33" s="1105"/>
      <c r="AI33" s="1105"/>
      <c r="AJ33" s="1105"/>
      <c r="AK33" s="1105"/>
      <c r="AL33" s="1105"/>
      <c r="AM33" s="1105"/>
      <c r="AN33" s="1105"/>
      <c r="AO33" s="1105"/>
    </row>
    <row r="34" spans="1:41">
      <c r="A34" s="1105">
        <v>32</v>
      </c>
      <c r="B34" s="1105" t="s">
        <v>2300</v>
      </c>
      <c r="C34" s="1105" t="s">
        <v>29</v>
      </c>
      <c r="D34" s="1105" t="s">
        <v>2350</v>
      </c>
      <c r="E34" s="1105" t="s">
        <v>2357</v>
      </c>
      <c r="F34" s="1105" t="s">
        <v>2353</v>
      </c>
      <c r="G34" s="1105" t="s">
        <v>2222</v>
      </c>
      <c r="H34" s="1105">
        <v>23061</v>
      </c>
      <c r="I34" s="1105" t="s">
        <v>2178</v>
      </c>
      <c r="J34" s="1105" t="s">
        <v>2178</v>
      </c>
      <c r="K34" s="1105" t="s">
        <v>2178</v>
      </c>
      <c r="L34" s="1105" t="s">
        <v>35</v>
      </c>
      <c r="M34" s="1105" t="s">
        <v>2306</v>
      </c>
      <c r="N34" s="1106">
        <v>45428</v>
      </c>
      <c r="O34" s="1106">
        <v>45450</v>
      </c>
      <c r="P34" s="1105"/>
      <c r="Q34" s="1106">
        <v>45428</v>
      </c>
      <c r="R34" s="1106">
        <v>45434</v>
      </c>
      <c r="S34" s="1105" t="s">
        <v>2321</v>
      </c>
      <c r="T34" s="1105"/>
      <c r="U34" s="1105"/>
      <c r="V34" s="1105"/>
      <c r="W34" s="1105"/>
      <c r="X34" s="1105"/>
      <c r="Y34" s="1105"/>
      <c r="Z34" s="1105"/>
      <c r="AA34" s="1105"/>
      <c r="AB34" s="1105"/>
      <c r="AC34" s="1105"/>
      <c r="AD34" s="1105"/>
      <c r="AE34" s="1105"/>
      <c r="AF34" s="1105"/>
      <c r="AG34" s="1105"/>
      <c r="AH34" s="1105"/>
      <c r="AI34" s="1105"/>
      <c r="AJ34" s="1105"/>
      <c r="AK34" s="1105"/>
      <c r="AL34" s="1105"/>
      <c r="AM34" s="1105"/>
      <c r="AN34" s="1105"/>
      <c r="AO34" s="1105"/>
    </row>
    <row r="35" spans="1:41">
      <c r="A35" s="1105">
        <v>33</v>
      </c>
      <c r="B35" s="1105" t="s">
        <v>2300</v>
      </c>
      <c r="C35" s="1105" t="s">
        <v>29</v>
      </c>
      <c r="D35" s="1105" t="s">
        <v>2350</v>
      </c>
      <c r="E35" s="1105" t="s">
        <v>2358</v>
      </c>
      <c r="F35" s="1105" t="s">
        <v>2353</v>
      </c>
      <c r="G35" s="1105" t="s">
        <v>2222</v>
      </c>
      <c r="H35" s="1105">
        <v>23061</v>
      </c>
      <c r="I35" s="1105" t="s">
        <v>2178</v>
      </c>
      <c r="J35" s="1105" t="s">
        <v>2178</v>
      </c>
      <c r="K35" s="1105" t="s">
        <v>2178</v>
      </c>
      <c r="L35" s="1105" t="s">
        <v>35</v>
      </c>
      <c r="M35" s="1105" t="s">
        <v>2306</v>
      </c>
      <c r="N35" s="1106">
        <v>45428</v>
      </c>
      <c r="O35" s="1106">
        <v>45450</v>
      </c>
      <c r="P35" s="1105"/>
      <c r="Q35" s="1106">
        <v>45428</v>
      </c>
      <c r="R35" s="1106">
        <v>45434</v>
      </c>
      <c r="S35" s="1105" t="s">
        <v>2321</v>
      </c>
      <c r="T35" s="1105"/>
      <c r="U35" s="1105"/>
      <c r="V35" s="1105"/>
      <c r="W35" s="1105"/>
      <c r="X35" s="1105"/>
      <c r="Y35" s="1105"/>
      <c r="Z35" s="1105"/>
      <c r="AA35" s="1105"/>
      <c r="AB35" s="1105"/>
      <c r="AC35" s="1105"/>
      <c r="AD35" s="1105"/>
      <c r="AE35" s="1105"/>
      <c r="AF35" s="1105"/>
      <c r="AG35" s="1105"/>
      <c r="AH35" s="1105"/>
      <c r="AI35" s="1105"/>
      <c r="AJ35" s="1105"/>
      <c r="AK35" s="1105"/>
      <c r="AL35" s="1105"/>
      <c r="AM35" s="1105"/>
      <c r="AN35" s="1105"/>
      <c r="AO35" s="1105"/>
    </row>
    <row r="36" spans="1:41">
      <c r="A36" s="1105">
        <v>34</v>
      </c>
      <c r="B36" s="1105" t="s">
        <v>2300</v>
      </c>
      <c r="C36" s="1105" t="s">
        <v>29</v>
      </c>
      <c r="D36" s="1105" t="s">
        <v>2350</v>
      </c>
      <c r="E36" s="1105" t="s">
        <v>2359</v>
      </c>
      <c r="F36" s="1105" t="s">
        <v>2353</v>
      </c>
      <c r="G36" s="1105" t="s">
        <v>2222</v>
      </c>
      <c r="H36" s="1105">
        <v>149150</v>
      </c>
      <c r="I36" s="1105" t="s">
        <v>2178</v>
      </c>
      <c r="J36" s="1105" t="s">
        <v>2178</v>
      </c>
      <c r="K36" s="1105" t="s">
        <v>2178</v>
      </c>
      <c r="L36" s="1105" t="s">
        <v>35</v>
      </c>
      <c r="M36" s="1105" t="s">
        <v>2306</v>
      </c>
      <c r="N36" s="1106">
        <v>45428</v>
      </c>
      <c r="O36" s="1106">
        <v>45450</v>
      </c>
      <c r="P36" s="1105"/>
      <c r="Q36" s="1106">
        <v>45428</v>
      </c>
      <c r="R36" s="1106">
        <v>45434</v>
      </c>
      <c r="S36" s="1105" t="s">
        <v>2321</v>
      </c>
      <c r="T36" s="1105"/>
      <c r="U36" s="1105"/>
      <c r="V36" s="1105"/>
      <c r="W36" s="1105"/>
      <c r="X36" s="1105"/>
      <c r="Y36" s="1105"/>
      <c r="Z36" s="1105"/>
      <c r="AA36" s="1105"/>
      <c r="AB36" s="1105"/>
      <c r="AC36" s="1105"/>
      <c r="AD36" s="1105"/>
      <c r="AE36" s="1105"/>
      <c r="AF36" s="1105"/>
      <c r="AG36" s="1105"/>
      <c r="AH36" s="1105"/>
      <c r="AI36" s="1105"/>
      <c r="AJ36" s="1105"/>
      <c r="AK36" s="1105"/>
      <c r="AL36" s="1105"/>
      <c r="AM36" s="1105"/>
      <c r="AN36" s="1105"/>
      <c r="AO36" s="1105"/>
    </row>
    <row r="37" spans="1:41">
      <c r="A37" s="1105">
        <v>35</v>
      </c>
      <c r="B37" s="1105" t="s">
        <v>2300</v>
      </c>
      <c r="C37" s="1105" t="s">
        <v>29</v>
      </c>
      <c r="D37" s="1105" t="s">
        <v>2350</v>
      </c>
      <c r="E37" s="1105" t="s">
        <v>2360</v>
      </c>
      <c r="F37" s="1105" t="s">
        <v>2353</v>
      </c>
      <c r="G37" s="1105" t="s">
        <v>2222</v>
      </c>
      <c r="H37" s="1105">
        <v>149150</v>
      </c>
      <c r="I37" s="1105" t="s">
        <v>2178</v>
      </c>
      <c r="J37" s="1105" t="s">
        <v>2178</v>
      </c>
      <c r="K37" s="1105" t="s">
        <v>2178</v>
      </c>
      <c r="L37" s="1105" t="s">
        <v>35</v>
      </c>
      <c r="M37" s="1105" t="s">
        <v>2306</v>
      </c>
      <c r="N37" s="1106">
        <v>45428</v>
      </c>
      <c r="O37" s="1106">
        <v>45450</v>
      </c>
      <c r="P37" s="1105"/>
      <c r="Q37" s="1106">
        <v>45428</v>
      </c>
      <c r="R37" s="1106">
        <v>45434</v>
      </c>
      <c r="S37" s="1105" t="s">
        <v>2321</v>
      </c>
      <c r="T37" s="1105"/>
      <c r="U37" s="1105"/>
      <c r="V37" s="1105"/>
      <c r="W37" s="1105"/>
      <c r="X37" s="1105"/>
      <c r="Y37" s="1105"/>
      <c r="Z37" s="1105"/>
      <c r="AA37" s="1105"/>
      <c r="AB37" s="1105"/>
      <c r="AC37" s="1105"/>
      <c r="AD37" s="1105"/>
      <c r="AE37" s="1105"/>
      <c r="AF37" s="1105"/>
      <c r="AG37" s="1105"/>
      <c r="AH37" s="1105"/>
      <c r="AI37" s="1105"/>
      <c r="AJ37" s="1105"/>
      <c r="AK37" s="1105"/>
      <c r="AL37" s="1105"/>
      <c r="AM37" s="1105"/>
      <c r="AN37" s="1105"/>
      <c r="AO37" s="1105"/>
    </row>
    <row r="38" spans="1:41">
      <c r="A38" s="1105">
        <v>36</v>
      </c>
      <c r="B38" s="1105" t="s">
        <v>2300</v>
      </c>
      <c r="C38" s="1105" t="s">
        <v>29</v>
      </c>
      <c r="D38" s="1105" t="s">
        <v>2361</v>
      </c>
      <c r="E38" s="1105" t="s">
        <v>2363</v>
      </c>
      <c r="F38" s="1105" t="s">
        <v>2364</v>
      </c>
      <c r="G38" s="1105" t="s">
        <v>2222</v>
      </c>
      <c r="H38" s="1105">
        <v>172211</v>
      </c>
      <c r="I38" s="1105" t="s">
        <v>2178</v>
      </c>
      <c r="J38" s="1105" t="s">
        <v>2178</v>
      </c>
      <c r="K38" s="1105" t="s">
        <v>2178</v>
      </c>
      <c r="L38" s="1105" t="s">
        <v>35</v>
      </c>
      <c r="M38" s="1105" t="s">
        <v>2306</v>
      </c>
      <c r="N38" s="1106">
        <v>45428</v>
      </c>
      <c r="O38" s="1106">
        <v>45450</v>
      </c>
      <c r="P38" s="1105"/>
      <c r="Q38" s="1106">
        <v>45428</v>
      </c>
      <c r="R38" s="1106">
        <v>45434</v>
      </c>
      <c r="S38" s="1105" t="s">
        <v>2321</v>
      </c>
      <c r="T38" s="1105"/>
      <c r="U38" s="1105"/>
      <c r="V38" s="1105"/>
      <c r="W38" s="1105"/>
      <c r="X38" s="1105"/>
      <c r="Y38" s="1105"/>
      <c r="Z38" s="1105"/>
      <c r="AA38" s="1105"/>
      <c r="AB38" s="1105"/>
      <c r="AC38" s="1105"/>
      <c r="AD38" s="1105"/>
      <c r="AE38" s="1105"/>
      <c r="AF38" s="1105"/>
      <c r="AG38" s="1105"/>
      <c r="AH38" s="1105"/>
      <c r="AI38" s="1105"/>
      <c r="AJ38" s="1105"/>
      <c r="AK38" s="1105"/>
      <c r="AL38" s="1105"/>
      <c r="AM38" s="1105"/>
      <c r="AN38" s="1105"/>
      <c r="AO38" s="1105"/>
    </row>
    <row r="39" spans="1:41">
      <c r="A39" s="1105">
        <v>37</v>
      </c>
      <c r="B39" s="1105" t="s">
        <v>2300</v>
      </c>
      <c r="C39" s="1105" t="s">
        <v>29</v>
      </c>
      <c r="D39" s="1105" t="s">
        <v>2361</v>
      </c>
      <c r="E39" s="1105" t="s">
        <v>2366</v>
      </c>
      <c r="F39" s="1105" t="s">
        <v>2365</v>
      </c>
      <c r="G39" s="1105" t="s">
        <v>2222</v>
      </c>
      <c r="H39" s="1105">
        <v>172211</v>
      </c>
      <c r="I39" s="1105" t="s">
        <v>2178</v>
      </c>
      <c r="J39" s="1105" t="s">
        <v>2178</v>
      </c>
      <c r="K39" s="1105" t="s">
        <v>2178</v>
      </c>
      <c r="L39" s="1105" t="s">
        <v>35</v>
      </c>
      <c r="M39" s="1105" t="s">
        <v>2306</v>
      </c>
      <c r="N39" s="1106">
        <v>45428</v>
      </c>
      <c r="O39" s="1106">
        <v>45450</v>
      </c>
      <c r="P39" s="1105"/>
      <c r="Q39" s="1106">
        <v>45428</v>
      </c>
      <c r="R39" s="1106">
        <v>45434</v>
      </c>
      <c r="S39" s="1105" t="s">
        <v>2321</v>
      </c>
      <c r="T39" s="1105"/>
      <c r="U39" s="1105"/>
      <c r="V39" s="1105"/>
      <c r="W39" s="1105"/>
      <c r="X39" s="1105"/>
      <c r="Y39" s="1105"/>
      <c r="Z39" s="1105"/>
      <c r="AA39" s="1105"/>
      <c r="AB39" s="1105"/>
      <c r="AC39" s="1105"/>
      <c r="AD39" s="1105"/>
      <c r="AE39" s="1105"/>
      <c r="AF39" s="1105"/>
      <c r="AG39" s="1105"/>
      <c r="AH39" s="1105"/>
      <c r="AI39" s="1105"/>
      <c r="AJ39" s="1105"/>
      <c r="AK39" s="1105"/>
      <c r="AL39" s="1105"/>
      <c r="AM39" s="1105"/>
      <c r="AN39" s="1105"/>
      <c r="AO39" s="1105"/>
    </row>
    <row r="40" spans="1:41">
      <c r="A40" s="1105">
        <v>38</v>
      </c>
      <c r="B40" s="1105" t="s">
        <v>2300</v>
      </c>
      <c r="C40" s="1105" t="s">
        <v>29</v>
      </c>
      <c r="D40" s="1105" t="s">
        <v>2369</v>
      </c>
      <c r="E40" s="1105" t="s">
        <v>2370</v>
      </c>
      <c r="F40" s="1105" t="s">
        <v>1684</v>
      </c>
      <c r="G40" s="1105" t="s">
        <v>2222</v>
      </c>
      <c r="H40" s="1105">
        <v>140000</v>
      </c>
      <c r="I40" s="1105" t="s">
        <v>2178</v>
      </c>
      <c r="J40" s="1105" t="s">
        <v>2178</v>
      </c>
      <c r="K40" s="1105" t="s">
        <v>2178</v>
      </c>
      <c r="L40" s="1105" t="s">
        <v>35</v>
      </c>
      <c r="M40" s="1105" t="s">
        <v>2306</v>
      </c>
      <c r="N40" s="1106">
        <v>45433</v>
      </c>
      <c r="O40" s="1106">
        <v>45423</v>
      </c>
      <c r="P40" s="1105"/>
      <c r="Q40" s="1106">
        <v>45433</v>
      </c>
      <c r="R40" s="1105" t="s">
        <v>2374</v>
      </c>
      <c r="S40" s="1105" t="s">
        <v>2321</v>
      </c>
      <c r="T40" s="1105"/>
      <c r="U40" s="1105"/>
      <c r="V40" s="1105"/>
      <c r="W40" s="1105"/>
      <c r="X40" s="1105"/>
      <c r="Y40" s="1105"/>
      <c r="Z40" s="1105"/>
      <c r="AA40" s="1105"/>
      <c r="AB40" s="1105"/>
      <c r="AC40" s="1105"/>
      <c r="AD40" s="1105"/>
      <c r="AE40" s="1105"/>
      <c r="AF40" s="1105"/>
      <c r="AG40" s="1105"/>
      <c r="AH40" s="1105"/>
      <c r="AI40" s="1105"/>
      <c r="AJ40" s="1105"/>
      <c r="AK40" s="1105"/>
      <c r="AL40" s="1105"/>
      <c r="AM40" s="1105"/>
      <c r="AN40" s="1105"/>
      <c r="AO40" s="1105"/>
    </row>
    <row r="41" spans="1:41">
      <c r="A41" s="1105">
        <v>39</v>
      </c>
      <c r="B41" s="1105" t="s">
        <v>2300</v>
      </c>
      <c r="C41" s="1105" t="s">
        <v>29</v>
      </c>
      <c r="D41" s="1105" t="s">
        <v>2369</v>
      </c>
      <c r="E41" s="1105" t="s">
        <v>2371</v>
      </c>
      <c r="F41" s="1105" t="s">
        <v>1684</v>
      </c>
      <c r="G41" s="1105" t="s">
        <v>2222</v>
      </c>
      <c r="H41" s="1105">
        <v>32211</v>
      </c>
      <c r="I41" s="1105" t="s">
        <v>2178</v>
      </c>
      <c r="J41" s="1105" t="s">
        <v>2178</v>
      </c>
      <c r="K41" s="1105" t="s">
        <v>2178</v>
      </c>
      <c r="L41" s="1105" t="s">
        <v>35</v>
      </c>
      <c r="M41" s="1105" t="s">
        <v>2306</v>
      </c>
      <c r="N41" s="1106">
        <v>45433</v>
      </c>
      <c r="O41" s="1106">
        <v>45423</v>
      </c>
      <c r="P41" s="1105"/>
      <c r="Q41" s="1106">
        <v>45433</v>
      </c>
      <c r="R41" s="1105" t="s">
        <v>2374</v>
      </c>
      <c r="S41" s="1105" t="s">
        <v>2321</v>
      </c>
      <c r="T41" s="1105"/>
      <c r="U41" s="1105"/>
      <c r="V41" s="1105"/>
      <c r="W41" s="1105"/>
      <c r="X41" s="1105"/>
      <c r="Y41" s="1105"/>
      <c r="Z41" s="1105"/>
      <c r="AA41" s="1105"/>
      <c r="AB41" s="1105"/>
      <c r="AC41" s="1105"/>
      <c r="AD41" s="1105"/>
      <c r="AE41" s="1105"/>
      <c r="AF41" s="1105"/>
      <c r="AG41" s="1105"/>
      <c r="AH41" s="1105"/>
      <c r="AI41" s="1105"/>
      <c r="AJ41" s="1105"/>
      <c r="AK41" s="1105"/>
      <c r="AL41" s="1105"/>
      <c r="AM41" s="1105"/>
      <c r="AN41" s="1105"/>
      <c r="AO41" s="1105"/>
    </row>
    <row r="42" spans="1:41">
      <c r="A42" s="1105">
        <v>40</v>
      </c>
      <c r="B42" s="1105" t="s">
        <v>2300</v>
      </c>
      <c r="C42" s="1105" t="s">
        <v>29</v>
      </c>
      <c r="D42" s="1105" t="s">
        <v>2369</v>
      </c>
      <c r="E42" s="1105" t="s">
        <v>2373</v>
      </c>
      <c r="F42" s="1105" t="s">
        <v>1685</v>
      </c>
      <c r="G42" s="1105" t="s">
        <v>2222</v>
      </c>
      <c r="H42" s="1105">
        <v>140000</v>
      </c>
      <c r="I42" s="1105" t="s">
        <v>2178</v>
      </c>
      <c r="J42" s="1105" t="s">
        <v>2178</v>
      </c>
      <c r="K42" s="1105" t="s">
        <v>2178</v>
      </c>
      <c r="L42" s="1105" t="s">
        <v>35</v>
      </c>
      <c r="M42" s="1105" t="s">
        <v>2306</v>
      </c>
      <c r="N42" s="1106">
        <v>45433</v>
      </c>
      <c r="O42" s="1106">
        <v>45423</v>
      </c>
      <c r="P42" s="1105"/>
      <c r="Q42" s="1106">
        <v>45433</v>
      </c>
      <c r="R42" s="1105" t="s">
        <v>2374</v>
      </c>
      <c r="S42" s="1105" t="s">
        <v>2321</v>
      </c>
      <c r="T42" s="1105"/>
      <c r="U42" s="1105"/>
      <c r="V42" s="1105"/>
      <c r="W42" s="1105"/>
      <c r="X42" s="1105"/>
      <c r="Y42" s="1105"/>
      <c r="Z42" s="1105"/>
      <c r="AA42" s="1105"/>
      <c r="AB42" s="1105"/>
      <c r="AC42" s="1105"/>
      <c r="AD42" s="1105"/>
      <c r="AE42" s="1105"/>
      <c r="AF42" s="1105"/>
      <c r="AG42" s="1105"/>
      <c r="AH42" s="1105"/>
      <c r="AI42" s="1105"/>
      <c r="AJ42" s="1105"/>
      <c r="AK42" s="1105"/>
      <c r="AL42" s="1105"/>
      <c r="AM42" s="1105"/>
      <c r="AN42" s="1105"/>
      <c r="AO42" s="1105"/>
    </row>
    <row r="43" spans="1:41">
      <c r="A43" s="1105">
        <v>41</v>
      </c>
      <c r="B43" s="1105" t="s">
        <v>2300</v>
      </c>
      <c r="C43" s="1105" t="s">
        <v>29</v>
      </c>
      <c r="D43" s="1105" t="s">
        <v>2369</v>
      </c>
      <c r="E43" s="1105" t="s">
        <v>2372</v>
      </c>
      <c r="F43" s="1105" t="s">
        <v>1685</v>
      </c>
      <c r="G43" s="1105" t="s">
        <v>2222</v>
      </c>
      <c r="H43" s="1105">
        <v>32211</v>
      </c>
      <c r="I43" s="1105" t="s">
        <v>2178</v>
      </c>
      <c r="J43" s="1105" t="s">
        <v>2178</v>
      </c>
      <c r="K43" s="1105" t="s">
        <v>2178</v>
      </c>
      <c r="L43" s="1105" t="s">
        <v>35</v>
      </c>
      <c r="M43" s="1105" t="s">
        <v>2306</v>
      </c>
      <c r="N43" s="1106">
        <v>45433</v>
      </c>
      <c r="O43" s="1106">
        <v>45423</v>
      </c>
      <c r="P43" s="1105"/>
      <c r="Q43" s="1106">
        <v>45433</v>
      </c>
      <c r="R43" s="1105" t="s">
        <v>2374</v>
      </c>
      <c r="S43" s="1105" t="s">
        <v>2321</v>
      </c>
      <c r="T43" s="1105"/>
      <c r="U43" s="1105"/>
      <c r="V43" s="1105"/>
      <c r="W43" s="1105"/>
      <c r="X43" s="1105"/>
      <c r="Y43" s="1105"/>
      <c r="Z43" s="1105"/>
      <c r="AA43" s="1105"/>
      <c r="AB43" s="1105"/>
      <c r="AC43" s="1105"/>
      <c r="AD43" s="1105"/>
      <c r="AE43" s="1105"/>
      <c r="AF43" s="1105"/>
      <c r="AG43" s="1105"/>
      <c r="AH43" s="1105"/>
      <c r="AI43" s="1105"/>
      <c r="AJ43" s="1105"/>
      <c r="AK43" s="1105"/>
      <c r="AL43" s="1105"/>
      <c r="AM43" s="1105"/>
      <c r="AN43" s="1105"/>
      <c r="AO43" s="1105"/>
    </row>
    <row r="44" spans="1:41">
      <c r="A44" s="1105">
        <v>42</v>
      </c>
      <c r="B44" s="1105" t="s">
        <v>2300</v>
      </c>
      <c r="C44" s="1105" t="s">
        <v>29</v>
      </c>
      <c r="D44" s="1105" t="s">
        <v>2375</v>
      </c>
      <c r="E44" s="1105" t="s">
        <v>2376</v>
      </c>
      <c r="F44" s="1105" t="s">
        <v>200</v>
      </c>
      <c r="G44" s="1105" t="s">
        <v>2222</v>
      </c>
      <c r="H44" s="1105">
        <v>172211</v>
      </c>
      <c r="I44" s="1105" t="s">
        <v>2178</v>
      </c>
      <c r="J44" s="1105" t="s">
        <v>2178</v>
      </c>
      <c r="K44" s="1105" t="s">
        <v>2178</v>
      </c>
      <c r="L44" s="1105" t="s">
        <v>35</v>
      </c>
      <c r="M44" s="1105" t="s">
        <v>2306</v>
      </c>
      <c r="N44" s="1106">
        <v>45433</v>
      </c>
      <c r="O44" s="1106">
        <v>45423</v>
      </c>
      <c r="P44" s="1105"/>
      <c r="Q44" s="1106">
        <v>45433</v>
      </c>
      <c r="R44" s="1105" t="s">
        <v>2374</v>
      </c>
      <c r="S44" s="1105" t="s">
        <v>2321</v>
      </c>
      <c r="T44" s="1105"/>
      <c r="U44" s="1105"/>
      <c r="V44" s="1105"/>
      <c r="W44" s="1105"/>
      <c r="X44" s="1105"/>
      <c r="Y44" s="1105"/>
      <c r="Z44" s="1105"/>
      <c r="AA44" s="1105"/>
      <c r="AB44" s="1105"/>
      <c r="AC44" s="1105"/>
      <c r="AD44" s="1105"/>
      <c r="AE44" s="1105"/>
      <c r="AF44" s="1105"/>
      <c r="AG44" s="1105"/>
      <c r="AH44" s="1105"/>
      <c r="AI44" s="1105"/>
      <c r="AJ44" s="1105"/>
      <c r="AK44" s="1105"/>
      <c r="AL44" s="1105"/>
      <c r="AM44" s="1105"/>
      <c r="AN44" s="1105"/>
      <c r="AO44" s="1105"/>
    </row>
    <row r="45" spans="1:41">
      <c r="A45" s="1105"/>
      <c r="B45" s="1105"/>
      <c r="C45" s="1105"/>
      <c r="D45" s="1105"/>
      <c r="E45" s="1105"/>
      <c r="F45" s="1105"/>
      <c r="G45" s="1105"/>
      <c r="H45" s="1105"/>
      <c r="I45" s="1105"/>
      <c r="J45" s="1105"/>
      <c r="K45" s="1105"/>
      <c r="L45" s="1105"/>
      <c r="M45" s="1105"/>
      <c r="N45" s="1105"/>
      <c r="O45" s="1105"/>
      <c r="P45" s="1105"/>
      <c r="Q45" s="1105"/>
      <c r="R45" s="1105"/>
      <c r="S45" s="1105"/>
      <c r="T45" s="1105"/>
      <c r="U45" s="1105"/>
      <c r="V45" s="1105"/>
      <c r="W45" s="1105"/>
      <c r="X45" s="1105"/>
      <c r="Y45" s="1105"/>
      <c r="Z45" s="1105"/>
      <c r="AA45" s="1105"/>
      <c r="AB45" s="1105"/>
      <c r="AC45" s="1105"/>
      <c r="AD45" s="1105"/>
      <c r="AE45" s="1105"/>
      <c r="AF45" s="1105"/>
      <c r="AG45" s="1105"/>
      <c r="AH45" s="1105"/>
      <c r="AI45" s="1105"/>
      <c r="AJ45" s="1105"/>
      <c r="AK45" s="1105"/>
      <c r="AL45" s="1105"/>
      <c r="AM45" s="1105"/>
      <c r="AN45" s="1105"/>
      <c r="AO45" s="1105"/>
    </row>
  </sheetData>
  <mergeCells count="31">
    <mergeCell ref="W3:W4"/>
    <mergeCell ref="AB3:AB4"/>
    <mergeCell ref="W6:W9"/>
    <mergeCell ref="AB6:AB9"/>
    <mergeCell ref="AG1:AG2"/>
    <mergeCell ref="AH1:AN1"/>
    <mergeCell ref="AO1:AO2"/>
    <mergeCell ref="S1:S2"/>
    <mergeCell ref="T1:Z1"/>
    <mergeCell ref="AC1:AC2"/>
    <mergeCell ref="AD1:AD2"/>
    <mergeCell ref="AE1:AE2"/>
    <mergeCell ref="AF1:AF2"/>
    <mergeCell ref="R1:R2"/>
    <mergeCell ref="G1:G2"/>
    <mergeCell ref="H1:H2"/>
    <mergeCell ref="I1:I2"/>
    <mergeCell ref="J1:J2"/>
    <mergeCell ref="K1:K2"/>
    <mergeCell ref="L1:L2"/>
    <mergeCell ref="M1:M2"/>
    <mergeCell ref="N1:N2"/>
    <mergeCell ref="O1:O2"/>
    <mergeCell ref="P1:P2"/>
    <mergeCell ref="Q1:Q2"/>
    <mergeCell ref="F1:F2"/>
    <mergeCell ref="A1:A2"/>
    <mergeCell ref="B1:B2"/>
    <mergeCell ref="C1:C2"/>
    <mergeCell ref="D1:D2"/>
    <mergeCell ref="E1:E2"/>
  </mergeCells>
  <phoneticPr fontId="155"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C1:L46"/>
  <sheetViews>
    <sheetView workbookViewId="0">
      <selection activeCell="C51" sqref="C51"/>
    </sheetView>
  </sheetViews>
  <sheetFormatPr defaultRowHeight="15"/>
  <cols>
    <col min="3" max="3" width="9.140625" style="15"/>
    <col min="4" max="4" width="14.28515625" bestFit="1" customWidth="1"/>
    <col min="5" max="5" width="41.42578125" bestFit="1" customWidth="1"/>
    <col min="6" max="6" width="13.7109375" style="886" customWidth="1"/>
    <col min="9" max="9" width="6.85546875" bestFit="1" customWidth="1"/>
    <col min="10" max="10" width="13.5703125" bestFit="1" customWidth="1"/>
    <col min="11" max="11" width="35" bestFit="1" customWidth="1"/>
    <col min="12" max="12" width="11.140625" bestFit="1" customWidth="1"/>
  </cols>
  <sheetData>
    <row r="1" spans="3:12" ht="15.75" thickBot="1"/>
    <row r="2" spans="3:12" ht="15.75" thickBot="1">
      <c r="C2" s="2192" t="s">
        <v>2165</v>
      </c>
      <c r="D2" s="2193"/>
      <c r="E2" s="2193"/>
      <c r="F2" s="2194"/>
      <c r="I2" s="2180" t="s">
        <v>2166</v>
      </c>
      <c r="J2" s="2181"/>
      <c r="K2" s="2181"/>
      <c r="L2" s="2182"/>
    </row>
    <row r="3" spans="3:12" ht="15.75" thickBot="1">
      <c r="C3" s="883" t="s">
        <v>2093</v>
      </c>
      <c r="D3" s="884" t="s">
        <v>2094</v>
      </c>
      <c r="E3" s="884" t="s">
        <v>2095</v>
      </c>
      <c r="F3" s="891" t="s">
        <v>2096</v>
      </c>
      <c r="I3" s="883" t="s">
        <v>2093</v>
      </c>
      <c r="J3" s="895" t="s">
        <v>2094</v>
      </c>
      <c r="K3" s="895" t="s">
        <v>2095</v>
      </c>
      <c r="L3" s="896" t="s">
        <v>2096</v>
      </c>
    </row>
    <row r="4" spans="3:12">
      <c r="C4" s="2195">
        <v>1</v>
      </c>
      <c r="D4" s="869" t="s">
        <v>1842</v>
      </c>
      <c r="E4" s="869" t="s">
        <v>1843</v>
      </c>
      <c r="F4" s="887">
        <v>1728.6860100123561</v>
      </c>
      <c r="I4" s="892">
        <v>1</v>
      </c>
      <c r="J4" s="893" t="s">
        <v>2097</v>
      </c>
      <c r="K4" s="893" t="s">
        <v>2098</v>
      </c>
      <c r="L4" s="894">
        <v>801.07</v>
      </c>
    </row>
    <row r="5" spans="3:12">
      <c r="C5" s="2196"/>
      <c r="D5" s="870" t="s">
        <v>1844</v>
      </c>
      <c r="E5" s="870" t="s">
        <v>1843</v>
      </c>
      <c r="F5" s="888">
        <v>1937.297760757594</v>
      </c>
      <c r="I5" s="877">
        <v>2</v>
      </c>
      <c r="J5" s="878" t="s">
        <v>2099</v>
      </c>
      <c r="K5" s="878" t="s">
        <v>2100</v>
      </c>
      <c r="L5" s="879">
        <v>479.78</v>
      </c>
    </row>
    <row r="6" spans="3:12">
      <c r="C6" s="2196"/>
      <c r="D6" s="870" t="s">
        <v>1845</v>
      </c>
      <c r="E6" s="870" t="s">
        <v>1843</v>
      </c>
      <c r="F6" s="888">
        <v>1895.6436062013013</v>
      </c>
      <c r="I6" s="877">
        <v>3</v>
      </c>
      <c r="J6" s="878" t="s">
        <v>2101</v>
      </c>
      <c r="K6" s="878" t="s">
        <v>2102</v>
      </c>
      <c r="L6" s="879">
        <v>479.78</v>
      </c>
    </row>
    <row r="7" spans="3:12">
      <c r="C7" s="2196"/>
      <c r="D7" s="870" t="s">
        <v>1846</v>
      </c>
      <c r="E7" s="870" t="s">
        <v>1847</v>
      </c>
      <c r="F7" s="888">
        <v>1717.2124323701819</v>
      </c>
      <c r="I7" s="877">
        <v>4</v>
      </c>
      <c r="J7" s="878" t="s">
        <v>2103</v>
      </c>
      <c r="K7" s="878" t="s">
        <v>2104</v>
      </c>
      <c r="L7" s="879">
        <v>805.25</v>
      </c>
    </row>
    <row r="8" spans="3:12">
      <c r="C8" s="2196"/>
      <c r="D8" s="870" t="s">
        <v>1848</v>
      </c>
      <c r="E8" s="870" t="s">
        <v>1847</v>
      </c>
      <c r="F8" s="888">
        <v>1900.0536782935508</v>
      </c>
      <c r="I8" s="877">
        <v>5</v>
      </c>
      <c r="J8" s="878" t="s">
        <v>2105</v>
      </c>
      <c r="K8" s="878" t="s">
        <v>2106</v>
      </c>
      <c r="L8" s="879">
        <v>859.36</v>
      </c>
    </row>
    <row r="9" spans="3:12" ht="15.75" thickBot="1">
      <c r="C9" s="2197"/>
      <c r="D9" s="874" t="s">
        <v>1849</v>
      </c>
      <c r="E9" s="874" t="s">
        <v>1847</v>
      </c>
      <c r="F9" s="889">
        <v>1864.8528182585942</v>
      </c>
      <c r="I9" s="877">
        <v>6</v>
      </c>
      <c r="J9" s="878" t="s">
        <v>2107</v>
      </c>
      <c r="K9" s="878" t="s">
        <v>1785</v>
      </c>
      <c r="L9" s="879">
        <v>75.48</v>
      </c>
    </row>
    <row r="10" spans="3:12">
      <c r="C10" s="2177">
        <v>2</v>
      </c>
      <c r="D10" s="871" t="s">
        <v>1857</v>
      </c>
      <c r="E10" s="869" t="s">
        <v>1858</v>
      </c>
      <c r="F10" s="887">
        <v>626.6389600280263</v>
      </c>
      <c r="I10" s="877">
        <v>7</v>
      </c>
      <c r="J10" s="878" t="s">
        <v>2108</v>
      </c>
      <c r="K10" s="878" t="s">
        <v>2109</v>
      </c>
      <c r="L10" s="879">
        <v>75.48</v>
      </c>
    </row>
    <row r="11" spans="3:12">
      <c r="C11" s="2178"/>
      <c r="D11" s="872" t="s">
        <v>1859</v>
      </c>
      <c r="E11" s="870" t="s">
        <v>1858</v>
      </c>
      <c r="F11" s="888">
        <v>743.60478071776163</v>
      </c>
      <c r="I11" s="877">
        <v>8</v>
      </c>
      <c r="J11" s="878" t="s">
        <v>2110</v>
      </c>
      <c r="K11" s="878" t="s">
        <v>2111</v>
      </c>
      <c r="L11" s="879">
        <v>136.77000000000001</v>
      </c>
    </row>
    <row r="12" spans="3:12" ht="15.75" thickBot="1">
      <c r="C12" s="2179"/>
      <c r="D12" s="873" t="s">
        <v>1860</v>
      </c>
      <c r="E12" s="874" t="s">
        <v>1861</v>
      </c>
      <c r="F12" s="889">
        <v>626.63888953673745</v>
      </c>
      <c r="I12" s="877">
        <v>9</v>
      </c>
      <c r="J12" s="878" t="s">
        <v>2112</v>
      </c>
      <c r="K12" s="878" t="s">
        <v>2113</v>
      </c>
      <c r="L12" s="879">
        <v>136.77000000000001</v>
      </c>
    </row>
    <row r="13" spans="3:12" ht="15.75" thickBot="1">
      <c r="C13" s="885">
        <v>3</v>
      </c>
      <c r="D13" s="875" t="s">
        <v>1862</v>
      </c>
      <c r="E13" s="876" t="s">
        <v>746</v>
      </c>
      <c r="F13" s="890">
        <v>589.61778101522225</v>
      </c>
      <c r="I13" s="877">
        <v>10</v>
      </c>
      <c r="J13" s="878" t="s">
        <v>2114</v>
      </c>
      <c r="K13" s="878" t="s">
        <v>2115</v>
      </c>
      <c r="L13" s="879">
        <v>779.65</v>
      </c>
    </row>
    <row r="14" spans="3:12">
      <c r="C14" s="2177">
        <v>4</v>
      </c>
      <c r="D14" s="871" t="s">
        <v>1863</v>
      </c>
      <c r="E14" s="869" t="s">
        <v>1864</v>
      </c>
      <c r="F14" s="887">
        <v>646.85651049364014</v>
      </c>
      <c r="I14" s="877">
        <v>11</v>
      </c>
      <c r="J14" s="878" t="s">
        <v>2116</v>
      </c>
      <c r="K14" s="878" t="s">
        <v>2117</v>
      </c>
      <c r="L14" s="879">
        <v>779.65</v>
      </c>
    </row>
    <row r="15" spans="3:12" ht="15.75" thickBot="1">
      <c r="C15" s="2179"/>
      <c r="D15" s="874" t="s">
        <v>1865</v>
      </c>
      <c r="E15" s="874" t="s">
        <v>1866</v>
      </c>
      <c r="F15" s="889">
        <v>646.8805945297953</v>
      </c>
      <c r="I15" s="877">
        <v>12</v>
      </c>
      <c r="J15" s="878" t="s">
        <v>2118</v>
      </c>
      <c r="K15" s="878" t="s">
        <v>2119</v>
      </c>
      <c r="L15" s="879">
        <v>687.87</v>
      </c>
    </row>
    <row r="16" spans="3:12">
      <c r="C16" s="2177">
        <v>5</v>
      </c>
      <c r="D16" s="871" t="s">
        <v>1867</v>
      </c>
      <c r="E16" s="869" t="s">
        <v>1868</v>
      </c>
      <c r="F16" s="887">
        <v>246.32247023141892</v>
      </c>
      <c r="I16" s="877">
        <v>13</v>
      </c>
      <c r="J16" s="878" t="s">
        <v>2120</v>
      </c>
      <c r="K16" s="878" t="s">
        <v>2121</v>
      </c>
      <c r="L16" s="879">
        <v>687.87</v>
      </c>
    </row>
    <row r="17" spans="3:12" ht="15.75" thickBot="1">
      <c r="C17" s="2179"/>
      <c r="D17" s="874" t="s">
        <v>1869</v>
      </c>
      <c r="E17" s="874" t="s">
        <v>1870</v>
      </c>
      <c r="F17" s="889">
        <v>246.32247023141892</v>
      </c>
      <c r="I17" s="877">
        <v>14</v>
      </c>
      <c r="J17" s="878" t="s">
        <v>2122</v>
      </c>
      <c r="K17" s="878" t="s">
        <v>2123</v>
      </c>
      <c r="L17" s="879">
        <v>240.68</v>
      </c>
    </row>
    <row r="18" spans="3:12">
      <c r="C18" s="2177">
        <v>6</v>
      </c>
      <c r="D18" s="871" t="s">
        <v>1871</v>
      </c>
      <c r="E18" s="869" t="s">
        <v>1872</v>
      </c>
      <c r="F18" s="887">
        <v>554.25375111219171</v>
      </c>
      <c r="I18" s="877">
        <v>15</v>
      </c>
      <c r="J18" s="878" t="s">
        <v>2124</v>
      </c>
      <c r="K18" s="878" t="s">
        <v>2125</v>
      </c>
      <c r="L18" s="879">
        <v>240.68</v>
      </c>
    </row>
    <row r="19" spans="3:12" ht="15.75" thickBot="1">
      <c r="C19" s="2179"/>
      <c r="D19" s="874" t="s">
        <v>1873</v>
      </c>
      <c r="E19" s="874" t="s">
        <v>1874</v>
      </c>
      <c r="F19" s="889">
        <v>554.25374656588417</v>
      </c>
      <c r="I19" s="877">
        <v>16</v>
      </c>
      <c r="J19" s="878" t="s">
        <v>2126</v>
      </c>
      <c r="K19" s="878" t="s">
        <v>608</v>
      </c>
      <c r="L19" s="879">
        <v>135.47999999999999</v>
      </c>
    </row>
    <row r="20" spans="3:12">
      <c r="C20" s="2177">
        <v>7</v>
      </c>
      <c r="D20" s="871" t="s">
        <v>1875</v>
      </c>
      <c r="E20" s="869" t="s">
        <v>1876</v>
      </c>
      <c r="F20" s="887">
        <v>642.22879598649831</v>
      </c>
      <c r="I20" s="877">
        <v>17</v>
      </c>
      <c r="J20" s="878" t="s">
        <v>2127</v>
      </c>
      <c r="K20" s="878" t="s">
        <v>608</v>
      </c>
      <c r="L20" s="879">
        <v>135.47999999999999</v>
      </c>
    </row>
    <row r="21" spans="3:12" ht="15.75" thickBot="1">
      <c r="C21" s="2179"/>
      <c r="D21" s="874" t="s">
        <v>1877</v>
      </c>
      <c r="E21" s="874" t="s">
        <v>1878</v>
      </c>
      <c r="F21" s="889">
        <v>663.30987226424088</v>
      </c>
      <c r="I21" s="877">
        <v>18</v>
      </c>
      <c r="J21" s="878" t="s">
        <v>2128</v>
      </c>
      <c r="K21" s="878" t="s">
        <v>2129</v>
      </c>
      <c r="L21" s="879">
        <v>371.33</v>
      </c>
    </row>
    <row r="22" spans="3:12">
      <c r="C22" s="2177">
        <v>8</v>
      </c>
      <c r="D22" s="869" t="s">
        <v>2070</v>
      </c>
      <c r="E22" s="2189" t="s">
        <v>2086</v>
      </c>
      <c r="F22" s="2183" t="s">
        <v>2167</v>
      </c>
      <c r="I22" s="877">
        <v>19</v>
      </c>
      <c r="J22" s="878" t="s">
        <v>2130</v>
      </c>
      <c r="K22" s="878" t="s">
        <v>2131</v>
      </c>
      <c r="L22" s="879">
        <v>371.33</v>
      </c>
    </row>
    <row r="23" spans="3:12">
      <c r="C23" s="2178"/>
      <c r="D23" s="870" t="s">
        <v>2071</v>
      </c>
      <c r="E23" s="2190"/>
      <c r="F23" s="2184"/>
      <c r="I23" s="877">
        <v>20</v>
      </c>
      <c r="J23" s="878" t="s">
        <v>2132</v>
      </c>
      <c r="K23" s="878" t="s">
        <v>2133</v>
      </c>
      <c r="L23" s="879">
        <v>122.9</v>
      </c>
    </row>
    <row r="24" spans="3:12">
      <c r="C24" s="2178"/>
      <c r="D24" s="870" t="s">
        <v>2072</v>
      </c>
      <c r="E24" s="2190"/>
      <c r="F24" s="2184"/>
      <c r="I24" s="877">
        <v>21</v>
      </c>
      <c r="J24" s="878" t="s">
        <v>2134</v>
      </c>
      <c r="K24" s="878" t="s">
        <v>2135</v>
      </c>
      <c r="L24" s="879">
        <v>122.9</v>
      </c>
    </row>
    <row r="25" spans="3:12">
      <c r="C25" s="2178"/>
      <c r="D25" s="870" t="s">
        <v>2073</v>
      </c>
      <c r="E25" s="2190"/>
      <c r="F25" s="2184"/>
      <c r="I25" s="877">
        <v>22</v>
      </c>
      <c r="J25" s="878" t="s">
        <v>2136</v>
      </c>
      <c r="K25" s="878" t="s">
        <v>2137</v>
      </c>
      <c r="L25" s="879">
        <v>677.48</v>
      </c>
    </row>
    <row r="26" spans="3:12" ht="15.75" thickBot="1">
      <c r="C26" s="2179"/>
      <c r="D26" s="874" t="s">
        <v>2074</v>
      </c>
      <c r="E26" s="2191"/>
      <c r="F26" s="2185"/>
      <c r="I26" s="877">
        <v>23</v>
      </c>
      <c r="J26" s="878" t="s">
        <v>2138</v>
      </c>
      <c r="K26" s="878" t="s">
        <v>2139</v>
      </c>
      <c r="L26" s="879">
        <v>520.39</v>
      </c>
    </row>
    <row r="27" spans="3:12">
      <c r="C27" s="2177">
        <v>9</v>
      </c>
      <c r="D27" s="869" t="s">
        <v>2075</v>
      </c>
      <c r="E27" s="2189" t="s">
        <v>2087</v>
      </c>
      <c r="F27" s="2183" t="str">
        <f>F22</f>
        <v>Under feasibility</v>
      </c>
      <c r="I27" s="877">
        <v>24</v>
      </c>
      <c r="J27" s="878" t="s">
        <v>2140</v>
      </c>
      <c r="K27" s="878" t="s">
        <v>2141</v>
      </c>
      <c r="L27" s="879">
        <v>5916.11</v>
      </c>
    </row>
    <row r="28" spans="3:12">
      <c r="C28" s="2178"/>
      <c r="D28" s="870" t="s">
        <v>2076</v>
      </c>
      <c r="E28" s="2190"/>
      <c r="F28" s="2184"/>
      <c r="I28" s="877">
        <v>25</v>
      </c>
      <c r="J28" s="878" t="s">
        <v>2142</v>
      </c>
      <c r="K28" s="878" t="s">
        <v>2143</v>
      </c>
      <c r="L28" s="879">
        <v>108.52</v>
      </c>
    </row>
    <row r="29" spans="3:12">
      <c r="C29" s="2178"/>
      <c r="D29" s="870" t="s">
        <v>2077</v>
      </c>
      <c r="E29" s="2190"/>
      <c r="F29" s="2184"/>
      <c r="I29" s="877">
        <v>26</v>
      </c>
      <c r="J29" s="878" t="s">
        <v>2144</v>
      </c>
      <c r="K29" s="878" t="s">
        <v>2145</v>
      </c>
      <c r="L29" s="879">
        <v>108.52</v>
      </c>
    </row>
    <row r="30" spans="3:12">
      <c r="C30" s="2178"/>
      <c r="D30" s="870" t="s">
        <v>2078</v>
      </c>
      <c r="E30" s="2190"/>
      <c r="F30" s="2184"/>
      <c r="I30" s="877">
        <v>27</v>
      </c>
      <c r="J30" s="878" t="s">
        <v>2146</v>
      </c>
      <c r="K30" s="878" t="s">
        <v>2147</v>
      </c>
      <c r="L30" s="879">
        <v>256.57</v>
      </c>
    </row>
    <row r="31" spans="3:12" ht="15.75" thickBot="1">
      <c r="C31" s="2179"/>
      <c r="D31" s="874" t="s">
        <v>2079</v>
      </c>
      <c r="E31" s="2191"/>
      <c r="F31" s="2185"/>
      <c r="I31" s="877">
        <v>28</v>
      </c>
      <c r="J31" s="878" t="s">
        <v>2148</v>
      </c>
      <c r="K31" s="878" t="s">
        <v>2149</v>
      </c>
      <c r="L31" s="879">
        <v>256.57</v>
      </c>
    </row>
    <row r="32" spans="3:12">
      <c r="C32" s="2177">
        <v>10</v>
      </c>
      <c r="D32" s="869" t="s">
        <v>2080</v>
      </c>
      <c r="E32" s="2186" t="s">
        <v>2088</v>
      </c>
      <c r="F32" s="2174" t="str">
        <f>F27</f>
        <v>Under feasibility</v>
      </c>
      <c r="I32" s="877">
        <v>29</v>
      </c>
      <c r="J32" s="878" t="s">
        <v>2150</v>
      </c>
      <c r="K32" s="878" t="s">
        <v>2151</v>
      </c>
      <c r="L32" s="879">
        <v>545.03</v>
      </c>
    </row>
    <row r="33" spans="3:12" ht="15.75" thickBot="1">
      <c r="C33" s="2178"/>
      <c r="D33" s="870" t="s">
        <v>2081</v>
      </c>
      <c r="E33" s="2187"/>
      <c r="F33" s="2175"/>
      <c r="I33" s="880">
        <v>30</v>
      </c>
      <c r="J33" s="881" t="s">
        <v>2152</v>
      </c>
      <c r="K33" s="881" t="s">
        <v>2153</v>
      </c>
      <c r="L33" s="882">
        <v>545.03</v>
      </c>
    </row>
    <row r="34" spans="3:12">
      <c r="C34" s="2178"/>
      <c r="D34" s="870" t="s">
        <v>2082</v>
      </c>
      <c r="E34" s="2187" t="s">
        <v>2089</v>
      </c>
      <c r="F34" s="2175"/>
    </row>
    <row r="35" spans="3:12">
      <c r="C35" s="2178"/>
      <c r="D35" s="870" t="s">
        <v>2083</v>
      </c>
      <c r="E35" s="2187"/>
      <c r="F35" s="2175"/>
    </row>
    <row r="36" spans="3:12">
      <c r="C36" s="2178"/>
      <c r="D36" s="870" t="s">
        <v>2084</v>
      </c>
      <c r="E36" s="2187"/>
      <c r="F36" s="2175"/>
    </row>
    <row r="37" spans="3:12" ht="15.75" thickBot="1">
      <c r="C37" s="2179"/>
      <c r="D37" s="874" t="s">
        <v>2085</v>
      </c>
      <c r="E37" s="2188"/>
      <c r="F37" s="2176"/>
    </row>
    <row r="38" spans="3:12">
      <c r="C38" s="2177">
        <v>11</v>
      </c>
      <c r="D38" s="869" t="s">
        <v>2154</v>
      </c>
      <c r="E38" s="2189" t="s">
        <v>2155</v>
      </c>
      <c r="F38" s="2183" t="str">
        <f>F32</f>
        <v>Under feasibility</v>
      </c>
    </row>
    <row r="39" spans="3:12">
      <c r="C39" s="2178"/>
      <c r="D39" s="870" t="s">
        <v>2156</v>
      </c>
      <c r="E39" s="2190"/>
      <c r="F39" s="2184"/>
    </row>
    <row r="40" spans="3:12">
      <c r="C40" s="2178"/>
      <c r="D40" s="870" t="s">
        <v>2157</v>
      </c>
      <c r="E40" s="2190"/>
      <c r="F40" s="2184"/>
    </row>
    <row r="41" spans="3:12" ht="15.75" thickBot="1">
      <c r="C41" s="2179"/>
      <c r="D41" s="874" t="s">
        <v>2158</v>
      </c>
      <c r="E41" s="2191"/>
      <c r="F41" s="2185"/>
    </row>
    <row r="42" spans="3:12">
      <c r="C42" s="2177">
        <v>12</v>
      </c>
      <c r="D42" s="869" t="s">
        <v>2159</v>
      </c>
      <c r="E42" s="2186" t="s">
        <v>125</v>
      </c>
      <c r="F42" s="2174" t="str">
        <f>F38</f>
        <v>Under feasibility</v>
      </c>
    </row>
    <row r="43" spans="3:12">
      <c r="C43" s="2178"/>
      <c r="D43" s="870" t="s">
        <v>2160</v>
      </c>
      <c r="E43" s="2187"/>
      <c r="F43" s="2175"/>
    </row>
    <row r="44" spans="3:12">
      <c r="C44" s="2178"/>
      <c r="D44" s="870" t="s">
        <v>2161</v>
      </c>
      <c r="E44" s="2187" t="s">
        <v>2162</v>
      </c>
      <c r="F44" s="2175"/>
    </row>
    <row r="45" spans="3:12">
      <c r="C45" s="2178"/>
      <c r="D45" s="870" t="s">
        <v>2163</v>
      </c>
      <c r="E45" s="2187"/>
      <c r="F45" s="2175"/>
    </row>
    <row r="46" spans="3:12" ht="15.75" thickBot="1">
      <c r="C46" s="2179"/>
      <c r="D46" s="874" t="s">
        <v>2164</v>
      </c>
      <c r="E46" s="2188"/>
      <c r="F46" s="2176"/>
    </row>
  </sheetData>
  <mergeCells count="25">
    <mergeCell ref="E22:E26"/>
    <mergeCell ref="E27:E31"/>
    <mergeCell ref="C2:F2"/>
    <mergeCell ref="C4:C9"/>
    <mergeCell ref="C10:C12"/>
    <mergeCell ref="C14:C15"/>
    <mergeCell ref="C16:C17"/>
    <mergeCell ref="C18:C19"/>
    <mergeCell ref="C20:C21"/>
    <mergeCell ref="F42:F46"/>
    <mergeCell ref="F32:F37"/>
    <mergeCell ref="C32:C37"/>
    <mergeCell ref="C42:C46"/>
    <mergeCell ref="I2:L2"/>
    <mergeCell ref="F22:F26"/>
    <mergeCell ref="F27:F31"/>
    <mergeCell ref="F38:F41"/>
    <mergeCell ref="E32:E33"/>
    <mergeCell ref="E34:E37"/>
    <mergeCell ref="E38:E41"/>
    <mergeCell ref="E42:E43"/>
    <mergeCell ref="E44:E46"/>
    <mergeCell ref="C22:C26"/>
    <mergeCell ref="C27:C31"/>
    <mergeCell ref="C38:C41"/>
  </mergeCells>
  <pageMargins left="0.7" right="0.7" top="0.75" bottom="0.75" header="0.3" footer="0.3"/>
  <pageSetup paperSize="9" scale="72"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7"/>
  <sheetViews>
    <sheetView showGridLines="0" zoomScale="56" zoomScaleNormal="70" workbookViewId="0">
      <pane xSplit="7" ySplit="2" topLeftCell="P30" activePane="bottomRight" state="frozen"/>
      <selection pane="topRight" activeCell="I1" sqref="I1"/>
      <selection pane="bottomLeft" activeCell="A3" sqref="A3"/>
      <selection pane="bottomRight" sqref="A1:X37"/>
    </sheetView>
  </sheetViews>
  <sheetFormatPr defaultColWidth="9.140625" defaultRowHeight="15.75"/>
  <cols>
    <col min="1" max="1" width="9.5703125" style="729" customWidth="1"/>
    <col min="2" max="2" width="14.42578125" style="729" customWidth="1"/>
    <col min="3" max="3" width="10.140625" style="729" hidden="1" customWidth="1"/>
    <col min="4" max="4" width="26.5703125" style="729" customWidth="1"/>
    <col min="5" max="5" width="30.28515625" style="729" customWidth="1"/>
    <col min="6" max="6" width="48.42578125" style="729" bestFit="1" customWidth="1"/>
    <col min="7" max="7" width="17.5703125" style="729" customWidth="1"/>
    <col min="8" max="8" width="15.85546875" style="729" bestFit="1" customWidth="1"/>
    <col min="9" max="10" width="12.42578125" style="729" customWidth="1"/>
    <col min="11" max="11" width="19.5703125" style="729" bestFit="1" customWidth="1"/>
    <col min="12" max="12" width="17.42578125" style="729" customWidth="1"/>
    <col min="13" max="13" width="15.5703125" style="729" bestFit="1" customWidth="1"/>
    <col min="14" max="15" width="13.28515625" style="729" customWidth="1"/>
    <col min="16" max="16" width="11.5703125" style="729" customWidth="1"/>
    <col min="17" max="17" width="17.140625" style="729" bestFit="1" customWidth="1"/>
    <col min="18" max="18" width="18.5703125" style="729" customWidth="1"/>
    <col min="19" max="19" width="15.42578125" style="729" bestFit="1" customWidth="1"/>
    <col min="20" max="21" width="14.42578125" style="729" customWidth="1"/>
    <col min="22" max="24" width="15.28515625" style="729" customWidth="1"/>
    <col min="25" max="16384" width="9.140625" style="729"/>
  </cols>
  <sheetData>
    <row r="1" spans="1:24" ht="23.25">
      <c r="A1" s="2198" t="s">
        <v>2556</v>
      </c>
      <c r="B1" s="2200" t="s">
        <v>1</v>
      </c>
      <c r="C1" s="2202" t="s">
        <v>1665</v>
      </c>
      <c r="D1" s="2202" t="s">
        <v>5</v>
      </c>
      <c r="E1" s="2202" t="s">
        <v>3</v>
      </c>
      <c r="F1" s="2202" t="s">
        <v>4</v>
      </c>
      <c r="G1" s="2202" t="s">
        <v>2362</v>
      </c>
      <c r="H1" s="1186"/>
      <c r="I1" s="1186"/>
      <c r="J1" s="1186"/>
      <c r="K1" s="2207" t="s">
        <v>349</v>
      </c>
      <c r="L1" s="2207"/>
      <c r="M1" s="2207"/>
      <c r="N1" s="2207"/>
      <c r="O1" s="2207"/>
      <c r="P1" s="2207"/>
      <c r="Q1" s="2207"/>
      <c r="R1" s="2207"/>
      <c r="S1" s="2207"/>
      <c r="T1" s="1186"/>
      <c r="U1" s="1186"/>
      <c r="V1" s="2202" t="s">
        <v>24</v>
      </c>
      <c r="W1" s="2202" t="s">
        <v>25</v>
      </c>
      <c r="X1" s="2205" t="s">
        <v>26</v>
      </c>
    </row>
    <row r="2" spans="1:24" ht="233.25" thickBot="1">
      <c r="A2" s="2199"/>
      <c r="B2" s="2201"/>
      <c r="C2" s="2203"/>
      <c r="D2" s="2203"/>
      <c r="E2" s="2203"/>
      <c r="F2" s="2203"/>
      <c r="G2" s="2203"/>
      <c r="H2" s="1122" t="s">
        <v>2396</v>
      </c>
      <c r="I2" s="1122" t="s">
        <v>2397</v>
      </c>
      <c r="J2" s="1122" t="s">
        <v>2398</v>
      </c>
      <c r="K2" s="1123" t="s">
        <v>2238</v>
      </c>
      <c r="L2" s="1123" t="s">
        <v>1240</v>
      </c>
      <c r="M2" s="1122" t="s">
        <v>249</v>
      </c>
      <c r="N2" s="1122" t="s">
        <v>2394</v>
      </c>
      <c r="O2" s="1122" t="s">
        <v>2395</v>
      </c>
      <c r="P2" s="1122" t="s">
        <v>2385</v>
      </c>
      <c r="Q2" s="1123" t="s">
        <v>2383</v>
      </c>
      <c r="R2" s="1123" t="s">
        <v>2387</v>
      </c>
      <c r="S2" s="1123" t="s">
        <v>2386</v>
      </c>
      <c r="T2" s="1122" t="s">
        <v>19</v>
      </c>
      <c r="U2" s="1122" t="s">
        <v>2384</v>
      </c>
      <c r="V2" s="2203"/>
      <c r="W2" s="2203"/>
      <c r="X2" s="2206"/>
    </row>
    <row r="3" spans="1:24" ht="23.25">
      <c r="A3" s="1124">
        <v>1</v>
      </c>
      <c r="B3" s="1125" t="s">
        <v>2300</v>
      </c>
      <c r="C3" s="1125" t="s">
        <v>29</v>
      </c>
      <c r="D3" s="1125" t="s">
        <v>2301</v>
      </c>
      <c r="E3" s="1125" t="s">
        <v>2302</v>
      </c>
      <c r="F3" s="1126" t="s">
        <v>2303</v>
      </c>
      <c r="G3" s="1127">
        <v>42000</v>
      </c>
      <c r="H3" s="1125">
        <v>1.7230000000000001</v>
      </c>
      <c r="I3" s="1125">
        <v>1.028</v>
      </c>
      <c r="J3" s="1128">
        <f>I3/H3</f>
        <v>0.59663377829367381</v>
      </c>
      <c r="K3" s="1129">
        <v>110.23824350640001</v>
      </c>
      <c r="L3" s="1129">
        <v>152.46365539631498</v>
      </c>
      <c r="M3" s="1129">
        <v>9.5516654381279995</v>
      </c>
      <c r="N3" s="1129"/>
      <c r="O3" s="1129"/>
      <c r="P3" s="1130">
        <f t="shared" ref="P3:P11" si="0">M3/(L3-N3-O3)</f>
        <v>6.2648802518208951E-2</v>
      </c>
      <c r="Q3" s="1129">
        <v>155.09425845375</v>
      </c>
      <c r="R3" s="1129">
        <v>7</v>
      </c>
      <c r="S3" s="1129">
        <v>6.4640168999999998</v>
      </c>
      <c r="T3" s="1129">
        <f t="shared" ref="T3:T36" si="1">L3*G3/10^7</f>
        <v>0.64034735266452292</v>
      </c>
      <c r="U3" s="1128">
        <f>K3/(L3-N3-O3)</f>
        <v>0.72304604805549255</v>
      </c>
      <c r="V3" s="1129">
        <v>0.76</v>
      </c>
      <c r="W3" s="1129">
        <v>0.76</v>
      </c>
      <c r="X3" s="1131">
        <v>0.75</v>
      </c>
    </row>
    <row r="4" spans="1:24" ht="24" thickBot="1">
      <c r="A4" s="1132">
        <v>2</v>
      </c>
      <c r="B4" s="1133" t="s">
        <v>2300</v>
      </c>
      <c r="C4" s="1133" t="s">
        <v>29</v>
      </c>
      <c r="D4" s="1133" t="s">
        <v>2301</v>
      </c>
      <c r="E4" s="1133" t="s">
        <v>2304</v>
      </c>
      <c r="F4" s="1134" t="s">
        <v>2305</v>
      </c>
      <c r="G4" s="1135">
        <v>42000</v>
      </c>
      <c r="H4" s="1133">
        <v>1.7230000000000001</v>
      </c>
      <c r="I4" s="1133">
        <v>1.028</v>
      </c>
      <c r="J4" s="1136">
        <f>I4/H4</f>
        <v>0.59663377829367381</v>
      </c>
      <c r="K4" s="1137">
        <v>110.23824350640001</v>
      </c>
      <c r="L4" s="1137">
        <v>152.46365539631498</v>
      </c>
      <c r="M4" s="1137">
        <v>9.5516654381279995</v>
      </c>
      <c r="N4" s="1137"/>
      <c r="O4" s="1137"/>
      <c r="P4" s="1138">
        <f t="shared" si="0"/>
        <v>6.2648802518208951E-2</v>
      </c>
      <c r="Q4" s="1137">
        <v>155.09425845375</v>
      </c>
      <c r="R4" s="1137">
        <v>7</v>
      </c>
      <c r="S4" s="1137">
        <v>6.4640168999999998</v>
      </c>
      <c r="T4" s="1137">
        <f t="shared" si="1"/>
        <v>0.64034735266452292</v>
      </c>
      <c r="U4" s="1136">
        <f t="shared" ref="U4:U30" si="2">K4/(L4-N4-O4)</f>
        <v>0.72304604805549255</v>
      </c>
      <c r="V4" s="1137">
        <v>0.76</v>
      </c>
      <c r="W4" s="1137">
        <v>0.76</v>
      </c>
      <c r="X4" s="1139">
        <v>0.75</v>
      </c>
    </row>
    <row r="5" spans="1:24" ht="24" thickBot="1">
      <c r="A5" s="1140">
        <v>3</v>
      </c>
      <c r="B5" s="1141" t="s">
        <v>2300</v>
      </c>
      <c r="C5" s="1141" t="s">
        <v>29</v>
      </c>
      <c r="D5" s="1141" t="s">
        <v>2310</v>
      </c>
      <c r="E5" s="1141" t="s">
        <v>2311</v>
      </c>
      <c r="F5" s="1142" t="s">
        <v>2325</v>
      </c>
      <c r="G5" s="1143">
        <v>137769</v>
      </c>
      <c r="H5" s="1141">
        <v>1.27</v>
      </c>
      <c r="I5" s="1141">
        <v>0.79100000000000004</v>
      </c>
      <c r="J5" s="1144">
        <f>I5/H5</f>
        <v>0.62283464566929136</v>
      </c>
      <c r="K5" s="1145">
        <v>82.698068754560012</v>
      </c>
      <c r="L5" s="1145">
        <v>135.69116529403377</v>
      </c>
      <c r="M5" s="1145">
        <v>11.400964837408557</v>
      </c>
      <c r="N5" s="1145"/>
      <c r="O5" s="1145"/>
      <c r="P5" s="1146">
        <f t="shared" si="0"/>
        <v>8.4021423301240142E-2</v>
      </c>
      <c r="Q5" s="1145">
        <v>230.49114164999997</v>
      </c>
      <c r="R5" s="1145">
        <v>8</v>
      </c>
      <c r="S5" s="1145">
        <v>8.4126590000000014</v>
      </c>
      <c r="T5" s="1145">
        <f t="shared" si="1"/>
        <v>1.8694036151393738</v>
      </c>
      <c r="U5" s="1144">
        <f t="shared" si="2"/>
        <v>0.6094580186953128</v>
      </c>
      <c r="V5" s="1145">
        <v>0.67845582647016889</v>
      </c>
      <c r="W5" s="1145">
        <v>0.67506354733781804</v>
      </c>
      <c r="X5" s="1147">
        <v>0.67168822960112895</v>
      </c>
    </row>
    <row r="6" spans="1:24" ht="23.25">
      <c r="A6" s="1124">
        <v>4</v>
      </c>
      <c r="B6" s="1125" t="s">
        <v>2300</v>
      </c>
      <c r="C6" s="1125" t="s">
        <v>29</v>
      </c>
      <c r="D6" s="1125" t="s">
        <v>2312</v>
      </c>
      <c r="E6" s="1125" t="s">
        <v>2313</v>
      </c>
      <c r="F6" s="1126" t="s">
        <v>2317</v>
      </c>
      <c r="G6" s="1127">
        <v>149150</v>
      </c>
      <c r="H6" s="1125">
        <v>3.8559999999999999</v>
      </c>
      <c r="I6" s="1125">
        <v>2.1859999999999999</v>
      </c>
      <c r="J6" s="1128">
        <f>I6/H6</f>
        <v>0.56690871369294604</v>
      </c>
      <c r="K6" s="1129">
        <v>242.78766416200003</v>
      </c>
      <c r="L6" s="1129">
        <v>383.4868256828355</v>
      </c>
      <c r="M6" s="1129">
        <f>28.2152895474257</f>
        <v>28.215289547425701</v>
      </c>
      <c r="N6" s="1129">
        <v>7.385814382383824</v>
      </c>
      <c r="O6" s="1129">
        <v>7.5104928371007666</v>
      </c>
      <c r="P6" s="1130">
        <f t="shared" si="0"/>
        <v>7.6549146367233964E-2</v>
      </c>
      <c r="Q6" s="1129">
        <v>430.95780769965</v>
      </c>
      <c r="R6" s="1129">
        <v>70.75</v>
      </c>
      <c r="S6" s="1129">
        <v>16.319333159999999</v>
      </c>
      <c r="T6" s="1129">
        <f t="shared" si="1"/>
        <v>5.7197060050594919</v>
      </c>
      <c r="U6" s="1128">
        <f t="shared" si="2"/>
        <v>0.65869210411102985</v>
      </c>
      <c r="V6" s="1129">
        <v>3.8348682568283552</v>
      </c>
      <c r="W6" s="1129">
        <v>3.7965195742600715</v>
      </c>
      <c r="X6" s="1131">
        <v>3.7585543785174709</v>
      </c>
    </row>
    <row r="7" spans="1:24" ht="23.25">
      <c r="A7" s="1148">
        <v>5</v>
      </c>
      <c r="B7" s="1149" t="s">
        <v>2300</v>
      </c>
      <c r="C7" s="1149" t="s">
        <v>29</v>
      </c>
      <c r="D7" s="1149" t="s">
        <v>2312</v>
      </c>
      <c r="E7" s="1149" t="s">
        <v>2314</v>
      </c>
      <c r="F7" s="1150" t="s">
        <v>2318</v>
      </c>
      <c r="G7" s="1149">
        <v>23061</v>
      </c>
      <c r="H7" s="1149"/>
      <c r="I7" s="1149"/>
      <c r="J7" s="1151"/>
      <c r="K7" s="1152">
        <v>229.21480662200003</v>
      </c>
      <c r="L7" s="1152">
        <v>348.02713997350429</v>
      </c>
      <c r="M7" s="1152">
        <f>23.8491349589513</f>
        <v>23.8491349589513</v>
      </c>
      <c r="N7" s="1152">
        <v>7.385814382383824</v>
      </c>
      <c r="O7" s="1152">
        <v>6.2716157709122022</v>
      </c>
      <c r="P7" s="1153">
        <f t="shared" si="0"/>
        <v>7.1325644215126618E-2</v>
      </c>
      <c r="Q7" s="1152"/>
      <c r="R7" s="1152">
        <v>0</v>
      </c>
      <c r="S7" s="1152"/>
      <c r="T7" s="1152">
        <f t="shared" si="1"/>
        <v>0.80258538749289821</v>
      </c>
      <c r="U7" s="1151">
        <f t="shared" si="2"/>
        <v>0.6855130709813686</v>
      </c>
      <c r="V7" s="1152">
        <v>3.480271399735043</v>
      </c>
      <c r="W7" s="1152">
        <v>3.4454686857376924</v>
      </c>
      <c r="X7" s="1154">
        <v>3.4110139988803154</v>
      </c>
    </row>
    <row r="8" spans="1:24" ht="23.25">
      <c r="A8" s="1148">
        <v>6</v>
      </c>
      <c r="B8" s="1149" t="s">
        <v>2300</v>
      </c>
      <c r="C8" s="1149" t="s">
        <v>29</v>
      </c>
      <c r="D8" s="1149" t="s">
        <v>2312</v>
      </c>
      <c r="E8" s="1149" t="s">
        <v>2315</v>
      </c>
      <c r="F8" s="1150" t="s">
        <v>2319</v>
      </c>
      <c r="G8" s="1155">
        <v>149150</v>
      </c>
      <c r="H8" s="1149">
        <v>3.6059999999999999</v>
      </c>
      <c r="I8" s="1149">
        <v>2.028</v>
      </c>
      <c r="J8" s="1151">
        <f>I8/H8</f>
        <v>0.5623960066555741</v>
      </c>
      <c r="K8" s="1152">
        <v>229.81798662200001</v>
      </c>
      <c r="L8" s="1152">
        <v>349.13420295150422</v>
      </c>
      <c r="M8" s="1152">
        <f>23.9486985589513</f>
        <v>23.9486985589513</v>
      </c>
      <c r="N8" s="1152">
        <v>7.385814382383824</v>
      </c>
      <c r="O8" s="1152">
        <v>6.3001374489122037</v>
      </c>
      <c r="P8" s="1153">
        <f t="shared" si="0"/>
        <v>7.1393123913975218E-2</v>
      </c>
      <c r="Q8" s="1152">
        <v>390.35358313874997</v>
      </c>
      <c r="R8" s="1152">
        <v>58.75</v>
      </c>
      <c r="S8" s="1152">
        <v>16.319333159999999</v>
      </c>
      <c r="T8" s="1152">
        <f t="shared" si="1"/>
        <v>5.2073366370216858</v>
      </c>
      <c r="U8" s="1151">
        <f t="shared" si="2"/>
        <v>0.68510712413773933</v>
      </c>
      <c r="V8" s="1152">
        <v>3.4913420295150428</v>
      </c>
      <c r="W8" s="1152">
        <v>3.4564286092198921</v>
      </c>
      <c r="X8" s="1154">
        <v>3.4218643231276933</v>
      </c>
    </row>
    <row r="9" spans="1:24" ht="24" thickBot="1">
      <c r="A9" s="1132">
        <v>7</v>
      </c>
      <c r="B9" s="1133" t="s">
        <v>2300</v>
      </c>
      <c r="C9" s="1133" t="s">
        <v>29</v>
      </c>
      <c r="D9" s="1133" t="s">
        <v>2312</v>
      </c>
      <c r="E9" s="1133" t="s">
        <v>2316</v>
      </c>
      <c r="F9" s="1134" t="s">
        <v>2320</v>
      </c>
      <c r="G9" s="1133">
        <v>23061</v>
      </c>
      <c r="H9" s="1133"/>
      <c r="I9" s="1133"/>
      <c r="J9" s="1133"/>
      <c r="K9" s="1137">
        <v>243.36061816200001</v>
      </c>
      <c r="L9" s="1137">
        <v>383.44479470350245</v>
      </c>
      <c r="M9" s="1137">
        <f>28.1089489121286</f>
        <v>28.1089489121286</v>
      </c>
      <c r="N9" s="1137">
        <v>7.385814382383824</v>
      </c>
      <c r="O9" s="1137">
        <v>7.4756823665724834</v>
      </c>
      <c r="P9" s="1138">
        <f t="shared" si="0"/>
        <v>7.62621341447626E-2</v>
      </c>
      <c r="Q9" s="1137">
        <v>10.563830276999999</v>
      </c>
      <c r="R9" s="1137">
        <v>3</v>
      </c>
      <c r="S9" s="1137"/>
      <c r="T9" s="1137">
        <f t="shared" si="1"/>
        <v>0.88426204106574691</v>
      </c>
      <c r="U9" s="1136">
        <f t="shared" si="2"/>
        <v>0.66025948411805502</v>
      </c>
      <c r="V9" s="1137">
        <v>3.834447947035025</v>
      </c>
      <c r="W9" s="1137">
        <v>3.796103467564675</v>
      </c>
      <c r="X9" s="1139">
        <v>3.7581424328890285</v>
      </c>
    </row>
    <row r="10" spans="1:24" ht="24" thickBot="1">
      <c r="A10" s="1156">
        <v>8</v>
      </c>
      <c r="B10" s="1157" t="s">
        <v>2300</v>
      </c>
      <c r="C10" s="1157" t="s">
        <v>29</v>
      </c>
      <c r="D10" s="1157" t="s">
        <v>2322</v>
      </c>
      <c r="E10" s="1157" t="s">
        <v>2323</v>
      </c>
      <c r="F10" s="1158" t="s">
        <v>2324</v>
      </c>
      <c r="G10" s="1159">
        <v>172211</v>
      </c>
      <c r="H10" s="1157">
        <v>0.65500000000000003</v>
      </c>
      <c r="I10" s="1157">
        <v>0.38</v>
      </c>
      <c r="J10" s="1160">
        <f>I10/H10</f>
        <v>0.58015267175572516</v>
      </c>
      <c r="K10" s="1161">
        <v>41.463294737500007</v>
      </c>
      <c r="L10" s="1161">
        <v>65.835576905849351</v>
      </c>
      <c r="M10" s="1161">
        <v>5.2108699037854267</v>
      </c>
      <c r="N10" s="1161"/>
      <c r="O10" s="1161"/>
      <c r="P10" s="1162">
        <f t="shared" si="0"/>
        <v>7.9149756844045391E-2</v>
      </c>
      <c r="Q10" s="1161">
        <v>74.338168905000003</v>
      </c>
      <c r="R10" s="1161">
        <v>5</v>
      </c>
      <c r="S10" s="1161">
        <v>5.6747434000000005</v>
      </c>
      <c r="T10" s="1161">
        <f t="shared" si="1"/>
        <v>1.1337610534533222</v>
      </c>
      <c r="U10" s="1160">
        <f t="shared" si="2"/>
        <v>0.62980073519817648</v>
      </c>
      <c r="V10" s="1161">
        <v>0.32917788452924673</v>
      </c>
      <c r="W10" s="1161">
        <v>0.32753199510660053</v>
      </c>
      <c r="X10" s="1163">
        <v>0.32589433513106758</v>
      </c>
    </row>
    <row r="11" spans="1:24" ht="24" thickBot="1">
      <c r="A11" s="1140">
        <v>9</v>
      </c>
      <c r="B11" s="1157" t="s">
        <v>2300</v>
      </c>
      <c r="C11" s="1157" t="s">
        <v>29</v>
      </c>
      <c r="D11" s="1157" t="s">
        <v>2367</v>
      </c>
      <c r="E11" s="1157" t="s">
        <v>2368</v>
      </c>
      <c r="F11" s="1158" t="s">
        <v>138</v>
      </c>
      <c r="G11" s="1159">
        <v>172211</v>
      </c>
      <c r="H11" s="1157">
        <v>2.7989999999999999</v>
      </c>
      <c r="I11" s="1157">
        <v>1.8029999999999999</v>
      </c>
      <c r="J11" s="1160">
        <f>I11/H11</f>
        <v>0.64415862808145763</v>
      </c>
      <c r="K11" s="1161">
        <v>256.35298487679995</v>
      </c>
      <c r="L11" s="1161">
        <v>364.70226051791201</v>
      </c>
      <c r="M11" s="1161">
        <f>23.2163853573976</f>
        <v>23.216385357397598</v>
      </c>
      <c r="N11" s="1161">
        <v>7.385814382383824</v>
      </c>
      <c r="O11" s="1161">
        <v>6.053191271423735</v>
      </c>
      <c r="P11" s="1164">
        <f t="shared" si="0"/>
        <v>6.6093976628382248E-2</v>
      </c>
      <c r="Q11" s="1161">
        <v>548.74064866582501</v>
      </c>
      <c r="R11" s="1161">
        <v>60.25</v>
      </c>
      <c r="S11" s="1161">
        <v>82.460739333333322</v>
      </c>
      <c r="T11" s="1161">
        <f t="shared" si="1"/>
        <v>6.2805740986050145</v>
      </c>
      <c r="U11" s="1160">
        <f>K11/(L11-N11-O11)</f>
        <v>0.72980302188447499</v>
      </c>
      <c r="V11" s="1161">
        <v>3.6470226051791208</v>
      </c>
      <c r="W11" s="1161">
        <v>3.6105523791273293</v>
      </c>
      <c r="X11" s="1163">
        <v>3.5744468553360562</v>
      </c>
    </row>
    <row r="12" spans="1:24" ht="23.25">
      <c r="A12" s="1124">
        <v>10</v>
      </c>
      <c r="B12" s="1125" t="s">
        <v>2300</v>
      </c>
      <c r="C12" s="1125" t="s">
        <v>29</v>
      </c>
      <c r="D12" s="1125" t="s">
        <v>2326</v>
      </c>
      <c r="E12" s="1125" t="s">
        <v>2327</v>
      </c>
      <c r="F12" s="1126" t="s">
        <v>2328</v>
      </c>
      <c r="G12" s="1127">
        <v>130211</v>
      </c>
      <c r="H12" s="1125">
        <v>3.754</v>
      </c>
      <c r="I12" s="1125">
        <v>2.8849999999999998</v>
      </c>
      <c r="J12" s="1128">
        <f>I12/H12</f>
        <v>0.76851358550879056</v>
      </c>
      <c r="K12" s="1129">
        <v>487.25896986289371</v>
      </c>
      <c r="L12" s="1129">
        <v>649.81582900037017</v>
      </c>
      <c r="M12" s="1129">
        <v>35.736823263624402</v>
      </c>
      <c r="N12" s="1129">
        <v>16.045045037592448</v>
      </c>
      <c r="O12" s="1129">
        <v>8.9298481510750829</v>
      </c>
      <c r="P12" s="1165">
        <f>M12/(L12-N12-O12)</f>
        <v>5.719347311520221E-2</v>
      </c>
      <c r="Q12" s="1129">
        <v>604.77707407713751</v>
      </c>
      <c r="R12" s="1129">
        <v>88.75</v>
      </c>
      <c r="S12" s="1129">
        <v>51.936175359999993</v>
      </c>
      <c r="T12" s="1129">
        <f t="shared" si="1"/>
        <v>8.46131689099672</v>
      </c>
      <c r="U12" s="1128">
        <f t="shared" si="2"/>
        <v>0.77981281624885479</v>
      </c>
      <c r="V12" s="1129">
        <v>3.2490791450018506</v>
      </c>
      <c r="W12" s="1129">
        <v>3.2328337492768413</v>
      </c>
      <c r="X12" s="1131">
        <v>3.216669580530457</v>
      </c>
    </row>
    <row r="13" spans="1:24" ht="23.25">
      <c r="A13" s="1148">
        <v>11</v>
      </c>
      <c r="B13" s="1149" t="s">
        <v>2300</v>
      </c>
      <c r="C13" s="1149" t="s">
        <v>29</v>
      </c>
      <c r="D13" s="1149" t="s">
        <v>2326</v>
      </c>
      <c r="E13" s="1149" t="s">
        <v>2329</v>
      </c>
      <c r="F13" s="1150" t="s">
        <v>2330</v>
      </c>
      <c r="G13" s="1155">
        <v>130211</v>
      </c>
      <c r="H13" s="1149">
        <v>3.754</v>
      </c>
      <c r="I13" s="1149">
        <v>2.8849999999999998</v>
      </c>
      <c r="J13" s="1151">
        <f>I13/H13</f>
        <v>0.76851358550879056</v>
      </c>
      <c r="K13" s="1152">
        <v>487.25896986289371</v>
      </c>
      <c r="L13" s="1152">
        <v>649.81582900037017</v>
      </c>
      <c r="M13" s="1152">
        <v>35.736823263624402</v>
      </c>
      <c r="N13" s="1152">
        <v>16.045045037592448</v>
      </c>
      <c r="O13" s="1152">
        <v>8.9298481510750829</v>
      </c>
      <c r="P13" s="1166">
        <f>M13/(L13-N13-O13)</f>
        <v>5.719347311520221E-2</v>
      </c>
      <c r="Q13" s="1152">
        <v>604.77707407713751</v>
      </c>
      <c r="R13" s="1152">
        <v>88.75</v>
      </c>
      <c r="S13" s="1152">
        <v>51.936175359999993</v>
      </c>
      <c r="T13" s="1152">
        <f t="shared" si="1"/>
        <v>8.46131689099672</v>
      </c>
      <c r="U13" s="1151">
        <f t="shared" si="2"/>
        <v>0.77981281624885479</v>
      </c>
      <c r="V13" s="1152">
        <v>3.2490791450018506</v>
      </c>
      <c r="W13" s="1152">
        <v>3.2328337492768413</v>
      </c>
      <c r="X13" s="1154">
        <v>3.216669580530457</v>
      </c>
    </row>
    <row r="14" spans="1:24" ht="23.25">
      <c r="A14" s="1148">
        <v>12</v>
      </c>
      <c r="B14" s="1149" t="s">
        <v>2300</v>
      </c>
      <c r="C14" s="1149" t="s">
        <v>29</v>
      </c>
      <c r="D14" s="1149" t="s">
        <v>2326</v>
      </c>
      <c r="E14" s="1149" t="s">
        <v>2331</v>
      </c>
      <c r="F14" s="1150" t="s">
        <v>2328</v>
      </c>
      <c r="G14" s="1149">
        <v>42000</v>
      </c>
      <c r="H14" s="1149"/>
      <c r="I14" s="1149"/>
      <c r="J14" s="1149"/>
      <c r="K14" s="1152">
        <v>497.19189213809369</v>
      </c>
      <c r="L14" s="1152">
        <v>669.32404330633506</v>
      </c>
      <c r="M14" s="1152">
        <v>37.686749453880473</v>
      </c>
      <c r="N14" s="1152">
        <v>16.045045037592448</v>
      </c>
      <c r="O14" s="1152">
        <v>9.4718458131938554</v>
      </c>
      <c r="P14" s="1166">
        <f>M14/(L14-N14-O14)</f>
        <v>5.8537326449604077E-2</v>
      </c>
      <c r="Q14" s="1152">
        <v>26.091813848099999</v>
      </c>
      <c r="R14" s="1152">
        <v>5</v>
      </c>
      <c r="S14" s="1152">
        <v>0</v>
      </c>
      <c r="T14" s="1152">
        <f t="shared" si="1"/>
        <v>2.8111609818866072</v>
      </c>
      <c r="U14" s="1151">
        <f t="shared" si="2"/>
        <v>0.77226835744485145</v>
      </c>
      <c r="V14" s="1152">
        <v>3.346620216531675</v>
      </c>
      <c r="W14" s="1152">
        <v>3.3298871154490168</v>
      </c>
      <c r="X14" s="1154">
        <v>3.3132376798717718</v>
      </c>
    </row>
    <row r="15" spans="1:24" ht="24" thickBot="1">
      <c r="A15" s="1132">
        <v>13</v>
      </c>
      <c r="B15" s="1133" t="s">
        <v>2300</v>
      </c>
      <c r="C15" s="1133" t="s">
        <v>29</v>
      </c>
      <c r="D15" s="1133" t="s">
        <v>2326</v>
      </c>
      <c r="E15" s="1133" t="s">
        <v>2332</v>
      </c>
      <c r="F15" s="1134" t="s">
        <v>2330</v>
      </c>
      <c r="G15" s="1133">
        <v>42000</v>
      </c>
      <c r="H15" s="1133"/>
      <c r="I15" s="1133"/>
      <c r="J15" s="1133"/>
      <c r="K15" s="1137">
        <v>487.25896986289371</v>
      </c>
      <c r="L15" s="1137">
        <v>663.08677437069593</v>
      </c>
      <c r="M15" s="1137">
        <v>38.279091008376469</v>
      </c>
      <c r="N15" s="1137">
        <v>16.045045037592448</v>
      </c>
      <c r="O15" s="1137">
        <v>9.6810337380746549</v>
      </c>
      <c r="P15" s="1167">
        <f>M15/(L15-N15-O15)</f>
        <v>6.0058756796478922E-2</v>
      </c>
      <c r="Q15" s="1137">
        <v>26.091813848099999</v>
      </c>
      <c r="R15" s="1137">
        <v>5</v>
      </c>
      <c r="S15" s="1137">
        <v>0</v>
      </c>
      <c r="T15" s="1137">
        <f t="shared" si="1"/>
        <v>2.784964452356923</v>
      </c>
      <c r="U15" s="1136">
        <f t="shared" si="2"/>
        <v>0.7644948507657775</v>
      </c>
      <c r="V15" s="1137">
        <v>3.3154338718534793</v>
      </c>
      <c r="W15" s="1137">
        <v>3.2988567024942119</v>
      </c>
      <c r="X15" s="1139">
        <v>3.2823624189817413</v>
      </c>
    </row>
    <row r="16" spans="1:24" ht="23.25">
      <c r="A16" s="1124">
        <v>20</v>
      </c>
      <c r="B16" s="1125" t="s">
        <v>2300</v>
      </c>
      <c r="C16" s="1125" t="s">
        <v>29</v>
      </c>
      <c r="D16" s="1125" t="s">
        <v>2343</v>
      </c>
      <c r="E16" s="1125" t="s">
        <v>2340</v>
      </c>
      <c r="F16" s="1126" t="s">
        <v>471</v>
      </c>
      <c r="G16" s="1127">
        <v>172211</v>
      </c>
      <c r="H16" s="1125">
        <v>6.9589999999999996</v>
      </c>
      <c r="I16" s="1125">
        <v>3.7</v>
      </c>
      <c r="J16" s="1128">
        <f>I16/H16</f>
        <v>0.53168558700962787</v>
      </c>
      <c r="K16" s="1129">
        <v>447.56534631616006</v>
      </c>
      <c r="L16" s="1129">
        <v>773.15085653264714</v>
      </c>
      <c r="M16" s="1129">
        <v>65.899663496170433</v>
      </c>
      <c r="N16" s="1129">
        <v>6.1760689232002663</v>
      </c>
      <c r="O16" s="1129">
        <v>17.963127045156639</v>
      </c>
      <c r="P16" s="1165">
        <v>5.2400000000000002E-2</v>
      </c>
      <c r="Q16" s="1129">
        <v>1055.6057196762001</v>
      </c>
      <c r="R16" s="1129">
        <v>48.25</v>
      </c>
      <c r="S16" s="1129">
        <v>22.423079199999993</v>
      </c>
      <c r="T16" s="1129">
        <f t="shared" si="1"/>
        <v>13.314508215434369</v>
      </c>
      <c r="U16" s="1128">
        <f t="shared" si="2"/>
        <v>0.5975412264996961</v>
      </c>
      <c r="V16" s="1129">
        <v>11.597262847989708</v>
      </c>
      <c r="W16" s="1129">
        <v>11.423303905269862</v>
      </c>
      <c r="X16" s="1131">
        <v>11.251954346690813</v>
      </c>
    </row>
    <row r="17" spans="1:24" ht="24" thickBot="1">
      <c r="A17" s="1132">
        <v>21</v>
      </c>
      <c r="B17" s="1133" t="s">
        <v>2300</v>
      </c>
      <c r="C17" s="1133" t="s">
        <v>29</v>
      </c>
      <c r="D17" s="1133" t="s">
        <v>2343</v>
      </c>
      <c r="E17" s="1133" t="s">
        <v>2344</v>
      </c>
      <c r="F17" s="1134" t="s">
        <v>473</v>
      </c>
      <c r="G17" s="1135">
        <v>172211</v>
      </c>
      <c r="H17" s="1133">
        <v>6.9589999999999996</v>
      </c>
      <c r="I17" s="1133">
        <v>3.7</v>
      </c>
      <c r="J17" s="1136">
        <f>I17/H17</f>
        <v>0.53168558700962787</v>
      </c>
      <c r="K17" s="1137">
        <v>447.55239231616008</v>
      </c>
      <c r="L17" s="1137">
        <v>773.1460398611473</v>
      </c>
      <c r="M17" s="1137">
        <v>65.901154416170428</v>
      </c>
      <c r="N17" s="1137">
        <v>6.1760689232002663</v>
      </c>
      <c r="O17" s="1137">
        <v>17.963587648656642</v>
      </c>
      <c r="P17" s="1167">
        <v>5.2400000000000002E-2</v>
      </c>
      <c r="Q17" s="1137">
        <v>1055.6057196762001</v>
      </c>
      <c r="R17" s="1137">
        <v>48.25</v>
      </c>
      <c r="S17" s="1137">
        <v>22.423079199999993</v>
      </c>
      <c r="T17" s="1137">
        <f t="shared" si="1"/>
        <v>13.314425267052805</v>
      </c>
      <c r="U17" s="1136">
        <f t="shared" si="2"/>
        <v>0.59752814168380852</v>
      </c>
      <c r="V17" s="1137">
        <v>11.597190597917207</v>
      </c>
      <c r="W17" s="1137">
        <v>11.42323273894845</v>
      </c>
      <c r="X17" s="1139">
        <v>11.251884247864222</v>
      </c>
    </row>
    <row r="18" spans="1:24" ht="23.25">
      <c r="A18" s="1124">
        <v>22</v>
      </c>
      <c r="B18" s="1125" t="s">
        <v>2300</v>
      </c>
      <c r="C18" s="1125" t="s">
        <v>29</v>
      </c>
      <c r="D18" s="1125" t="s">
        <v>2345</v>
      </c>
      <c r="E18" s="1125" t="s">
        <v>2346</v>
      </c>
      <c r="F18" s="1126" t="s">
        <v>1111</v>
      </c>
      <c r="G18" s="1127">
        <v>172211</v>
      </c>
      <c r="H18" s="1125">
        <v>6.3520000000000003</v>
      </c>
      <c r="I18" s="1125">
        <v>4.226</v>
      </c>
      <c r="J18" s="1128">
        <f>I18/H18</f>
        <v>0.66530226700251882</v>
      </c>
      <c r="K18" s="1129">
        <v>489.57101538644395</v>
      </c>
      <c r="L18" s="1129">
        <v>784.38971546764185</v>
      </c>
      <c r="M18" s="1129">
        <v>60.099370069975159</v>
      </c>
      <c r="N18" s="1129">
        <v>28.397182883992972</v>
      </c>
      <c r="O18" s="1129">
        <v>16.239299067231663</v>
      </c>
      <c r="P18" s="1165">
        <f t="shared" ref="P18:P30" si="3">M18/(L18-N18-O18)</f>
        <v>8.1242456736948326E-2</v>
      </c>
      <c r="Q18" s="1129">
        <v>1089.5955246373312</v>
      </c>
      <c r="R18" s="1129">
        <v>161.5</v>
      </c>
      <c r="S18" s="1129">
        <v>87.663398639999997</v>
      </c>
      <c r="T18" s="1129">
        <f t="shared" si="1"/>
        <v>13.508053729039807</v>
      </c>
      <c r="U18" s="1128">
        <f t="shared" si="2"/>
        <v>0.66180314354189163</v>
      </c>
      <c r="V18" s="1129">
        <v>13.726820020683734</v>
      </c>
      <c r="W18" s="1129">
        <v>13.486600670321769</v>
      </c>
      <c r="X18" s="1131">
        <v>13.250585158591138</v>
      </c>
    </row>
    <row r="19" spans="1:24" ht="24" thickBot="1">
      <c r="A19" s="1132">
        <v>23</v>
      </c>
      <c r="B19" s="1133" t="s">
        <v>2300</v>
      </c>
      <c r="C19" s="1133" t="s">
        <v>29</v>
      </c>
      <c r="D19" s="1133" t="s">
        <v>2345</v>
      </c>
      <c r="E19" s="1133" t="s">
        <v>2348</v>
      </c>
      <c r="F19" s="1134" t="s">
        <v>1112</v>
      </c>
      <c r="G19" s="1135">
        <v>172211</v>
      </c>
      <c r="H19" s="1133">
        <v>6.3520000000000003</v>
      </c>
      <c r="I19" s="1133">
        <v>4.226</v>
      </c>
      <c r="J19" s="1136">
        <f>I19/H19</f>
        <v>0.66530226700251882</v>
      </c>
      <c r="K19" s="1137">
        <v>489.57533338644396</v>
      </c>
      <c r="L19" s="1137">
        <v>784.39434905084181</v>
      </c>
      <c r="M19" s="1137">
        <v>60.099456429975163</v>
      </c>
      <c r="N19" s="1137">
        <v>28.397182883992972</v>
      </c>
      <c r="O19" s="1137">
        <v>16.239316930431663</v>
      </c>
      <c r="P19" s="1167">
        <f t="shared" si="3"/>
        <v>8.1242066565444637E-2</v>
      </c>
      <c r="Q19" s="1137">
        <v>1063.2090941919562</v>
      </c>
      <c r="R19" s="1137">
        <v>156.5</v>
      </c>
      <c r="S19" s="1137">
        <v>87.663398639999997</v>
      </c>
      <c r="T19" s="1137">
        <f t="shared" si="1"/>
        <v>13.508133524439451</v>
      </c>
      <c r="U19" s="1136">
        <f t="shared" si="2"/>
        <v>0.66180485126556854</v>
      </c>
      <c r="V19" s="1137">
        <v>13.726901108389734</v>
      </c>
      <c r="W19" s="1137">
        <v>13.486680338992915</v>
      </c>
      <c r="X19" s="1139">
        <v>13.25066343306054</v>
      </c>
    </row>
    <row r="20" spans="1:24" ht="23.25">
      <c r="A20" s="1124">
        <v>24</v>
      </c>
      <c r="B20" s="1125" t="s">
        <v>2300</v>
      </c>
      <c r="C20" s="1125" t="s">
        <v>29</v>
      </c>
      <c r="D20" s="1125" t="s">
        <v>2350</v>
      </c>
      <c r="E20" s="1125" t="s">
        <v>2351</v>
      </c>
      <c r="F20" s="1126" t="s">
        <v>2352</v>
      </c>
      <c r="G20" s="1127">
        <v>149150</v>
      </c>
      <c r="H20" s="1125">
        <v>6.1970000000000001</v>
      </c>
      <c r="I20" s="1125">
        <v>3.476</v>
      </c>
      <c r="J20" s="1128">
        <f>I20/H20</f>
        <v>0.56091657253509764</v>
      </c>
      <c r="K20" s="1168">
        <v>551.15601164836801</v>
      </c>
      <c r="L20" s="1129">
        <v>798.52656623817268</v>
      </c>
      <c r="M20" s="1129">
        <v>52.590844298454719</v>
      </c>
      <c r="N20" s="1129">
        <v>9.8689761143921775</v>
      </c>
      <c r="O20" s="1129">
        <v>13.777755825438952</v>
      </c>
      <c r="P20" s="1165">
        <f t="shared" si="3"/>
        <v>6.7869677297869094E-2</v>
      </c>
      <c r="Q20" s="1129">
        <v>1568.791723143356</v>
      </c>
      <c r="R20" s="1169">
        <v>90.75</v>
      </c>
      <c r="S20" s="1129">
        <v>78.814427299999991</v>
      </c>
      <c r="T20" s="1129">
        <f t="shared" si="1"/>
        <v>11.910023735442344</v>
      </c>
      <c r="U20" s="1128">
        <f t="shared" si="2"/>
        <v>0.71127933293998169</v>
      </c>
      <c r="V20" s="1129">
        <v>11.977898493572591</v>
      </c>
      <c r="W20" s="1129">
        <v>11.798230016169001</v>
      </c>
      <c r="X20" s="1131">
        <v>11.621256565926465</v>
      </c>
    </row>
    <row r="21" spans="1:24" ht="23.25">
      <c r="A21" s="1148">
        <v>25</v>
      </c>
      <c r="B21" s="1149" t="s">
        <v>2300</v>
      </c>
      <c r="C21" s="1149" t="s">
        <v>29</v>
      </c>
      <c r="D21" s="1149" t="s">
        <v>2350</v>
      </c>
      <c r="E21" s="1149" t="s">
        <v>2354</v>
      </c>
      <c r="F21" s="1150" t="s">
        <v>2352</v>
      </c>
      <c r="G21" s="1149">
        <v>23061</v>
      </c>
      <c r="H21" s="1149"/>
      <c r="I21" s="1149"/>
      <c r="J21" s="1151"/>
      <c r="K21" s="1170">
        <v>561.464150228368</v>
      </c>
      <c r="L21" s="1152">
        <v>822.45432650089731</v>
      </c>
      <c r="M21" s="1152">
        <v>55.314576342054281</v>
      </c>
      <c r="N21" s="1152">
        <v>9.8689761143921775</v>
      </c>
      <c r="O21" s="1152">
        <v>14.548677807479963</v>
      </c>
      <c r="P21" s="1166">
        <f t="shared" si="3"/>
        <v>6.9313326370445433E-2</v>
      </c>
      <c r="Q21" s="1152">
        <v>0</v>
      </c>
      <c r="R21" s="1171">
        <v>0</v>
      </c>
      <c r="S21" s="1152">
        <v>0</v>
      </c>
      <c r="T21" s="1152">
        <f t="shared" si="1"/>
        <v>1.8966619223437193</v>
      </c>
      <c r="U21" s="1151">
        <f t="shared" si="2"/>
        <v>0.70355682830198418</v>
      </c>
      <c r="V21" s="1152">
        <v>12.336814897513459</v>
      </c>
      <c r="W21" s="1152">
        <v>12.151762674050756</v>
      </c>
      <c r="X21" s="1154">
        <v>11.969486233939996</v>
      </c>
    </row>
    <row r="22" spans="1:24" ht="23.25">
      <c r="A22" s="1148">
        <v>26</v>
      </c>
      <c r="B22" s="1149" t="s">
        <v>2300</v>
      </c>
      <c r="C22" s="1149" t="s">
        <v>29</v>
      </c>
      <c r="D22" s="1149" t="s">
        <v>2350</v>
      </c>
      <c r="E22" s="1149" t="s">
        <v>2355</v>
      </c>
      <c r="F22" s="1150" t="s">
        <v>2353</v>
      </c>
      <c r="G22" s="1155">
        <v>149150</v>
      </c>
      <c r="H22" s="1149">
        <v>6.3819999999999997</v>
      </c>
      <c r="I22" s="1149">
        <v>3.585</v>
      </c>
      <c r="J22" s="1151">
        <f>I22/H22</f>
        <v>0.56173613287370727</v>
      </c>
      <c r="K22" s="1170">
        <v>561.464150228368</v>
      </c>
      <c r="L22" s="1152">
        <v>822.45432650089731</v>
      </c>
      <c r="M22" s="1152">
        <v>55.314576342054281</v>
      </c>
      <c r="N22" s="1152">
        <v>9.8689761143921775</v>
      </c>
      <c r="O22" s="1152">
        <v>14.548677807479963</v>
      </c>
      <c r="P22" s="1166">
        <f t="shared" si="3"/>
        <v>6.9313326370445433E-2</v>
      </c>
      <c r="Q22" s="1152">
        <v>1386.0104129241563</v>
      </c>
      <c r="R22" s="1171">
        <v>87.75</v>
      </c>
      <c r="S22" s="1152">
        <v>78.814427299999991</v>
      </c>
      <c r="T22" s="1152">
        <f t="shared" si="1"/>
        <v>12.266906279760883</v>
      </c>
      <c r="U22" s="1151">
        <f t="shared" si="2"/>
        <v>0.70355682830198418</v>
      </c>
      <c r="V22" s="1152">
        <v>12.336814897513459</v>
      </c>
      <c r="W22" s="1152">
        <v>12.151762674050756</v>
      </c>
      <c r="X22" s="1154">
        <v>11.969486233939996</v>
      </c>
    </row>
    <row r="23" spans="1:24" ht="24" thickBot="1">
      <c r="A23" s="1132">
        <v>27</v>
      </c>
      <c r="B23" s="1133" t="s">
        <v>2300</v>
      </c>
      <c r="C23" s="1133" t="s">
        <v>29</v>
      </c>
      <c r="D23" s="1133" t="s">
        <v>2350</v>
      </c>
      <c r="E23" s="1133" t="s">
        <v>2356</v>
      </c>
      <c r="F23" s="1134" t="s">
        <v>2353</v>
      </c>
      <c r="G23" s="1133">
        <v>23061</v>
      </c>
      <c r="H23" s="1133"/>
      <c r="I23" s="1133"/>
      <c r="J23" s="1133"/>
      <c r="K23" s="1172">
        <v>552.23551164836806</v>
      </c>
      <c r="L23" s="1137">
        <v>799.68496203817278</v>
      </c>
      <c r="M23" s="1137">
        <v>52.612434298454723</v>
      </c>
      <c r="N23" s="1137">
        <v>9.8689761143921775</v>
      </c>
      <c r="O23" s="1137">
        <v>13.782221625438952</v>
      </c>
      <c r="P23" s="1167">
        <f t="shared" si="3"/>
        <v>6.779657885894276E-2</v>
      </c>
      <c r="Q23" s="1137">
        <v>0</v>
      </c>
      <c r="R23" s="1173">
        <v>0</v>
      </c>
      <c r="S23" s="1137">
        <v>0</v>
      </c>
      <c r="T23" s="1137">
        <f t="shared" si="1"/>
        <v>1.84415349095623</v>
      </c>
      <c r="U23" s="1136">
        <f t="shared" si="2"/>
        <v>0.71161273781389789</v>
      </c>
      <c r="V23" s="1137">
        <v>11.995274430572589</v>
      </c>
      <c r="W23" s="1137">
        <v>11.815345314113999</v>
      </c>
      <c r="X23" s="1139">
        <v>11.638115134402291</v>
      </c>
    </row>
    <row r="24" spans="1:24" ht="23.25">
      <c r="A24" s="1124">
        <v>28</v>
      </c>
      <c r="B24" s="1125" t="s">
        <v>2300</v>
      </c>
      <c r="C24" s="1125" t="s">
        <v>29</v>
      </c>
      <c r="D24" s="1125" t="s">
        <v>2361</v>
      </c>
      <c r="E24" s="1125" t="s">
        <v>2363</v>
      </c>
      <c r="F24" s="1126" t="s">
        <v>2364</v>
      </c>
      <c r="G24" s="1127">
        <v>172211</v>
      </c>
      <c r="H24" s="1125">
        <v>4.8490000000000002</v>
      </c>
      <c r="I24" s="1125">
        <v>2.4830000000000001</v>
      </c>
      <c r="J24" s="1128">
        <f>I24/H24</f>
        <v>0.51206434316353888</v>
      </c>
      <c r="K24" s="1129">
        <v>330.84190226191106</v>
      </c>
      <c r="L24" s="1129">
        <v>488.66495891799724</v>
      </c>
      <c r="M24" s="1129">
        <v>32.701483977804699</v>
      </c>
      <c r="N24" s="1129">
        <v>6.1760689232002663</v>
      </c>
      <c r="O24" s="1129">
        <v>8.5749452823505443</v>
      </c>
      <c r="P24" s="1165">
        <f t="shared" si="3"/>
        <v>6.9003000107217272E-2</v>
      </c>
      <c r="Q24" s="1129">
        <v>751.05800202914247</v>
      </c>
      <c r="R24" s="1129">
        <v>57.5</v>
      </c>
      <c r="S24" s="1129">
        <v>59.00483972</v>
      </c>
      <c r="T24" s="1129">
        <f t="shared" si="1"/>
        <v>8.4153481240227226</v>
      </c>
      <c r="U24" s="1128">
        <f t="shared" si="2"/>
        <v>0.6981054386628226</v>
      </c>
      <c r="V24" s="1129">
        <v>7.3299743837699589</v>
      </c>
      <c r="W24" s="1129">
        <v>7.2200247680134098</v>
      </c>
      <c r="X24" s="1131">
        <v>7.1117243964932086</v>
      </c>
    </row>
    <row r="25" spans="1:24" ht="24" thickBot="1">
      <c r="A25" s="1132">
        <v>29</v>
      </c>
      <c r="B25" s="1133" t="s">
        <v>2300</v>
      </c>
      <c r="C25" s="1133" t="s">
        <v>29</v>
      </c>
      <c r="D25" s="1133" t="s">
        <v>2361</v>
      </c>
      <c r="E25" s="1133" t="s">
        <v>2366</v>
      </c>
      <c r="F25" s="1134" t="s">
        <v>2365</v>
      </c>
      <c r="G25" s="1135">
        <v>172211</v>
      </c>
      <c r="H25" s="1133">
        <v>4.8490000000000002</v>
      </c>
      <c r="I25" s="1133">
        <v>2.4830000000000001</v>
      </c>
      <c r="J25" s="1136">
        <f>I25/H25</f>
        <v>0.51206434316353888</v>
      </c>
      <c r="K25" s="1137">
        <v>330.84190226191106</v>
      </c>
      <c r="L25" s="1137">
        <v>488.66495891799724</v>
      </c>
      <c r="M25" s="1137">
        <v>32.701483977804699</v>
      </c>
      <c r="N25" s="1137">
        <v>6.1760689232002663</v>
      </c>
      <c r="O25" s="1137">
        <v>8.5749452823505443</v>
      </c>
      <c r="P25" s="1167">
        <f t="shared" si="3"/>
        <v>6.9003000107217272E-2</v>
      </c>
      <c r="Q25" s="1137">
        <v>736.25815478696256</v>
      </c>
      <c r="R25" s="1137">
        <v>54.5</v>
      </c>
      <c r="S25" s="1137">
        <v>59.00483972</v>
      </c>
      <c r="T25" s="1137">
        <f t="shared" si="1"/>
        <v>8.4153481240227226</v>
      </c>
      <c r="U25" s="1136">
        <f t="shared" si="2"/>
        <v>0.6981054386628226</v>
      </c>
      <c r="V25" s="1137">
        <v>7.3299743837699589</v>
      </c>
      <c r="W25" s="1137">
        <v>7.2200247680134098</v>
      </c>
      <c r="X25" s="1139">
        <v>7.1117243964932086</v>
      </c>
    </row>
    <row r="26" spans="1:24" ht="23.25">
      <c r="A26" s="1124">
        <v>30</v>
      </c>
      <c r="B26" s="1125" t="s">
        <v>2300</v>
      </c>
      <c r="C26" s="1125" t="s">
        <v>29</v>
      </c>
      <c r="D26" s="1125" t="s">
        <v>2369</v>
      </c>
      <c r="E26" s="1125" t="s">
        <v>2370</v>
      </c>
      <c r="F26" s="1126" t="s">
        <v>1684</v>
      </c>
      <c r="G26" s="1127">
        <v>140000</v>
      </c>
      <c r="H26" s="1174">
        <v>19.563062746345093</v>
      </c>
      <c r="I26" s="1174">
        <v>11.2601</v>
      </c>
      <c r="J26" s="1128">
        <f>I26/H26</f>
        <v>0.57557960867368219</v>
      </c>
      <c r="K26" s="1129">
        <v>1597.5953768983586</v>
      </c>
      <c r="L26" s="1129">
        <v>2383.4346597759995</v>
      </c>
      <c r="M26" s="1129">
        <v>165.25357058817409</v>
      </c>
      <c r="N26" s="1129">
        <v>83.854461565512892</v>
      </c>
      <c r="O26" s="1129">
        <v>43.170629591589886</v>
      </c>
      <c r="P26" s="1165">
        <f t="shared" si="3"/>
        <v>7.3237400198281608E-2</v>
      </c>
      <c r="Q26" s="1129">
        <v>1503.4585972329</v>
      </c>
      <c r="R26" s="1129">
        <v>394.25</v>
      </c>
      <c r="S26" s="1129">
        <v>76.818306555000007</v>
      </c>
      <c r="T26" s="1129">
        <f t="shared" si="1"/>
        <v>33.368085236863998</v>
      </c>
      <c r="U26" s="1128">
        <f t="shared" si="2"/>
        <v>0.70802543967060683</v>
      </c>
      <c r="V26" s="1129">
        <v>47.668693195519992</v>
      </c>
      <c r="W26" s="1129">
        <v>46.715319331609592</v>
      </c>
      <c r="X26" s="1131">
        <v>45.781012944977405</v>
      </c>
    </row>
    <row r="27" spans="1:24" ht="23.25">
      <c r="A27" s="1148">
        <v>31</v>
      </c>
      <c r="B27" s="1149" t="s">
        <v>2300</v>
      </c>
      <c r="C27" s="1149" t="s">
        <v>29</v>
      </c>
      <c r="D27" s="1149" t="s">
        <v>2369</v>
      </c>
      <c r="E27" s="1149" t="s">
        <v>2371</v>
      </c>
      <c r="F27" s="1150" t="s">
        <v>1684</v>
      </c>
      <c r="G27" s="1149">
        <v>32211</v>
      </c>
      <c r="H27" s="1175"/>
      <c r="I27" s="1175"/>
      <c r="J27" s="1149"/>
      <c r="K27" s="1152">
        <v>1622.3089881783587</v>
      </c>
      <c r="L27" s="1152">
        <v>2420.7672524023965</v>
      </c>
      <c r="M27" s="1152">
        <v>167.98529694632992</v>
      </c>
      <c r="N27" s="1152">
        <v>83.854461565512892</v>
      </c>
      <c r="O27" s="1152">
        <v>43.884911554593486</v>
      </c>
      <c r="P27" s="1166">
        <f t="shared" si="3"/>
        <v>7.325916028500655E-2</v>
      </c>
      <c r="Q27" s="1152">
        <v>16.610980761375</v>
      </c>
      <c r="R27" s="1152">
        <v>3</v>
      </c>
      <c r="S27" s="1152">
        <v>0</v>
      </c>
      <c r="T27" s="1152">
        <f t="shared" si="1"/>
        <v>7.7975333967133595</v>
      </c>
      <c r="U27" s="1151">
        <f t="shared" si="2"/>
        <v>0.70749640806204939</v>
      </c>
      <c r="V27" s="1152">
        <v>48.415345048047939</v>
      </c>
      <c r="W27" s="1152">
        <v>47.447038147086978</v>
      </c>
      <c r="X27" s="1154">
        <v>46.49809738414524</v>
      </c>
    </row>
    <row r="28" spans="1:24" ht="23.25">
      <c r="A28" s="1148">
        <v>32</v>
      </c>
      <c r="B28" s="1149" t="s">
        <v>2300</v>
      </c>
      <c r="C28" s="1149" t="s">
        <v>29</v>
      </c>
      <c r="D28" s="1149" t="s">
        <v>2369</v>
      </c>
      <c r="E28" s="1149" t="s">
        <v>2373</v>
      </c>
      <c r="F28" s="1150" t="s">
        <v>1685</v>
      </c>
      <c r="G28" s="1155">
        <v>140000</v>
      </c>
      <c r="H28" s="1175">
        <v>18.502090591524141</v>
      </c>
      <c r="I28" s="1175">
        <v>10.571400000000001</v>
      </c>
      <c r="J28" s="1151">
        <f>I28/H28</f>
        <v>0.57136246024234627</v>
      </c>
      <c r="K28" s="1152">
        <v>1599.5710808546373</v>
      </c>
      <c r="L28" s="1152">
        <v>2312.380781363991</v>
      </c>
      <c r="M28" s="1152">
        <v>151.31276943475788</v>
      </c>
      <c r="N28" s="1152">
        <v>83.854461565512892</v>
      </c>
      <c r="O28" s="1152">
        <v>39.036879646215148</v>
      </c>
      <c r="P28" s="1166">
        <f t="shared" si="3"/>
        <v>6.9108700256729799E-2</v>
      </c>
      <c r="Q28" s="1152">
        <v>1417.4290244036999</v>
      </c>
      <c r="R28" s="1152">
        <v>377.75</v>
      </c>
      <c r="S28" s="1152">
        <v>76.818306555000007</v>
      </c>
      <c r="T28" s="1152">
        <f t="shared" si="1"/>
        <v>32.373330939095872</v>
      </c>
      <c r="U28" s="1151">
        <f t="shared" si="2"/>
        <v>0.730568072866978</v>
      </c>
      <c r="V28" s="1152">
        <v>46.247615627279828</v>
      </c>
      <c r="W28" s="1152">
        <v>45.322663314734235</v>
      </c>
      <c r="X28" s="1154">
        <v>44.416210048439552</v>
      </c>
    </row>
    <row r="29" spans="1:24" ht="24" thickBot="1">
      <c r="A29" s="1132">
        <v>33</v>
      </c>
      <c r="B29" s="1133" t="s">
        <v>2300</v>
      </c>
      <c r="C29" s="1133" t="s">
        <v>29</v>
      </c>
      <c r="D29" s="1133" t="s">
        <v>2369</v>
      </c>
      <c r="E29" s="1133" t="s">
        <v>2372</v>
      </c>
      <c r="F29" s="1134" t="s">
        <v>1685</v>
      </c>
      <c r="G29" s="1133">
        <v>32211</v>
      </c>
      <c r="H29" s="1176"/>
      <c r="I29" s="1176"/>
      <c r="J29" s="1133"/>
      <c r="K29" s="1137">
        <v>1624.1637881346373</v>
      </c>
      <c r="L29" s="1137">
        <v>2349.5300554519877</v>
      </c>
      <c r="M29" s="1137">
        <v>154.03157771291373</v>
      </c>
      <c r="N29" s="1137">
        <v>83.854461565512892</v>
      </c>
      <c r="O29" s="1137">
        <v>39.747628710818759</v>
      </c>
      <c r="P29" s="1167">
        <f t="shared" si="3"/>
        <v>6.9198815111143341E-2</v>
      </c>
      <c r="Q29" s="1137">
        <v>12.320552619375</v>
      </c>
      <c r="R29" s="1137">
        <v>3</v>
      </c>
      <c r="S29" s="1137">
        <v>0</v>
      </c>
      <c r="T29" s="1137">
        <f t="shared" si="1"/>
        <v>7.5680712616163968</v>
      </c>
      <c r="U29" s="1136">
        <f t="shared" si="2"/>
        <v>0.72965694018156091</v>
      </c>
      <c r="V29" s="1137">
        <v>46.990601109039773</v>
      </c>
      <c r="W29" s="1137">
        <v>46.050789086858977</v>
      </c>
      <c r="X29" s="1139">
        <v>45.129773305121802</v>
      </c>
    </row>
    <row r="30" spans="1:24" ht="24" thickBot="1">
      <c r="A30" s="1156">
        <v>34</v>
      </c>
      <c r="B30" s="1157" t="s">
        <v>2300</v>
      </c>
      <c r="C30" s="1157" t="s">
        <v>29</v>
      </c>
      <c r="D30" s="1157" t="s">
        <v>2375</v>
      </c>
      <c r="E30" s="1157" t="s">
        <v>2376</v>
      </c>
      <c r="F30" s="1158" t="s">
        <v>200</v>
      </c>
      <c r="G30" s="1159">
        <v>172211</v>
      </c>
      <c r="H30" s="1177">
        <v>11.443069177100002</v>
      </c>
      <c r="I30" s="1177">
        <v>8.6603999999999974</v>
      </c>
      <c r="J30" s="1160">
        <f>I30/H30</f>
        <v>0.75682492747062013</v>
      </c>
      <c r="K30" s="1161">
        <v>763.35460092467497</v>
      </c>
      <c r="L30" s="1161">
        <v>1212.4722660214679</v>
      </c>
      <c r="M30" s="1161">
        <v>91.793756339507738</v>
      </c>
      <c r="N30" s="1161">
        <v>70.03789500536385</v>
      </c>
      <c r="O30" s="1161">
        <v>24.62922540491255</v>
      </c>
      <c r="P30" s="1178">
        <f t="shared" si="3"/>
        <v>8.2119640171558636E-2</v>
      </c>
      <c r="Q30" s="1161">
        <v>1067.5832070230254</v>
      </c>
      <c r="R30" s="1161">
        <v>262.25</v>
      </c>
      <c r="S30" s="1161">
        <v>48.053032946666661</v>
      </c>
      <c r="T30" s="1161">
        <f t="shared" si="1"/>
        <v>20.880106140382303</v>
      </c>
      <c r="U30" s="1160">
        <f t="shared" si="2"/>
        <v>0.68290489082271078</v>
      </c>
      <c r="V30" s="1161">
        <v>12.124722660214678</v>
      </c>
      <c r="W30" s="1161">
        <v>12.003475433612531</v>
      </c>
      <c r="X30" s="1163">
        <v>11.883440679276404</v>
      </c>
    </row>
    <row r="31" spans="1:24" ht="23.25">
      <c r="A31" s="1124">
        <v>35</v>
      </c>
      <c r="B31" s="1125" t="s">
        <v>2300</v>
      </c>
      <c r="C31" s="1125" t="s">
        <v>29</v>
      </c>
      <c r="D31" s="1125" t="s">
        <v>2489</v>
      </c>
      <c r="E31" s="1125" t="s">
        <v>2490</v>
      </c>
      <c r="F31" s="1126" t="s">
        <v>2496</v>
      </c>
      <c r="G31" s="1179">
        <v>98000</v>
      </c>
      <c r="H31" s="1174">
        <v>9.809415471661092</v>
      </c>
      <c r="I31" s="1174">
        <v>5.4249999999999998</v>
      </c>
      <c r="J31" s="1128">
        <v>0.55304008844079977</v>
      </c>
      <c r="K31" s="1129">
        <v>661.48314199616959</v>
      </c>
      <c r="L31" s="1129">
        <v>1050.7091026054431</v>
      </c>
      <c r="M31" s="1129">
        <v>79.212998813247154</v>
      </c>
      <c r="N31" s="1129">
        <v>63.367962567267874</v>
      </c>
      <c r="O31" s="1129">
        <v>20.561986793869174</v>
      </c>
      <c r="P31" s="1165">
        <f t="shared" ref="P31:P36" si="4">M31/(L31-N31-O31)</f>
        <v>8.1934947135987687E-2</v>
      </c>
      <c r="Q31" s="1129">
        <v>752.16497991615745</v>
      </c>
      <c r="R31" s="1129">
        <v>276.125</v>
      </c>
      <c r="S31" s="1129">
        <v>76.495695202500002</v>
      </c>
      <c r="T31" s="1129">
        <f t="shared" si="1"/>
        <v>10.296949205533343</v>
      </c>
      <c r="U31" s="1128">
        <f t="shared" ref="U31:U36" si="5">K31/(L31-N31-O31)</f>
        <v>0.68421328674327775</v>
      </c>
      <c r="V31" s="1129">
        <v>21.014182052108868</v>
      </c>
      <c r="W31" s="1129">
        <v>20.593898411066689</v>
      </c>
      <c r="X31" s="1131">
        <v>20.182020442845356</v>
      </c>
    </row>
    <row r="32" spans="1:24" ht="23.25">
      <c r="A32" s="1148">
        <v>36</v>
      </c>
      <c r="B32" s="1149" t="s">
        <v>2300</v>
      </c>
      <c r="C32" s="1149" t="s">
        <v>29</v>
      </c>
      <c r="D32" s="1149" t="s">
        <v>2489</v>
      </c>
      <c r="E32" s="1149" t="s">
        <v>2491</v>
      </c>
      <c r="F32" s="1150" t="s">
        <v>2497</v>
      </c>
      <c r="G32" s="1180">
        <v>42000</v>
      </c>
      <c r="H32" s="1175">
        <v>11.426952448789297</v>
      </c>
      <c r="I32" s="1175">
        <v>6.5115999999999987</v>
      </c>
      <c r="J32" s="1151">
        <v>0.56984572476189066</v>
      </c>
      <c r="K32" s="1152">
        <v>849.51432535085075</v>
      </c>
      <c r="L32" s="1152">
        <v>1387.9458018965195</v>
      </c>
      <c r="M32" s="1152">
        <v>110.41557615200423</v>
      </c>
      <c r="N32" s="1152">
        <v>63.367962567267874</v>
      </c>
      <c r="O32" s="1152">
        <v>28.930699960080219</v>
      </c>
      <c r="P32" s="1166">
        <f t="shared" si="4"/>
        <v>8.522040669635074E-2</v>
      </c>
      <c r="Q32" s="1152">
        <v>680.03827606089374</v>
      </c>
      <c r="R32" s="1152">
        <v>14</v>
      </c>
      <c r="S32" s="1152">
        <v>0</v>
      </c>
      <c r="T32" s="1152">
        <f t="shared" si="1"/>
        <v>5.8293723679653819</v>
      </c>
      <c r="U32" s="1151">
        <f t="shared" si="5"/>
        <v>0.65566796663825055</v>
      </c>
      <c r="V32" s="1152">
        <v>27.758916037930394</v>
      </c>
      <c r="W32" s="1152">
        <v>27.203737717171784</v>
      </c>
      <c r="X32" s="1154">
        <v>26.659662962828349</v>
      </c>
    </row>
    <row r="33" spans="1:24" ht="23.25">
      <c r="A33" s="1148">
        <v>37</v>
      </c>
      <c r="B33" s="1149" t="s">
        <v>2300</v>
      </c>
      <c r="C33" s="1149" t="s">
        <v>29</v>
      </c>
      <c r="D33" s="1149" t="s">
        <v>2489</v>
      </c>
      <c r="E33" s="1149" t="s">
        <v>2492</v>
      </c>
      <c r="F33" s="1150" t="s">
        <v>2497</v>
      </c>
      <c r="G33" s="1180">
        <v>32211</v>
      </c>
      <c r="H33" s="1175">
        <v>9.9753312216610919</v>
      </c>
      <c r="I33" s="1175">
        <v>5.5116000000000005</v>
      </c>
      <c r="J33" s="1151">
        <v>0.5525230067580863</v>
      </c>
      <c r="K33" s="1152">
        <v>679.96456653616974</v>
      </c>
      <c r="L33" s="1152">
        <v>1072.4818509958775</v>
      </c>
      <c r="M33" s="1152">
        <v>80.069127304047143</v>
      </c>
      <c r="N33" s="1152">
        <v>63.367962567267874</v>
      </c>
      <c r="O33" s="1152">
        <v>20.742160785403172</v>
      </c>
      <c r="P33" s="1166">
        <f t="shared" si="4"/>
        <v>8.1011146985126431E-2</v>
      </c>
      <c r="Q33" s="1152">
        <v>9.9784080396000014</v>
      </c>
      <c r="R33" s="1152">
        <v>3</v>
      </c>
      <c r="S33" s="1152">
        <v>0</v>
      </c>
      <c r="T33" s="1152">
        <f t="shared" si="1"/>
        <v>3.4545712902428209</v>
      </c>
      <c r="U33" s="1151">
        <f t="shared" si="5"/>
        <v>0.68796440399763337</v>
      </c>
      <c r="V33" s="1152">
        <v>21.449637019917549</v>
      </c>
      <c r="W33" s="1152">
        <v>21.020644279519196</v>
      </c>
      <c r="X33" s="1154">
        <v>20.600231393928812</v>
      </c>
    </row>
    <row r="34" spans="1:24" ht="23.25">
      <c r="A34" s="1148">
        <v>38</v>
      </c>
      <c r="B34" s="1149" t="s">
        <v>2300</v>
      </c>
      <c r="C34" s="1149" t="s">
        <v>29</v>
      </c>
      <c r="D34" s="1149" t="s">
        <v>2489</v>
      </c>
      <c r="E34" s="1149" t="s">
        <v>2493</v>
      </c>
      <c r="F34" s="1150" t="s">
        <v>2498</v>
      </c>
      <c r="G34" s="1181">
        <v>98000</v>
      </c>
      <c r="H34" s="1175">
        <v>10.297494447661093</v>
      </c>
      <c r="I34" s="1175">
        <v>5.630300000000001</v>
      </c>
      <c r="J34" s="1151">
        <v>0.54676407242723313</v>
      </c>
      <c r="K34" s="1152">
        <v>666.87985130192988</v>
      </c>
      <c r="L34" s="1152">
        <v>1046.872529714288</v>
      </c>
      <c r="M34" s="1152">
        <v>77.433281310568574</v>
      </c>
      <c r="N34" s="1152">
        <v>63.367962567267874</v>
      </c>
      <c r="O34" s="1152">
        <v>20.024822235553192</v>
      </c>
      <c r="P34" s="1166">
        <f t="shared" si="4"/>
        <v>8.0368354103472955E-2</v>
      </c>
      <c r="Q34" s="1152">
        <v>713.8879634138176</v>
      </c>
      <c r="R34" s="1152">
        <v>267.125</v>
      </c>
      <c r="S34" s="1152">
        <v>76.495695202500002</v>
      </c>
      <c r="T34" s="1152">
        <f t="shared" si="1"/>
        <v>10.259350791200022</v>
      </c>
      <c r="U34" s="1151">
        <f t="shared" si="5"/>
        <v>0.69215762430294647</v>
      </c>
      <c r="V34" s="1152">
        <v>20.937450594285764</v>
      </c>
      <c r="W34" s="1152">
        <v>20.518701582400048</v>
      </c>
      <c r="X34" s="1154">
        <v>20.108327550752048</v>
      </c>
    </row>
    <row r="35" spans="1:24" ht="23.25">
      <c r="A35" s="1148">
        <v>39</v>
      </c>
      <c r="B35" s="1149" t="s">
        <v>2300</v>
      </c>
      <c r="C35" s="1149" t="s">
        <v>29</v>
      </c>
      <c r="D35" s="1149" t="s">
        <v>2489</v>
      </c>
      <c r="E35" s="1149" t="s">
        <v>2494</v>
      </c>
      <c r="F35" s="1150" t="s">
        <v>2499</v>
      </c>
      <c r="G35" s="1180">
        <v>42000</v>
      </c>
      <c r="H35" s="1175">
        <v>11.859079528789298</v>
      </c>
      <c r="I35" s="1175">
        <v>6.7088000000000001</v>
      </c>
      <c r="J35" s="1151">
        <v>0.56571001009931721</v>
      </c>
      <c r="K35" s="1152">
        <v>849.36644888165085</v>
      </c>
      <c r="L35" s="1152">
        <v>1367.2863584457027</v>
      </c>
      <c r="M35" s="1152">
        <v>106.36998308657452</v>
      </c>
      <c r="N35" s="1152">
        <v>63.367962567267874</v>
      </c>
      <c r="O35" s="1152">
        <v>27.75571503659247</v>
      </c>
      <c r="P35" s="1166">
        <f t="shared" si="4"/>
        <v>8.3351429001517069E-2</v>
      </c>
      <c r="Q35" s="1152">
        <v>680.03827606089374</v>
      </c>
      <c r="R35" s="1152">
        <v>14</v>
      </c>
      <c r="S35" s="1152">
        <v>0</v>
      </c>
      <c r="T35" s="1152">
        <f t="shared" si="1"/>
        <v>5.7426027054719517</v>
      </c>
      <c r="U35" s="1151">
        <f t="shared" si="5"/>
        <v>0.66556283272705619</v>
      </c>
      <c r="V35" s="1152">
        <v>27.34572716891406</v>
      </c>
      <c r="W35" s="1152">
        <v>26.798812625535781</v>
      </c>
      <c r="X35" s="1154">
        <v>26.262836373025067</v>
      </c>
    </row>
    <row r="36" spans="1:24" ht="24" thickBot="1">
      <c r="A36" s="1132">
        <v>40</v>
      </c>
      <c r="B36" s="1133" t="s">
        <v>2300</v>
      </c>
      <c r="C36" s="1133" t="s">
        <v>29</v>
      </c>
      <c r="D36" s="1133" t="s">
        <v>2489</v>
      </c>
      <c r="E36" s="1133" t="s">
        <v>2495</v>
      </c>
      <c r="F36" s="1134" t="s">
        <v>2499</v>
      </c>
      <c r="G36" s="1182">
        <v>32211</v>
      </c>
      <c r="H36" s="1176">
        <v>10.463410197661092</v>
      </c>
      <c r="I36" s="1176">
        <v>5.716400000000001</v>
      </c>
      <c r="J36" s="1136">
        <v>0.54632284236336248</v>
      </c>
      <c r="K36" s="1137">
        <v>690.33968584192985</v>
      </c>
      <c r="L36" s="1137">
        <v>1077.337524185232</v>
      </c>
      <c r="M36" s="1137">
        <v>79.076581231918183</v>
      </c>
      <c r="N36" s="1137">
        <v>63.367962567267874</v>
      </c>
      <c r="O36" s="1137">
        <v>20.415248741078322</v>
      </c>
      <c r="P36" s="1167">
        <f t="shared" si="4"/>
        <v>7.9589590832682328E-2</v>
      </c>
      <c r="Q36" s="1137">
        <v>9.9784080396000014</v>
      </c>
      <c r="R36" s="1137">
        <v>3</v>
      </c>
      <c r="S36" s="1137">
        <v>0</v>
      </c>
      <c r="T36" s="1137">
        <f t="shared" si="1"/>
        <v>3.4702118991530506</v>
      </c>
      <c r="U36" s="1136">
        <f t="shared" si="5"/>
        <v>0.69481826699842619</v>
      </c>
      <c r="V36" s="1137">
        <v>21.546750483704642</v>
      </c>
      <c r="W36" s="1137">
        <v>21.115815474030548</v>
      </c>
      <c r="X36" s="1139">
        <v>20.693499164549934</v>
      </c>
    </row>
    <row r="37" spans="1:24" s="1115" customFormat="1" ht="24" thickBot="1">
      <c r="A37" s="1183"/>
      <c r="B37" s="2204" t="s">
        <v>2393</v>
      </c>
      <c r="C37" s="2204"/>
      <c r="D37" s="2204"/>
      <c r="E37" s="2204"/>
      <c r="F37" s="2204"/>
      <c r="G37" s="2204"/>
      <c r="H37" s="1184">
        <f>H3+H4+H5+H6+H8+H10+H11+H12+H13+H16+H17+H18+H19+H20+H22+H24+H25+H26+H28+H30+H31+H34</f>
        <v>141.6541324342914</v>
      </c>
      <c r="I37" s="1184">
        <f>I3+I4+I5+I6+I8+I10+I11+I12+I13+I16+I17+I18+I19+I20+I22+I24+I25+I26+I28+I30+I31+I34</f>
        <v>84.44019999999999</v>
      </c>
      <c r="J37" s="1185">
        <f>I37/H37</f>
        <v>0.59610121179605524</v>
      </c>
      <c r="K37" s="1184">
        <f>K3+K4+K5+K6+K8+K10+K11+K12+K13+K16+K17+K18+K19+K20+K22+K24+K25+K26+K28+K30+K31+K34</f>
        <v>10985.566531672985</v>
      </c>
      <c r="L37" s="1184">
        <f>L3+L4+L5+L6+L8+L10+L11+L12+L13+L16+L17+L18+L19+L20+L22+L24+L25+L26+L28+L30+L31+L34</f>
        <v>16622.670111114036</v>
      </c>
      <c r="M37" s="1184">
        <f>M3+M4+M5+M6+M8+M10+M11+M12+M13+M16+M17+M18+M19+M20+M22+M24+M25+M26+M28+M30+M31+M34</f>
        <v>1172.8835951031385</v>
      </c>
      <c r="N37" s="1184">
        <f>N3+N4+N5+N6+N8+N10+N11+N12+N13+N16+N17+N18+N19+N20+N22+N24+N25+N26+N28+N30+N31+N34</f>
        <v>519.96687018283308</v>
      </c>
      <c r="O37" s="1184">
        <f>O3+O4+O5+O6+O8+O10+O11+O12+O13+O16+O17+O18+O19+O20+O22+O24+O25+O26+O28+O30+O31+O34</f>
        <v>299.0287164208234</v>
      </c>
      <c r="P37" s="1185">
        <f>M37/(L37-N37-O37)</f>
        <v>7.421587892639013E-2</v>
      </c>
      <c r="Q37" s="1184">
        <f>SUM(Q3:Q36)</f>
        <v>18826.994497730844</v>
      </c>
      <c r="R37" s="1184">
        <f>SUM(R3:R36)</f>
        <v>2729.75</v>
      </c>
      <c r="S37" s="1184">
        <f>SUM(S3:S36)</f>
        <v>1096.479718755</v>
      </c>
      <c r="T37" s="1184">
        <f>SUM(T3:T36)</f>
        <v>285.13083040615714</v>
      </c>
      <c r="U37" s="1185">
        <f>K37/(L37-N37-O37)</f>
        <v>0.69512735880729193</v>
      </c>
      <c r="V37" s="1184">
        <f>SUM(V3:V36)</f>
        <v>489.43036538633669</v>
      </c>
      <c r="W37" s="1184">
        <f>SUM(W3:W36)</f>
        <v>480.68994284642179</v>
      </c>
      <c r="X37" s="1187">
        <f>SUM(X3:X36)</f>
        <v>472.09253621068899</v>
      </c>
    </row>
  </sheetData>
  <mergeCells count="12">
    <mergeCell ref="B37:G37"/>
    <mergeCell ref="W1:W2"/>
    <mergeCell ref="X1:X2"/>
    <mergeCell ref="K1:S1"/>
    <mergeCell ref="V1:V2"/>
    <mergeCell ref="G1:G2"/>
    <mergeCell ref="F1:F2"/>
    <mergeCell ref="A1:A2"/>
    <mergeCell ref="B1:B2"/>
    <mergeCell ref="C1:C2"/>
    <mergeCell ref="D1:D2"/>
    <mergeCell ref="E1:E2"/>
  </mergeCells>
  <pageMargins left="0.25" right="0.25" top="0.75" bottom="0.75" header="0.3" footer="0.3"/>
  <pageSetup paperSize="8" scale="35"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7"/>
  <sheetViews>
    <sheetView topLeftCell="A21" workbookViewId="0">
      <selection activeCell="E3" sqref="E3"/>
    </sheetView>
  </sheetViews>
  <sheetFormatPr defaultRowHeight="15"/>
  <cols>
    <col min="1" max="1" width="6.28515625" style="18" bestFit="1" customWidth="1"/>
    <col min="2" max="2" width="17.28515625" bestFit="1" customWidth="1"/>
    <col min="3" max="3" width="31.5703125" bestFit="1" customWidth="1"/>
    <col min="4" max="4" width="13.140625" customWidth="1"/>
    <col min="5" max="5" width="15.5703125" customWidth="1"/>
    <col min="6" max="6" width="13.85546875" hidden="1" customWidth="1"/>
  </cols>
  <sheetData>
    <row r="1" spans="1:6" ht="14.45" customHeight="1">
      <c r="A1" s="2170" t="s">
        <v>2390</v>
      </c>
      <c r="B1" s="2170" t="s">
        <v>3</v>
      </c>
      <c r="C1" s="2170" t="s">
        <v>4</v>
      </c>
      <c r="D1" s="2170" t="s">
        <v>2362</v>
      </c>
      <c r="E1" s="2171" t="s">
        <v>2391</v>
      </c>
      <c r="F1" s="2171" t="s">
        <v>2389</v>
      </c>
    </row>
    <row r="2" spans="1:6" ht="42" customHeight="1">
      <c r="A2" s="2170"/>
      <c r="B2" s="2170"/>
      <c r="C2" s="2170"/>
      <c r="D2" s="2170"/>
      <c r="E2" s="2171"/>
      <c r="F2" s="2171"/>
    </row>
    <row r="3" spans="1:6" ht="15.75">
      <c r="A3" s="1113">
        <v>1</v>
      </c>
      <c r="B3" s="1105" t="s">
        <v>2302</v>
      </c>
      <c r="C3" s="1105" t="s">
        <v>2303</v>
      </c>
      <c r="D3" s="1105">
        <v>42000</v>
      </c>
      <c r="E3" s="1112">
        <v>152.46365539631498</v>
      </c>
      <c r="F3" s="1111">
        <f>D3*E3/10^7</f>
        <v>0.64034735266452292</v>
      </c>
    </row>
    <row r="4" spans="1:6" ht="15.75">
      <c r="A4" s="1113">
        <v>2</v>
      </c>
      <c r="B4" s="1105" t="s">
        <v>2304</v>
      </c>
      <c r="C4" s="1105" t="s">
        <v>2305</v>
      </c>
      <c r="D4" s="1105">
        <v>42000</v>
      </c>
      <c r="E4" s="1112">
        <v>152.46365539631498</v>
      </c>
      <c r="F4" s="1111">
        <f t="shared" ref="F4:F36" si="0">D4*E4/10^7</f>
        <v>0.64034735266452292</v>
      </c>
    </row>
    <row r="5" spans="1:6" ht="15.75">
      <c r="A5" s="1113">
        <v>3</v>
      </c>
      <c r="B5" s="1105" t="s">
        <v>2311</v>
      </c>
      <c r="C5" s="1105" t="s">
        <v>2325</v>
      </c>
      <c r="D5" s="1105">
        <v>137769</v>
      </c>
      <c r="E5" s="1112">
        <v>135.69116529403377</v>
      </c>
      <c r="F5" s="1111">
        <f t="shared" si="0"/>
        <v>1.8694036151393738</v>
      </c>
    </row>
    <row r="6" spans="1:6" ht="15.75">
      <c r="A6" s="1113">
        <v>4</v>
      </c>
      <c r="B6" s="1105" t="s">
        <v>2313</v>
      </c>
      <c r="C6" s="1105" t="s">
        <v>2317</v>
      </c>
      <c r="D6" s="1105">
        <v>149150</v>
      </c>
      <c r="E6" s="1112">
        <v>383.4868256828355</v>
      </c>
      <c r="F6" s="1111">
        <f t="shared" si="0"/>
        <v>5.7197060050594919</v>
      </c>
    </row>
    <row r="7" spans="1:6" ht="15.75">
      <c r="A7" s="1113">
        <v>5</v>
      </c>
      <c r="B7" s="1105" t="s">
        <v>2314</v>
      </c>
      <c r="C7" s="1105" t="s">
        <v>2318</v>
      </c>
      <c r="D7" s="1105">
        <v>23061</v>
      </c>
      <c r="E7" s="1109">
        <v>348.02713997350429</v>
      </c>
      <c r="F7" s="1111">
        <f t="shared" si="0"/>
        <v>0.80258538749289821</v>
      </c>
    </row>
    <row r="8" spans="1:6" ht="15.75">
      <c r="A8" s="1113">
        <v>6</v>
      </c>
      <c r="B8" s="1105" t="s">
        <v>2315</v>
      </c>
      <c r="C8" s="1105" t="s">
        <v>2319</v>
      </c>
      <c r="D8" s="1105">
        <v>149150</v>
      </c>
      <c r="E8" s="1112">
        <v>349.13420295150422</v>
      </c>
      <c r="F8" s="1111">
        <f t="shared" si="0"/>
        <v>5.2073366370216858</v>
      </c>
    </row>
    <row r="9" spans="1:6" ht="15.75">
      <c r="A9" s="1113">
        <v>7</v>
      </c>
      <c r="B9" s="1105" t="s">
        <v>2316</v>
      </c>
      <c r="C9" s="1105" t="s">
        <v>2320</v>
      </c>
      <c r="D9" s="1105">
        <v>23061</v>
      </c>
      <c r="E9" s="1109">
        <v>383.44479470350245</v>
      </c>
      <c r="F9" s="1111">
        <f t="shared" si="0"/>
        <v>0.88426204106574691</v>
      </c>
    </row>
    <row r="10" spans="1:6" ht="15.75">
      <c r="A10" s="1113">
        <v>8</v>
      </c>
      <c r="B10" s="1105" t="s">
        <v>2323</v>
      </c>
      <c r="C10" s="1105" t="s">
        <v>2324</v>
      </c>
      <c r="D10" s="1105">
        <v>172211</v>
      </c>
      <c r="E10" s="1112">
        <v>65.835576905849351</v>
      </c>
      <c r="F10" s="1111">
        <f t="shared" si="0"/>
        <v>1.1337610534533222</v>
      </c>
    </row>
    <row r="11" spans="1:6" ht="15.75">
      <c r="A11" s="1113">
        <v>9</v>
      </c>
      <c r="B11" s="1105" t="s">
        <v>2368</v>
      </c>
      <c r="C11" s="1105" t="s">
        <v>138</v>
      </c>
      <c r="D11" s="1105">
        <v>172211</v>
      </c>
      <c r="E11" s="1112">
        <v>364.70226051791201</v>
      </c>
      <c r="F11" s="1111">
        <f t="shared" si="0"/>
        <v>6.2805740986050145</v>
      </c>
    </row>
    <row r="12" spans="1:6" ht="15.75">
      <c r="A12" s="1113">
        <v>10</v>
      </c>
      <c r="B12" s="1105" t="s">
        <v>2327</v>
      </c>
      <c r="C12" s="1105" t="s">
        <v>2328</v>
      </c>
      <c r="D12" s="1105">
        <v>130211</v>
      </c>
      <c r="E12" s="1112">
        <v>649.81582900037017</v>
      </c>
      <c r="F12" s="1111">
        <f t="shared" si="0"/>
        <v>8.46131689099672</v>
      </c>
    </row>
    <row r="13" spans="1:6" ht="15.75">
      <c r="A13" s="1113">
        <v>11</v>
      </c>
      <c r="B13" s="1105" t="s">
        <v>2329</v>
      </c>
      <c r="C13" s="1105" t="s">
        <v>2330</v>
      </c>
      <c r="D13" s="1105">
        <v>130211</v>
      </c>
      <c r="E13" s="1112">
        <v>649.81582900037017</v>
      </c>
      <c r="F13" s="1111">
        <f t="shared" si="0"/>
        <v>8.46131689099672</v>
      </c>
    </row>
    <row r="14" spans="1:6" ht="15.75">
      <c r="A14" s="1113">
        <v>12</v>
      </c>
      <c r="B14" s="1105" t="s">
        <v>2331</v>
      </c>
      <c r="C14" s="1105" t="s">
        <v>2328</v>
      </c>
      <c r="D14" s="1105">
        <v>42000</v>
      </c>
      <c r="E14" s="1109">
        <v>669.32404330633506</v>
      </c>
      <c r="F14" s="1111">
        <f t="shared" si="0"/>
        <v>2.8111609818866072</v>
      </c>
    </row>
    <row r="15" spans="1:6" ht="15.75">
      <c r="A15" s="1113">
        <v>13</v>
      </c>
      <c r="B15" s="1105" t="s">
        <v>2332</v>
      </c>
      <c r="C15" s="1105" t="s">
        <v>2330</v>
      </c>
      <c r="D15" s="1105">
        <v>42000</v>
      </c>
      <c r="E15" s="1109">
        <v>663.08677437069593</v>
      </c>
      <c r="F15" s="1111">
        <f t="shared" si="0"/>
        <v>2.784964452356923</v>
      </c>
    </row>
    <row r="16" spans="1:6" ht="15.75">
      <c r="A16" s="1113">
        <v>14</v>
      </c>
      <c r="B16" s="1105" t="s">
        <v>2340</v>
      </c>
      <c r="C16" s="1105" t="s">
        <v>471</v>
      </c>
      <c r="D16" s="1105">
        <v>172211</v>
      </c>
      <c r="E16" s="1112">
        <v>773.15085653264714</v>
      </c>
      <c r="F16" s="1111">
        <f t="shared" ref="F16:F25" si="1">D16*E16/10^7</f>
        <v>13.314508215434369</v>
      </c>
    </row>
    <row r="17" spans="1:6" ht="15.75">
      <c r="A17" s="1113">
        <v>15</v>
      </c>
      <c r="B17" s="1105" t="s">
        <v>2344</v>
      </c>
      <c r="C17" s="1105" t="s">
        <v>473</v>
      </c>
      <c r="D17" s="1105">
        <v>172211</v>
      </c>
      <c r="E17" s="1112">
        <v>773.1460398611473</v>
      </c>
      <c r="F17" s="1111">
        <f t="shared" si="1"/>
        <v>13.314425267052805</v>
      </c>
    </row>
    <row r="18" spans="1:6" ht="15.75">
      <c r="A18" s="1113">
        <v>16</v>
      </c>
      <c r="B18" s="1105" t="s">
        <v>2346</v>
      </c>
      <c r="C18" s="1105" t="s">
        <v>1111</v>
      </c>
      <c r="D18" s="1105">
        <v>172211</v>
      </c>
      <c r="E18" s="1112">
        <v>784.38971546764185</v>
      </c>
      <c r="F18" s="1111">
        <f t="shared" si="1"/>
        <v>13.508053729039807</v>
      </c>
    </row>
    <row r="19" spans="1:6" ht="15.75">
      <c r="A19" s="1113">
        <v>17</v>
      </c>
      <c r="B19" s="1105" t="s">
        <v>2348</v>
      </c>
      <c r="C19" s="1105" t="s">
        <v>1112</v>
      </c>
      <c r="D19" s="1105">
        <v>172211</v>
      </c>
      <c r="E19" s="1112">
        <v>784.39434905084181</v>
      </c>
      <c r="F19" s="1111">
        <f t="shared" si="1"/>
        <v>13.508133524439451</v>
      </c>
    </row>
    <row r="20" spans="1:6" ht="15.75">
      <c r="A20" s="1113">
        <v>18</v>
      </c>
      <c r="B20" s="1105" t="s">
        <v>2351</v>
      </c>
      <c r="C20" s="1105" t="s">
        <v>2352</v>
      </c>
      <c r="D20" s="1105">
        <v>149150</v>
      </c>
      <c r="E20" s="1112">
        <v>798.52656623817268</v>
      </c>
      <c r="F20" s="1111">
        <f t="shared" si="1"/>
        <v>11.910023735442344</v>
      </c>
    </row>
    <row r="21" spans="1:6" ht="15.75">
      <c r="A21" s="1113">
        <v>19</v>
      </c>
      <c r="B21" s="1105" t="s">
        <v>2354</v>
      </c>
      <c r="C21" s="1105" t="s">
        <v>2352</v>
      </c>
      <c r="D21" s="1105">
        <v>23061</v>
      </c>
      <c r="E21" s="1109">
        <v>822.45432650089731</v>
      </c>
      <c r="F21" s="1111">
        <f t="shared" si="1"/>
        <v>1.8966619223437193</v>
      </c>
    </row>
    <row r="22" spans="1:6" ht="15.75">
      <c r="A22" s="1113">
        <v>20</v>
      </c>
      <c r="B22" s="1105" t="s">
        <v>2355</v>
      </c>
      <c r="C22" s="1105" t="s">
        <v>2353</v>
      </c>
      <c r="D22" s="1105">
        <v>149150</v>
      </c>
      <c r="E22" s="1112">
        <v>822.45432650089731</v>
      </c>
      <c r="F22" s="1111">
        <f t="shared" si="1"/>
        <v>12.266906279760883</v>
      </c>
    </row>
    <row r="23" spans="1:6" ht="15.75">
      <c r="A23" s="1113">
        <v>21</v>
      </c>
      <c r="B23" s="1105" t="s">
        <v>2356</v>
      </c>
      <c r="C23" s="1105" t="s">
        <v>2353</v>
      </c>
      <c r="D23" s="1105">
        <v>23061</v>
      </c>
      <c r="E23" s="1109">
        <v>799.68496203817278</v>
      </c>
      <c r="F23" s="1111">
        <f t="shared" si="1"/>
        <v>1.84415349095623</v>
      </c>
    </row>
    <row r="24" spans="1:6" ht="15.75">
      <c r="A24" s="1113">
        <v>22</v>
      </c>
      <c r="B24" s="1105" t="s">
        <v>2363</v>
      </c>
      <c r="C24" s="1105" t="s">
        <v>2364</v>
      </c>
      <c r="D24" s="1105">
        <v>172211</v>
      </c>
      <c r="E24" s="1112">
        <v>488.66495891799724</v>
      </c>
      <c r="F24" s="1111">
        <f t="shared" si="1"/>
        <v>8.4153481240227226</v>
      </c>
    </row>
    <row r="25" spans="1:6" ht="15.75">
      <c r="A25" s="1113">
        <v>23</v>
      </c>
      <c r="B25" s="1105" t="s">
        <v>2366</v>
      </c>
      <c r="C25" s="1105" t="s">
        <v>2365</v>
      </c>
      <c r="D25" s="1105">
        <v>172211</v>
      </c>
      <c r="E25" s="1112">
        <v>488.66495891799724</v>
      </c>
      <c r="F25" s="1111">
        <f t="shared" si="1"/>
        <v>8.4153481240227226</v>
      </c>
    </row>
    <row r="26" spans="1:6" ht="15.75">
      <c r="A26" s="1113">
        <v>24</v>
      </c>
      <c r="B26" s="1105" t="s">
        <v>2334</v>
      </c>
      <c r="C26" s="1105" t="s">
        <v>2335</v>
      </c>
      <c r="D26" s="1105">
        <v>98000</v>
      </c>
      <c r="E26" s="1112">
        <v>1062.9072450992483</v>
      </c>
      <c r="F26" s="1111">
        <f t="shared" si="0"/>
        <v>10.416491001972634</v>
      </c>
    </row>
    <row r="27" spans="1:6" ht="15.75">
      <c r="A27" s="1113">
        <v>25</v>
      </c>
      <c r="B27" s="1105" t="s">
        <v>2336</v>
      </c>
      <c r="C27" s="1105" t="s">
        <v>2335</v>
      </c>
      <c r="D27" s="1105">
        <v>42000</v>
      </c>
      <c r="E27" s="1109">
        <v>1476.9686005175265</v>
      </c>
      <c r="F27" s="1111">
        <f t="shared" si="0"/>
        <v>6.2032681221736112</v>
      </c>
    </row>
    <row r="28" spans="1:6" ht="15.75">
      <c r="A28" s="1113">
        <v>26</v>
      </c>
      <c r="B28" s="1105" t="s">
        <v>2337</v>
      </c>
      <c r="C28" s="1105" t="s">
        <v>2335</v>
      </c>
      <c r="D28" s="1105">
        <v>32211</v>
      </c>
      <c r="E28" s="1109">
        <v>1085.3749327822513</v>
      </c>
      <c r="F28" s="1111">
        <f t="shared" si="0"/>
        <v>3.4961011959849095</v>
      </c>
    </row>
    <row r="29" spans="1:6" ht="15.75">
      <c r="A29" s="1113">
        <v>27</v>
      </c>
      <c r="B29" s="1105" t="s">
        <v>2338</v>
      </c>
      <c r="C29" s="1105" t="s">
        <v>2339</v>
      </c>
      <c r="D29" s="1105">
        <v>98000</v>
      </c>
      <c r="E29" s="1112">
        <v>1059.2221097943484</v>
      </c>
      <c r="F29" s="1111">
        <f t="shared" si="0"/>
        <v>10.380376675984614</v>
      </c>
    </row>
    <row r="30" spans="1:6" ht="15.75">
      <c r="A30" s="1113">
        <v>28</v>
      </c>
      <c r="B30" s="1105" t="s">
        <v>2338</v>
      </c>
      <c r="C30" s="1105" t="s">
        <v>2339</v>
      </c>
      <c r="D30" s="1105">
        <v>42000</v>
      </c>
      <c r="E30" s="1109">
        <v>1471.2939920793488</v>
      </c>
      <c r="F30" s="1111">
        <f t="shared" si="0"/>
        <v>6.179434766733265</v>
      </c>
    </row>
    <row r="31" spans="1:6" ht="15.75">
      <c r="A31" s="1113">
        <v>29</v>
      </c>
      <c r="B31" s="1105" t="s">
        <v>2338</v>
      </c>
      <c r="C31" s="1105" t="s">
        <v>2339</v>
      </c>
      <c r="D31" s="1105">
        <v>32211</v>
      </c>
      <c r="E31" s="1109">
        <v>1085.4029563154966</v>
      </c>
      <c r="F31" s="1111">
        <f t="shared" si="0"/>
        <v>3.4961914625878459</v>
      </c>
    </row>
    <row r="32" spans="1:6" ht="16.5" thickBot="1">
      <c r="A32" s="1113">
        <v>34</v>
      </c>
      <c r="B32" s="1105" t="s">
        <v>2376</v>
      </c>
      <c r="C32" s="1105" t="s">
        <v>200</v>
      </c>
      <c r="D32" s="1105">
        <v>172211</v>
      </c>
      <c r="E32" s="1116">
        <v>1212.4722660214679</v>
      </c>
      <c r="F32" s="1111"/>
    </row>
    <row r="33" spans="1:6" ht="15.75">
      <c r="A33" s="1113">
        <v>30</v>
      </c>
      <c r="B33" s="1105" t="s">
        <v>2370</v>
      </c>
      <c r="C33" s="1105" t="s">
        <v>1684</v>
      </c>
      <c r="D33" s="1105">
        <v>140000</v>
      </c>
      <c r="E33" s="1112">
        <v>2383.4346597759995</v>
      </c>
      <c r="F33" s="1111">
        <f t="shared" si="0"/>
        <v>33.368085236863998</v>
      </c>
    </row>
    <row r="34" spans="1:6" ht="15.75">
      <c r="A34" s="1113">
        <v>31</v>
      </c>
      <c r="B34" s="1105" t="s">
        <v>2371</v>
      </c>
      <c r="C34" s="1105" t="s">
        <v>1684</v>
      </c>
      <c r="D34" s="1105">
        <v>32211</v>
      </c>
      <c r="E34" s="1109">
        <v>2420.7672524023965</v>
      </c>
      <c r="F34" s="1111">
        <f t="shared" si="0"/>
        <v>7.7975333967133595</v>
      </c>
    </row>
    <row r="35" spans="1:6" ht="15.75">
      <c r="A35" s="1113">
        <v>32</v>
      </c>
      <c r="B35" s="1105" t="s">
        <v>2373</v>
      </c>
      <c r="C35" s="1105" t="s">
        <v>1685</v>
      </c>
      <c r="D35" s="1105">
        <v>140000</v>
      </c>
      <c r="E35" s="1112">
        <v>2312.380781363991</v>
      </c>
      <c r="F35" s="1111">
        <f t="shared" si="0"/>
        <v>32.373330939095872</v>
      </c>
    </row>
    <row r="36" spans="1:6" ht="15.75">
      <c r="A36" s="1113">
        <v>33</v>
      </c>
      <c r="B36" s="1105" t="s">
        <v>2372</v>
      </c>
      <c r="C36" s="1105" t="s">
        <v>1685</v>
      </c>
      <c r="D36" s="1105">
        <v>32211</v>
      </c>
      <c r="E36" s="1109">
        <v>2349.5300554519877</v>
      </c>
      <c r="F36" s="1111">
        <f t="shared" si="0"/>
        <v>7.5680712616163968</v>
      </c>
    </row>
    <row r="37" spans="1:6" ht="15.6" customHeight="1">
      <c r="A37" s="2208" t="s">
        <v>2392</v>
      </c>
      <c r="B37" s="2208"/>
      <c r="C37" s="2208"/>
      <c r="D37" s="2209"/>
      <c r="E37" s="1114">
        <f>+E3+E4+E5+E6+E8+E10+E11+E12+E13+E16+E17+E18+E19+E20+E22+E24+E25+E26+E29+E32+E33+E35</f>
        <v>16647.217833687904</v>
      </c>
      <c r="F37" s="1111">
        <f>SUM(F3:F36)</f>
        <v>265.36952923164517</v>
      </c>
    </row>
  </sheetData>
  <autoFilter ref="A2:F37"/>
  <mergeCells count="7">
    <mergeCell ref="F1:F2"/>
    <mergeCell ref="A1:A2"/>
    <mergeCell ref="A37:D37"/>
    <mergeCell ref="B1:B2"/>
    <mergeCell ref="C1:C2"/>
    <mergeCell ref="D1:D2"/>
    <mergeCell ref="E1:E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81"/>
  <sheetViews>
    <sheetView workbookViewId="0">
      <selection activeCell="Y3" sqref="Y3"/>
    </sheetView>
  </sheetViews>
  <sheetFormatPr defaultColWidth="9.140625" defaultRowHeight="15"/>
  <cols>
    <col min="1" max="1" width="5" style="18" bestFit="1" customWidth="1"/>
    <col min="2" max="2" width="8.5703125" style="18" bestFit="1" customWidth="1"/>
    <col min="3" max="3" width="10.140625" style="18" hidden="1" customWidth="1"/>
    <col min="4" max="4" width="20.140625" style="18" bestFit="1" customWidth="1"/>
    <col min="5" max="5" width="13.5703125" style="18" bestFit="1" customWidth="1"/>
    <col min="6" max="6" width="36.42578125" style="18" bestFit="1" customWidth="1"/>
    <col min="7" max="7" width="15.85546875" style="18" hidden="1" customWidth="1"/>
    <col min="8" max="8" width="7.140625" style="18" bestFit="1" customWidth="1"/>
    <col min="9" max="9" width="8.28515625" style="18" hidden="1" customWidth="1"/>
    <col min="10" max="10" width="7" style="18" hidden="1" customWidth="1"/>
    <col min="11" max="11" width="8.28515625" style="18" hidden="1" customWidth="1"/>
    <col min="12" max="12" width="8" style="18" hidden="1" customWidth="1"/>
    <col min="13" max="13" width="7.5703125" style="18" bestFit="1" customWidth="1"/>
    <col min="14" max="14" width="10.42578125" style="18" hidden="1" customWidth="1"/>
    <col min="15" max="15" width="10.5703125" style="18" hidden="1" customWidth="1"/>
    <col min="16" max="16" width="14" style="18" hidden="1" customWidth="1"/>
    <col min="17" max="17" width="7.140625" style="18" hidden="1" customWidth="1"/>
    <col min="18" max="18" width="21.140625" style="18" hidden="1" customWidth="1"/>
    <col min="19" max="19" width="10.140625" style="18" hidden="1" customWidth="1"/>
    <col min="20" max="20" width="11" style="18" hidden="1" customWidth="1"/>
    <col min="21" max="21" width="12.85546875" style="18" hidden="1" customWidth="1"/>
    <col min="22" max="22" width="13.140625" style="18" customWidth="1"/>
    <col min="23" max="23" width="12" style="18" bestFit="1" customWidth="1"/>
    <col min="24" max="25" width="9.5703125" style="18" bestFit="1" customWidth="1"/>
    <col min="26" max="26" width="9.5703125" style="18" customWidth="1"/>
    <col min="27" max="27" width="8.42578125" style="18" customWidth="1"/>
    <col min="28" max="29" width="15.28515625" style="18" customWidth="1"/>
    <col min="30" max="16384" width="9.140625" style="18"/>
  </cols>
  <sheetData>
    <row r="1" spans="1:29" ht="25.5" customHeight="1">
      <c r="A1" s="2212" t="s">
        <v>0</v>
      </c>
      <c r="B1" s="2210" t="s">
        <v>1</v>
      </c>
      <c r="C1" s="2210" t="s">
        <v>2</v>
      </c>
      <c r="D1" s="2210" t="s">
        <v>5</v>
      </c>
      <c r="E1" s="2210" t="s">
        <v>3</v>
      </c>
      <c r="F1" s="2210" t="s">
        <v>4</v>
      </c>
      <c r="G1" s="2210" t="s">
        <v>6</v>
      </c>
      <c r="H1" s="2210" t="s">
        <v>7</v>
      </c>
      <c r="I1" s="2210" t="s">
        <v>8</v>
      </c>
      <c r="J1" s="2210" t="s">
        <v>9</v>
      </c>
      <c r="K1" s="2210" t="s">
        <v>10</v>
      </c>
      <c r="L1" s="2210" t="s">
        <v>11</v>
      </c>
      <c r="M1" s="2210" t="s">
        <v>12</v>
      </c>
      <c r="N1" s="2210" t="s">
        <v>55</v>
      </c>
      <c r="O1" s="2210" t="s">
        <v>116</v>
      </c>
      <c r="P1" s="2210" t="s">
        <v>13</v>
      </c>
      <c r="Q1" s="2210" t="s">
        <v>14</v>
      </c>
      <c r="R1" s="2210" t="s">
        <v>110</v>
      </c>
      <c r="S1" s="2210" t="s">
        <v>15</v>
      </c>
      <c r="T1" s="2210" t="s">
        <v>1174</v>
      </c>
      <c r="U1" s="2210" t="s">
        <v>302</v>
      </c>
      <c r="V1" s="2214" t="s">
        <v>1215</v>
      </c>
      <c r="W1" s="474"/>
      <c r="X1" s="2216" t="s">
        <v>349</v>
      </c>
      <c r="Y1" s="2216"/>
      <c r="Z1" s="2216"/>
      <c r="AA1" s="2216"/>
      <c r="AB1" s="475"/>
      <c r="AC1" s="475"/>
    </row>
    <row r="2" spans="1:29" s="455" customFormat="1" ht="66" customHeight="1" thickBot="1">
      <c r="A2" s="2213"/>
      <c r="B2" s="2211"/>
      <c r="C2" s="2211"/>
      <c r="D2" s="2211"/>
      <c r="E2" s="2211"/>
      <c r="F2" s="2211"/>
      <c r="G2" s="2211"/>
      <c r="H2" s="2211"/>
      <c r="I2" s="2211"/>
      <c r="J2" s="2211"/>
      <c r="K2" s="2211"/>
      <c r="L2" s="2211"/>
      <c r="M2" s="2211"/>
      <c r="N2" s="2211"/>
      <c r="O2" s="2211"/>
      <c r="P2" s="2211"/>
      <c r="Q2" s="2211"/>
      <c r="R2" s="2211"/>
      <c r="S2" s="2211"/>
      <c r="T2" s="2211"/>
      <c r="U2" s="2211"/>
      <c r="V2" s="2215"/>
      <c r="W2" s="476" t="s">
        <v>856</v>
      </c>
      <c r="X2" s="477" t="s">
        <v>347</v>
      </c>
      <c r="Y2" s="477" t="s">
        <v>168</v>
      </c>
      <c r="Z2" s="477" t="s">
        <v>169</v>
      </c>
      <c r="AA2" s="477" t="s">
        <v>350</v>
      </c>
      <c r="AB2" s="476" t="s">
        <v>19</v>
      </c>
      <c r="AC2" s="476" t="s">
        <v>1051</v>
      </c>
    </row>
    <row r="3" spans="1:29">
      <c r="A3" s="2223">
        <v>1</v>
      </c>
      <c r="B3" s="2226" t="s">
        <v>1030</v>
      </c>
      <c r="C3" s="441"/>
      <c r="D3" s="2229" t="s">
        <v>1031</v>
      </c>
      <c r="E3" s="441" t="s">
        <v>1032</v>
      </c>
      <c r="F3" s="441" t="s">
        <v>572</v>
      </c>
      <c r="G3" s="2220" t="s">
        <v>299</v>
      </c>
      <c r="H3" s="441">
        <v>30000</v>
      </c>
      <c r="I3" s="441" t="s">
        <v>34</v>
      </c>
      <c r="J3" s="441" t="s">
        <v>34</v>
      </c>
      <c r="K3" s="441" t="s">
        <v>34</v>
      </c>
      <c r="L3" s="441" t="s">
        <v>35</v>
      </c>
      <c r="M3" s="441" t="s">
        <v>1039</v>
      </c>
      <c r="N3" s="2226" t="s">
        <v>1003</v>
      </c>
      <c r="O3" s="2226" t="s">
        <v>1040</v>
      </c>
      <c r="P3" s="441"/>
      <c r="Q3" s="441"/>
      <c r="R3" s="441"/>
      <c r="S3" s="2226" t="s">
        <v>1003</v>
      </c>
      <c r="T3" s="2220" t="s">
        <v>1178</v>
      </c>
      <c r="U3" s="2220" t="s">
        <v>1179</v>
      </c>
      <c r="V3" s="2220" t="s">
        <v>1216</v>
      </c>
      <c r="W3" s="456">
        <v>172.04888485892801</v>
      </c>
      <c r="X3" s="456">
        <v>461.61169948039174</v>
      </c>
      <c r="Y3" s="456">
        <v>457.00376224423599</v>
      </c>
      <c r="Z3" s="441">
        <v>78.5</v>
      </c>
      <c r="AA3" s="456">
        <v>17.735749999999999</v>
      </c>
      <c r="AB3" s="456">
        <f t="shared" ref="AB3:AB11" si="0">X3*H3</f>
        <v>13848350.984411752</v>
      </c>
      <c r="AC3" s="2217">
        <f>X3+X4</f>
        <v>908.7794084643333</v>
      </c>
    </row>
    <row r="4" spans="1:29">
      <c r="A4" s="2224"/>
      <c r="B4" s="2227"/>
      <c r="C4" s="55"/>
      <c r="D4" s="2230"/>
      <c r="E4" s="55" t="s">
        <v>1033</v>
      </c>
      <c r="F4" s="55" t="s">
        <v>569</v>
      </c>
      <c r="G4" s="2221"/>
      <c r="H4" s="55">
        <v>30000</v>
      </c>
      <c r="I4" s="55" t="s">
        <v>34</v>
      </c>
      <c r="J4" s="55" t="s">
        <v>34</v>
      </c>
      <c r="K4" s="55" t="s">
        <v>34</v>
      </c>
      <c r="L4" s="55" t="s">
        <v>35</v>
      </c>
      <c r="M4" s="55" t="s">
        <v>1039</v>
      </c>
      <c r="N4" s="2227"/>
      <c r="O4" s="2227"/>
      <c r="P4" s="55"/>
      <c r="Q4" s="55"/>
      <c r="R4" s="55"/>
      <c r="S4" s="2227"/>
      <c r="T4" s="2221"/>
      <c r="U4" s="2221"/>
      <c r="V4" s="2221"/>
      <c r="W4" s="457">
        <v>165.50923535892798</v>
      </c>
      <c r="X4" s="457">
        <v>447.16770898394157</v>
      </c>
      <c r="Y4" s="457">
        <v>486.79766681793848</v>
      </c>
      <c r="Z4" s="30">
        <v>10.75</v>
      </c>
      <c r="AA4" s="457"/>
      <c r="AB4" s="457">
        <f t="shared" si="0"/>
        <v>13415031.269518247</v>
      </c>
      <c r="AC4" s="2218"/>
    </row>
    <row r="5" spans="1:29">
      <c r="A5" s="2224"/>
      <c r="B5" s="2227"/>
      <c r="C5" s="55"/>
      <c r="D5" s="2230"/>
      <c r="E5" s="55" t="s">
        <v>1034</v>
      </c>
      <c r="F5" s="55" t="s">
        <v>572</v>
      </c>
      <c r="G5" s="2221"/>
      <c r="H5" s="55">
        <v>30000</v>
      </c>
      <c r="I5" s="55" t="s">
        <v>34</v>
      </c>
      <c r="J5" s="55" t="s">
        <v>34</v>
      </c>
      <c r="K5" s="55" t="s">
        <v>34</v>
      </c>
      <c r="L5" s="55" t="s">
        <v>35</v>
      </c>
      <c r="M5" s="55" t="s">
        <v>1039</v>
      </c>
      <c r="N5" s="2227"/>
      <c r="O5" s="2227"/>
      <c r="P5" s="55"/>
      <c r="Q5" s="55"/>
      <c r="R5" s="55"/>
      <c r="S5" s="2227"/>
      <c r="T5" s="2221"/>
      <c r="U5" s="2221"/>
      <c r="V5" s="2221"/>
      <c r="W5" s="457">
        <v>165.513235358928</v>
      </c>
      <c r="X5" s="457">
        <v>447.17185738394164</v>
      </c>
      <c r="Y5" s="457">
        <v>0</v>
      </c>
      <c r="Z5" s="55"/>
      <c r="AA5" s="457"/>
      <c r="AB5" s="457">
        <f t="shared" si="0"/>
        <v>13415155.72151825</v>
      </c>
      <c r="AC5" s="2218"/>
    </row>
    <row r="6" spans="1:29">
      <c r="A6" s="2224"/>
      <c r="B6" s="2227"/>
      <c r="C6" s="55"/>
      <c r="D6" s="2230"/>
      <c r="E6" s="55" t="s">
        <v>1035</v>
      </c>
      <c r="F6" s="55" t="s">
        <v>569</v>
      </c>
      <c r="G6" s="2221"/>
      <c r="H6" s="55">
        <v>30000</v>
      </c>
      <c r="I6" s="55" t="s">
        <v>34</v>
      </c>
      <c r="J6" s="55" t="s">
        <v>34</v>
      </c>
      <c r="K6" s="55" t="s">
        <v>34</v>
      </c>
      <c r="L6" s="55" t="s">
        <v>35</v>
      </c>
      <c r="M6" s="55" t="s">
        <v>1039</v>
      </c>
      <c r="N6" s="2227"/>
      <c r="O6" s="2227"/>
      <c r="P6" s="55"/>
      <c r="Q6" s="55"/>
      <c r="R6" s="55"/>
      <c r="S6" s="2227"/>
      <c r="T6" s="2221"/>
      <c r="U6" s="2221"/>
      <c r="V6" s="2221"/>
      <c r="W6" s="457">
        <v>172.04888485892801</v>
      </c>
      <c r="X6" s="457">
        <v>461.61169948039174</v>
      </c>
      <c r="Y6" s="457">
        <v>0</v>
      </c>
      <c r="Z6" s="55"/>
      <c r="AA6" s="457"/>
      <c r="AB6" s="457">
        <f t="shared" si="0"/>
        <v>13848350.984411752</v>
      </c>
      <c r="AC6" s="2218"/>
    </row>
    <row r="7" spans="1:29">
      <c r="A7" s="2224"/>
      <c r="B7" s="2227"/>
      <c r="C7" s="55"/>
      <c r="D7" s="2230"/>
      <c r="E7" s="55" t="s">
        <v>1036</v>
      </c>
      <c r="F7" s="55" t="s">
        <v>572</v>
      </c>
      <c r="G7" s="2221"/>
      <c r="H7" s="55">
        <v>15000</v>
      </c>
      <c r="I7" s="55" t="s">
        <v>34</v>
      </c>
      <c r="J7" s="55" t="s">
        <v>34</v>
      </c>
      <c r="K7" s="55" t="s">
        <v>34</v>
      </c>
      <c r="L7" s="55" t="s">
        <v>35</v>
      </c>
      <c r="M7" s="55" t="s">
        <v>1039</v>
      </c>
      <c r="N7" s="2227"/>
      <c r="O7" s="2227"/>
      <c r="P7" s="55"/>
      <c r="Q7" s="55"/>
      <c r="R7" s="55"/>
      <c r="S7" s="2227"/>
      <c r="T7" s="2221"/>
      <c r="U7" s="2221"/>
      <c r="V7" s="2221"/>
      <c r="W7" s="457">
        <v>120.42270535672799</v>
      </c>
      <c r="X7" s="457">
        <v>373.06585598658467</v>
      </c>
      <c r="Y7" s="457">
        <v>41.973206118292964</v>
      </c>
      <c r="Z7" s="55">
        <v>2.5</v>
      </c>
      <c r="AA7" s="457">
        <v>17.735749999999999</v>
      </c>
      <c r="AB7" s="457">
        <f t="shared" si="0"/>
        <v>5595987.8397987699</v>
      </c>
      <c r="AC7" s="2218">
        <f>X7+X8</f>
        <v>730.88149867671927</v>
      </c>
    </row>
    <row r="8" spans="1:29">
      <c r="A8" s="2224"/>
      <c r="B8" s="2227"/>
      <c r="C8" s="55"/>
      <c r="D8" s="2230"/>
      <c r="E8" s="55" t="s">
        <v>1037</v>
      </c>
      <c r="F8" s="55" t="s">
        <v>569</v>
      </c>
      <c r="G8" s="2221"/>
      <c r="H8" s="55">
        <v>15000</v>
      </c>
      <c r="I8" s="55" t="s">
        <v>34</v>
      </c>
      <c r="J8" s="55" t="s">
        <v>34</v>
      </c>
      <c r="K8" s="55" t="s">
        <v>34</v>
      </c>
      <c r="L8" s="55" t="s">
        <v>35</v>
      </c>
      <c r="M8" s="55" t="s">
        <v>1039</v>
      </c>
      <c r="N8" s="2227"/>
      <c r="O8" s="2227"/>
      <c r="P8" s="55"/>
      <c r="Q8" s="55"/>
      <c r="R8" s="55"/>
      <c r="S8" s="2227"/>
      <c r="T8" s="2221"/>
      <c r="U8" s="2221"/>
      <c r="V8" s="2221"/>
      <c r="W8" s="457">
        <v>113.47505585672799</v>
      </c>
      <c r="X8" s="457">
        <v>357.81564269013461</v>
      </c>
      <c r="Y8" s="457">
        <v>41.973206118292964</v>
      </c>
      <c r="Z8" s="55">
        <v>2.5</v>
      </c>
      <c r="AA8" s="457"/>
      <c r="AB8" s="457">
        <f t="shared" si="0"/>
        <v>5367234.6403520191</v>
      </c>
      <c r="AC8" s="2218"/>
    </row>
    <row r="9" spans="1:29">
      <c r="A9" s="2224"/>
      <c r="B9" s="2227"/>
      <c r="C9" s="55"/>
      <c r="D9" s="2230"/>
      <c r="E9" s="55" t="s">
        <v>1038</v>
      </c>
      <c r="F9" s="55" t="s">
        <v>569</v>
      </c>
      <c r="G9" s="2221"/>
      <c r="H9" s="55">
        <v>15000</v>
      </c>
      <c r="I9" s="55" t="s">
        <v>34</v>
      </c>
      <c r="J9" s="55" t="s">
        <v>34</v>
      </c>
      <c r="K9" s="55" t="s">
        <v>34</v>
      </c>
      <c r="L9" s="55" t="s">
        <v>35</v>
      </c>
      <c r="M9" s="55" t="s">
        <v>1039</v>
      </c>
      <c r="N9" s="2227"/>
      <c r="O9" s="2227"/>
      <c r="P9" s="55"/>
      <c r="Q9" s="55"/>
      <c r="R9" s="55"/>
      <c r="S9" s="2227"/>
      <c r="T9" s="2221"/>
      <c r="U9" s="2221"/>
      <c r="V9" s="2221"/>
      <c r="W9" s="457">
        <v>120.42270535672799</v>
      </c>
      <c r="X9" s="457">
        <v>373.06585598658467</v>
      </c>
      <c r="Y9" s="457">
        <v>0</v>
      </c>
      <c r="Z9" s="55"/>
      <c r="AA9" s="457"/>
      <c r="AB9" s="457">
        <f t="shared" si="0"/>
        <v>5595987.8397987699</v>
      </c>
      <c r="AC9" s="2218"/>
    </row>
    <row r="10" spans="1:29" ht="15.75" thickBot="1">
      <c r="A10" s="2225"/>
      <c r="B10" s="2228"/>
      <c r="C10" s="454"/>
      <c r="D10" s="2231"/>
      <c r="E10" s="454" t="s">
        <v>1168</v>
      </c>
      <c r="F10" s="454" t="s">
        <v>572</v>
      </c>
      <c r="G10" s="2222"/>
      <c r="H10" s="454">
        <v>15000</v>
      </c>
      <c r="I10" s="454" t="s">
        <v>34</v>
      </c>
      <c r="J10" s="454" t="s">
        <v>34</v>
      </c>
      <c r="K10" s="454" t="s">
        <v>34</v>
      </c>
      <c r="L10" s="454" t="s">
        <v>35</v>
      </c>
      <c r="M10" s="55" t="s">
        <v>1039</v>
      </c>
      <c r="N10" s="2228"/>
      <c r="O10" s="2228"/>
      <c r="P10" s="454"/>
      <c r="Q10" s="454"/>
      <c r="R10" s="454"/>
      <c r="S10" s="2228"/>
      <c r="T10" s="2222"/>
      <c r="U10" s="2222"/>
      <c r="V10" s="2222"/>
      <c r="W10" s="458">
        <v>113.47505585672799</v>
      </c>
      <c r="X10" s="458">
        <v>357.81564269013461</v>
      </c>
      <c r="Y10" s="458">
        <v>0</v>
      </c>
      <c r="Z10" s="454"/>
      <c r="AA10" s="454"/>
      <c r="AB10" s="457">
        <f t="shared" si="0"/>
        <v>5367234.6403520191</v>
      </c>
      <c r="AC10" s="2219"/>
    </row>
    <row r="11" spans="1:29" ht="15.75" thickBot="1">
      <c r="A11" s="478">
        <v>5</v>
      </c>
      <c r="B11" s="479" t="s">
        <v>1030</v>
      </c>
      <c r="C11" s="459"/>
      <c r="D11" s="494" t="s">
        <v>1170</v>
      </c>
      <c r="E11" s="479" t="s">
        <v>1171</v>
      </c>
      <c r="F11" s="479" t="s">
        <v>1172</v>
      </c>
      <c r="G11" s="479" t="s">
        <v>299</v>
      </c>
      <c r="H11" s="479">
        <v>94378</v>
      </c>
      <c r="I11" s="208" t="s">
        <v>34</v>
      </c>
      <c r="J11" s="208" t="s">
        <v>34</v>
      </c>
      <c r="K11" s="208" t="s">
        <v>34</v>
      </c>
      <c r="L11" s="208" t="s">
        <v>35</v>
      </c>
      <c r="M11" s="55" t="s">
        <v>36</v>
      </c>
      <c r="N11" s="55" t="s">
        <v>1173</v>
      </c>
      <c r="O11" s="55" t="s">
        <v>1169</v>
      </c>
      <c r="P11" s="55"/>
      <c r="Q11" s="55"/>
      <c r="R11" s="55"/>
      <c r="S11" s="55" t="s">
        <v>1173</v>
      </c>
      <c r="T11" s="55" t="s">
        <v>1175</v>
      </c>
      <c r="U11" s="55" t="s">
        <v>1175</v>
      </c>
      <c r="V11" s="55" t="s">
        <v>1216</v>
      </c>
      <c r="W11" s="460">
        <v>314.5</v>
      </c>
      <c r="X11" s="460">
        <v>585.79999999999995</v>
      </c>
      <c r="Y11" s="460">
        <v>172.35</v>
      </c>
      <c r="Z11" s="460">
        <v>20</v>
      </c>
      <c r="AA11" s="460">
        <v>25.7</v>
      </c>
      <c r="AB11" s="460">
        <f t="shared" si="0"/>
        <v>55286632.399999999</v>
      </c>
      <c r="AC11" s="460">
        <f>X11</f>
        <v>585.79999999999995</v>
      </c>
    </row>
    <row r="12" spans="1:29" ht="15.75" thickBot="1">
      <c r="A12" s="207">
        <v>7</v>
      </c>
      <c r="B12" s="208" t="str">
        <f>B74</f>
        <v>YWD</v>
      </c>
      <c r="C12" s="461"/>
      <c r="D12" s="495" t="s">
        <v>1053</v>
      </c>
      <c r="E12" s="208" t="s">
        <v>1071</v>
      </c>
      <c r="F12" s="208" t="s">
        <v>1103</v>
      </c>
      <c r="G12" s="208" t="s">
        <v>299</v>
      </c>
      <c r="H12" s="208">
        <v>94378</v>
      </c>
      <c r="I12" s="208" t="s">
        <v>34</v>
      </c>
      <c r="J12" s="208" t="s">
        <v>34</v>
      </c>
      <c r="K12" s="208" t="s">
        <v>34</v>
      </c>
      <c r="L12" s="208" t="s">
        <v>35</v>
      </c>
      <c r="M12" s="55" t="s">
        <v>36</v>
      </c>
      <c r="N12" s="55" t="str">
        <f>N74</f>
        <v>02.06.2020</v>
      </c>
      <c r="O12" s="55" t="s">
        <v>1169</v>
      </c>
      <c r="P12" s="55"/>
      <c r="Q12" s="55"/>
      <c r="R12" s="55"/>
      <c r="S12" s="55" t="str">
        <f>S74</f>
        <v>03.06.2020</v>
      </c>
      <c r="T12" s="55" t="s">
        <v>1167</v>
      </c>
      <c r="U12" s="55" t="s">
        <v>1183</v>
      </c>
      <c r="V12" s="55" t="s">
        <v>1216</v>
      </c>
      <c r="W12" s="460">
        <v>466.99</v>
      </c>
      <c r="X12" s="460">
        <v>778.57</v>
      </c>
      <c r="Y12" s="460">
        <v>127.59</v>
      </c>
      <c r="Z12" s="460">
        <v>75.2</v>
      </c>
      <c r="AA12" s="460">
        <v>35.61</v>
      </c>
      <c r="AB12" s="460">
        <f t="shared" ref="AB12:AB34" si="1">X12*H12</f>
        <v>73479879.460000008</v>
      </c>
      <c r="AC12" s="460">
        <v>778.57</v>
      </c>
    </row>
    <row r="13" spans="1:29" ht="15.75" thickBot="1">
      <c r="A13" s="207">
        <v>9</v>
      </c>
      <c r="B13" s="208" t="str">
        <f>B78</f>
        <v>YWD</v>
      </c>
      <c r="C13" s="461"/>
      <c r="D13" s="495" t="s">
        <v>1055</v>
      </c>
      <c r="E13" s="208" t="s">
        <v>1076</v>
      </c>
      <c r="F13" s="208" t="s">
        <v>1106</v>
      </c>
      <c r="G13" s="208" t="str">
        <f>G78</f>
        <v>Akshit chandra</v>
      </c>
      <c r="H13" s="208">
        <v>94378</v>
      </c>
      <c r="I13" s="208" t="s">
        <v>34</v>
      </c>
      <c r="J13" s="208" t="s">
        <v>34</v>
      </c>
      <c r="K13" s="208" t="s">
        <v>34</v>
      </c>
      <c r="L13" s="208" t="s">
        <v>35</v>
      </c>
      <c r="M13" s="55" t="s">
        <v>36</v>
      </c>
      <c r="N13" s="55" t="str">
        <f>N78</f>
        <v>02.06.2020</v>
      </c>
      <c r="O13" s="55" t="s">
        <v>1122</v>
      </c>
      <c r="P13" s="55"/>
      <c r="Q13" s="55"/>
      <c r="R13" s="55"/>
      <c r="S13" s="55" t="str">
        <f>S78</f>
        <v>03.06.2020</v>
      </c>
      <c r="T13" s="55" t="s">
        <v>1167</v>
      </c>
      <c r="U13" s="55" t="s">
        <v>1176</v>
      </c>
      <c r="V13" s="55" t="s">
        <v>1216</v>
      </c>
      <c r="W13" s="460">
        <v>136.84</v>
      </c>
      <c r="X13" s="460">
        <v>333.93</v>
      </c>
      <c r="Y13" s="460">
        <v>218.51</v>
      </c>
      <c r="Z13" s="460">
        <v>45.25</v>
      </c>
      <c r="AA13" s="460">
        <v>23.95</v>
      </c>
      <c r="AB13" s="460">
        <f t="shared" si="1"/>
        <v>31515645.539999999</v>
      </c>
      <c r="AC13" s="460">
        <v>333.93</v>
      </c>
    </row>
    <row r="14" spans="1:29" ht="15.75" thickBot="1">
      <c r="A14" s="207">
        <v>10</v>
      </c>
      <c r="B14" s="208" t="str">
        <f>B13</f>
        <v>YWD</v>
      </c>
      <c r="C14" s="461"/>
      <c r="D14" s="495" t="s">
        <v>1056</v>
      </c>
      <c r="E14" s="208" t="s">
        <v>1077</v>
      </c>
      <c r="F14" s="208" t="s">
        <v>225</v>
      </c>
      <c r="G14" s="208" t="str">
        <f>G13</f>
        <v>Akshit chandra</v>
      </c>
      <c r="H14" s="208">
        <v>26171</v>
      </c>
      <c r="I14" s="208" t="s">
        <v>34</v>
      </c>
      <c r="J14" s="208" t="s">
        <v>34</v>
      </c>
      <c r="K14" s="208" t="s">
        <v>34</v>
      </c>
      <c r="L14" s="208" t="s">
        <v>35</v>
      </c>
      <c r="M14" s="55" t="s">
        <v>36</v>
      </c>
      <c r="N14" s="55" t="str">
        <f t="shared" ref="N14:N16" si="2">N13</f>
        <v>02.06.2020</v>
      </c>
      <c r="O14" s="55" t="s">
        <v>1122</v>
      </c>
      <c r="P14" s="55"/>
      <c r="Q14" s="55"/>
      <c r="R14" s="55"/>
      <c r="S14" s="55" t="str">
        <f>S13</f>
        <v>03.06.2020</v>
      </c>
      <c r="T14" s="55" t="s">
        <v>1167</v>
      </c>
      <c r="U14" s="55" t="s">
        <v>1176</v>
      </c>
      <c r="V14" s="55" t="s">
        <v>1216</v>
      </c>
      <c r="W14" s="460">
        <v>413.2</v>
      </c>
      <c r="X14" s="460">
        <v>709.92</v>
      </c>
      <c r="Y14" s="460">
        <v>304.88</v>
      </c>
      <c r="Z14" s="460">
        <v>56.5</v>
      </c>
      <c r="AA14" s="460">
        <v>33.21</v>
      </c>
      <c r="AB14" s="460">
        <f t="shared" si="1"/>
        <v>18579316.32</v>
      </c>
      <c r="AC14" s="460">
        <v>709.92</v>
      </c>
    </row>
    <row r="15" spans="1:29" ht="15.75" thickBot="1">
      <c r="A15" s="480">
        <v>11</v>
      </c>
      <c r="B15" s="453" t="str">
        <f>B14</f>
        <v>YWD</v>
      </c>
      <c r="D15" s="496" t="s">
        <v>1057</v>
      </c>
      <c r="E15" s="453" t="s">
        <v>1214</v>
      </c>
      <c r="F15" s="453" t="s">
        <v>1107</v>
      </c>
      <c r="G15" s="453" t="str">
        <f>G14</f>
        <v>Akshit chandra</v>
      </c>
      <c r="H15" s="453">
        <v>68207</v>
      </c>
      <c r="I15" s="453" t="s">
        <v>34</v>
      </c>
      <c r="J15" s="453" t="s">
        <v>34</v>
      </c>
      <c r="K15" s="453" t="s">
        <v>34</v>
      </c>
      <c r="L15" s="453" t="s">
        <v>35</v>
      </c>
      <c r="M15" s="55" t="s">
        <v>36</v>
      </c>
      <c r="N15" s="55" t="str">
        <f t="shared" si="2"/>
        <v>02.06.2020</v>
      </c>
      <c r="O15" s="55" t="s">
        <v>1122</v>
      </c>
      <c r="P15" s="55"/>
      <c r="Q15" s="55"/>
      <c r="R15" s="55"/>
      <c r="S15" s="55" t="str">
        <f>S14</f>
        <v>03.06.2020</v>
      </c>
      <c r="T15" s="55" t="s">
        <v>1167</v>
      </c>
      <c r="U15" s="55" t="s">
        <v>1217</v>
      </c>
      <c r="V15" s="55" t="s">
        <v>1216</v>
      </c>
      <c r="W15" s="460">
        <v>1181.18</v>
      </c>
      <c r="X15" s="460">
        <v>1464.75</v>
      </c>
      <c r="Y15" s="460">
        <v>618.33000000000004</v>
      </c>
      <c r="Z15" s="460">
        <v>95.3</v>
      </c>
      <c r="AA15" s="460">
        <v>64.84</v>
      </c>
      <c r="AB15" s="460">
        <f t="shared" si="1"/>
        <v>99906203.25</v>
      </c>
      <c r="AC15" s="460">
        <v>1464.75</v>
      </c>
    </row>
    <row r="16" spans="1:29" ht="15.75" thickBot="1">
      <c r="A16" s="2238">
        <v>12</v>
      </c>
      <c r="B16" s="2220" t="str">
        <f>B15</f>
        <v>YWD</v>
      </c>
      <c r="C16" s="459"/>
      <c r="D16" s="2239" t="s">
        <v>1058</v>
      </c>
      <c r="E16" s="441" t="s">
        <v>1078</v>
      </c>
      <c r="F16" s="441" t="s">
        <v>1108</v>
      </c>
      <c r="G16" s="2220" t="str">
        <f>G15</f>
        <v>Akshit chandra</v>
      </c>
      <c r="H16" s="441">
        <v>26171</v>
      </c>
      <c r="I16" s="208" t="s">
        <v>34</v>
      </c>
      <c r="J16" s="208" t="s">
        <v>34</v>
      </c>
      <c r="K16" s="208" t="s">
        <v>34</v>
      </c>
      <c r="L16" s="208" t="s">
        <v>35</v>
      </c>
      <c r="M16" s="441" t="s">
        <v>36</v>
      </c>
      <c r="N16" s="2220" t="str">
        <f t="shared" si="2"/>
        <v>02.06.2020</v>
      </c>
      <c r="O16" s="2220" t="s">
        <v>1122</v>
      </c>
      <c r="P16" s="2220"/>
      <c r="Q16" s="2220"/>
      <c r="R16" s="2220"/>
      <c r="S16" s="2220" t="str">
        <f>S15</f>
        <v>03.06.2020</v>
      </c>
      <c r="T16" s="2220" t="s">
        <v>1167</v>
      </c>
      <c r="U16" s="2220"/>
      <c r="V16" s="2226" t="s">
        <v>1216</v>
      </c>
      <c r="W16" s="441">
        <v>166.3</v>
      </c>
      <c r="X16" s="441">
        <v>322.45999999999998</v>
      </c>
      <c r="Y16" s="441">
        <v>142.80000000000001</v>
      </c>
      <c r="Z16" s="441">
        <v>126.25</v>
      </c>
      <c r="AA16" s="441">
        <v>47.94</v>
      </c>
      <c r="AB16" s="462">
        <f t="shared" si="1"/>
        <v>8439100.6600000001</v>
      </c>
      <c r="AC16" s="463"/>
    </row>
    <row r="17" spans="1:29" ht="15.75" thickBot="1">
      <c r="A17" s="2232"/>
      <c r="B17" s="2221"/>
      <c r="D17" s="2221"/>
      <c r="E17" s="55" t="s">
        <v>1079</v>
      </c>
      <c r="F17" s="55" t="s">
        <v>1108</v>
      </c>
      <c r="G17" s="2221"/>
      <c r="H17" s="55">
        <v>68207</v>
      </c>
      <c r="I17" s="208" t="s">
        <v>34</v>
      </c>
      <c r="J17" s="208" t="s">
        <v>34</v>
      </c>
      <c r="K17" s="208" t="s">
        <v>34</v>
      </c>
      <c r="L17" s="208" t="s">
        <v>35</v>
      </c>
      <c r="M17" s="55" t="s">
        <v>36</v>
      </c>
      <c r="N17" s="2221"/>
      <c r="O17" s="2221"/>
      <c r="P17" s="2221"/>
      <c r="Q17" s="2221"/>
      <c r="R17" s="2221"/>
      <c r="S17" s="2221"/>
      <c r="T17" s="2221"/>
      <c r="U17" s="2221"/>
      <c r="V17" s="2227"/>
      <c r="W17" s="55">
        <v>222.69</v>
      </c>
      <c r="X17" s="55">
        <v>380.41</v>
      </c>
      <c r="Y17" s="55">
        <v>194.5</v>
      </c>
      <c r="Z17" s="55">
        <v>6</v>
      </c>
      <c r="AA17" s="55"/>
      <c r="AB17" s="464">
        <f t="shared" si="1"/>
        <v>25946624.870000001</v>
      </c>
      <c r="AC17" s="465">
        <v>380.41</v>
      </c>
    </row>
    <row r="18" spans="1:29" ht="15.75" thickBot="1">
      <c r="A18" s="2232"/>
      <c r="B18" s="2221"/>
      <c r="D18" s="2221"/>
      <c r="E18" s="55" t="s">
        <v>1080</v>
      </c>
      <c r="F18" s="55" t="s">
        <v>1109</v>
      </c>
      <c r="G18" s="2221"/>
      <c r="H18" s="55">
        <v>26171</v>
      </c>
      <c r="I18" s="208" t="s">
        <v>34</v>
      </c>
      <c r="J18" s="208" t="s">
        <v>34</v>
      </c>
      <c r="K18" s="208" t="s">
        <v>34</v>
      </c>
      <c r="L18" s="208" t="s">
        <v>35</v>
      </c>
      <c r="M18" s="55" t="s">
        <v>36</v>
      </c>
      <c r="N18" s="2221"/>
      <c r="O18" s="2221"/>
      <c r="P18" s="2221"/>
      <c r="Q18" s="2221"/>
      <c r="R18" s="2221"/>
      <c r="S18" s="2221"/>
      <c r="T18" s="2221"/>
      <c r="U18" s="2221"/>
      <c r="V18" s="2227"/>
      <c r="W18" s="55">
        <v>154.61000000000001</v>
      </c>
      <c r="X18" s="55">
        <v>310.58</v>
      </c>
      <c r="Y18" s="55">
        <v>118.3</v>
      </c>
      <c r="Z18" s="55">
        <v>3.5</v>
      </c>
      <c r="AA18" s="55"/>
      <c r="AB18" s="464">
        <f t="shared" si="1"/>
        <v>8128189.1799999997</v>
      </c>
      <c r="AC18" s="465"/>
    </row>
    <row r="19" spans="1:29" ht="15.75" thickBot="1">
      <c r="A19" s="2233"/>
      <c r="B19" s="2222"/>
      <c r="C19" s="466"/>
      <c r="D19" s="2222"/>
      <c r="E19" s="454" t="s">
        <v>1081</v>
      </c>
      <c r="F19" s="454" t="s">
        <v>1109</v>
      </c>
      <c r="G19" s="2222"/>
      <c r="H19" s="454">
        <v>68207</v>
      </c>
      <c r="I19" s="208" t="s">
        <v>34</v>
      </c>
      <c r="J19" s="208" t="s">
        <v>34</v>
      </c>
      <c r="K19" s="208" t="s">
        <v>34</v>
      </c>
      <c r="L19" s="208" t="s">
        <v>35</v>
      </c>
      <c r="M19" s="454" t="s">
        <v>36</v>
      </c>
      <c r="N19" s="2222"/>
      <c r="O19" s="2222"/>
      <c r="P19" s="2222"/>
      <c r="Q19" s="2222"/>
      <c r="R19" s="2222"/>
      <c r="S19" s="2222"/>
      <c r="T19" s="2222"/>
      <c r="U19" s="2222"/>
      <c r="V19" s="2228"/>
      <c r="W19" s="454">
        <v>212.07</v>
      </c>
      <c r="X19" s="454">
        <v>365.2</v>
      </c>
      <c r="Y19" s="454">
        <v>175.8</v>
      </c>
      <c r="Z19" s="454">
        <v>5</v>
      </c>
      <c r="AA19" s="454"/>
      <c r="AB19" s="467">
        <f t="shared" si="1"/>
        <v>24909196.399999999</v>
      </c>
      <c r="AC19" s="468">
        <v>365.2</v>
      </c>
    </row>
    <row r="20" spans="1:29" ht="15.75" thickBot="1">
      <c r="A20" s="2232">
        <v>13</v>
      </c>
      <c r="B20" s="2221" t="str">
        <f>B16</f>
        <v>YWD</v>
      </c>
      <c r="D20" s="2234" t="s">
        <v>1059</v>
      </c>
      <c r="E20" s="56" t="s">
        <v>1082</v>
      </c>
      <c r="F20" s="56" t="s">
        <v>1110</v>
      </c>
      <c r="G20" s="2221" t="str">
        <f>G16</f>
        <v>Akshit chandra</v>
      </c>
      <c r="H20" s="56">
        <v>26171</v>
      </c>
      <c r="I20" s="482" t="s">
        <v>34</v>
      </c>
      <c r="J20" s="482" t="s">
        <v>34</v>
      </c>
      <c r="K20" s="482" t="s">
        <v>34</v>
      </c>
      <c r="L20" s="482" t="s">
        <v>35</v>
      </c>
      <c r="M20" s="56" t="s">
        <v>36</v>
      </c>
      <c r="N20" s="2221" t="str">
        <f>N16</f>
        <v>02.06.2020</v>
      </c>
      <c r="O20" s="2221" t="s">
        <v>1122</v>
      </c>
      <c r="P20" s="2221"/>
      <c r="Q20" s="2221"/>
      <c r="R20" s="2221"/>
      <c r="S20" s="2221" t="str">
        <f>S16</f>
        <v>03.06.2020</v>
      </c>
      <c r="T20" s="2221" t="s">
        <v>1167</v>
      </c>
      <c r="U20" s="2221"/>
      <c r="V20" s="2243" t="s">
        <v>1216</v>
      </c>
      <c r="W20" s="56">
        <v>516.13</v>
      </c>
      <c r="X20" s="56">
        <v>907.25</v>
      </c>
      <c r="Y20" s="56">
        <v>256.02999999999997</v>
      </c>
      <c r="Z20" s="56">
        <v>63.25</v>
      </c>
      <c r="AA20" s="56">
        <v>16.55</v>
      </c>
      <c r="AB20" s="469">
        <f t="shared" si="1"/>
        <v>23743639.75</v>
      </c>
      <c r="AC20" s="470"/>
    </row>
    <row r="21" spans="1:29" ht="15.75" thickBot="1">
      <c r="A21" s="2233"/>
      <c r="B21" s="2222"/>
      <c r="C21" s="466"/>
      <c r="D21" s="2222"/>
      <c r="E21" s="454" t="s">
        <v>1083</v>
      </c>
      <c r="F21" s="454" t="s">
        <v>1110</v>
      </c>
      <c r="G21" s="2222"/>
      <c r="H21" s="454">
        <v>68207</v>
      </c>
      <c r="I21" s="208" t="s">
        <v>34</v>
      </c>
      <c r="J21" s="208" t="s">
        <v>34</v>
      </c>
      <c r="K21" s="208" t="s">
        <v>34</v>
      </c>
      <c r="L21" s="208" t="s">
        <v>35</v>
      </c>
      <c r="M21" s="454" t="s">
        <v>36</v>
      </c>
      <c r="N21" s="2222"/>
      <c r="O21" s="2222"/>
      <c r="P21" s="2222"/>
      <c r="Q21" s="2222"/>
      <c r="R21" s="2222"/>
      <c r="S21" s="2222"/>
      <c r="T21" s="2222"/>
      <c r="U21" s="2222"/>
      <c r="V21" s="2228"/>
      <c r="W21" s="454">
        <v>533.29999999999995</v>
      </c>
      <c r="X21" s="454">
        <v>940.64</v>
      </c>
      <c r="Y21" s="454">
        <v>6.74</v>
      </c>
      <c r="Z21" s="454"/>
      <c r="AA21" s="454">
        <v>16.55</v>
      </c>
      <c r="AB21" s="467">
        <f t="shared" si="1"/>
        <v>64158232.479999997</v>
      </c>
      <c r="AC21" s="468">
        <v>940.64</v>
      </c>
    </row>
    <row r="22" spans="1:29" ht="15.75" thickBot="1">
      <c r="A22" s="2232">
        <v>15</v>
      </c>
      <c r="B22" s="2221" t="str">
        <f>B70</f>
        <v>YWD</v>
      </c>
      <c r="D22" s="2234" t="s">
        <v>1061</v>
      </c>
      <c r="E22" s="56" t="s">
        <v>1088</v>
      </c>
      <c r="F22" s="56" t="s">
        <v>1113</v>
      </c>
      <c r="G22" s="2221" t="str">
        <f>G70</f>
        <v>Akshit chandra</v>
      </c>
      <c r="H22" s="56">
        <v>94378</v>
      </c>
      <c r="I22" s="482" t="s">
        <v>34</v>
      </c>
      <c r="J22" s="482" t="s">
        <v>34</v>
      </c>
      <c r="K22" s="482" t="s">
        <v>34</v>
      </c>
      <c r="L22" s="482" t="s">
        <v>35</v>
      </c>
      <c r="M22" s="56" t="s">
        <v>36</v>
      </c>
      <c r="N22" s="2221" t="str">
        <f>N70</f>
        <v>02.06.2020</v>
      </c>
      <c r="O22" s="2221" t="s">
        <v>1122</v>
      </c>
      <c r="P22" s="2221"/>
      <c r="Q22" s="2221"/>
      <c r="R22" s="2221"/>
      <c r="S22" s="2221" t="str">
        <f>S70</f>
        <v>03.06.2020</v>
      </c>
      <c r="T22" s="2221" t="s">
        <v>1167</v>
      </c>
      <c r="U22" s="2221"/>
      <c r="V22" s="18" t="s">
        <v>1216</v>
      </c>
      <c r="W22" s="56">
        <v>468.65</v>
      </c>
      <c r="X22" s="56">
        <v>732.45</v>
      </c>
      <c r="Y22" s="56">
        <v>284.24</v>
      </c>
      <c r="Z22" s="56">
        <v>99.5</v>
      </c>
      <c r="AA22" s="56">
        <v>51.81</v>
      </c>
      <c r="AB22" s="469">
        <f t="shared" si="1"/>
        <v>69127166.100000009</v>
      </c>
      <c r="AC22" s="470">
        <v>732.45</v>
      </c>
    </row>
    <row r="23" spans="1:29" ht="15.75" thickBot="1">
      <c r="A23" s="2233"/>
      <c r="B23" s="2222"/>
      <c r="C23" s="466"/>
      <c r="D23" s="2222"/>
      <c r="E23" s="454" t="s">
        <v>1089</v>
      </c>
      <c r="F23" s="454" t="s">
        <v>1114</v>
      </c>
      <c r="G23" s="2222"/>
      <c r="H23" s="454">
        <v>94378</v>
      </c>
      <c r="I23" s="208" t="s">
        <v>34</v>
      </c>
      <c r="J23" s="208" t="s">
        <v>34</v>
      </c>
      <c r="K23" s="208" t="s">
        <v>34</v>
      </c>
      <c r="L23" s="208" t="s">
        <v>35</v>
      </c>
      <c r="M23" s="454" t="s">
        <v>36</v>
      </c>
      <c r="N23" s="2222"/>
      <c r="O23" s="2222"/>
      <c r="P23" s="2222"/>
      <c r="Q23" s="2222"/>
      <c r="R23" s="2222"/>
      <c r="S23" s="2222"/>
      <c r="T23" s="2222"/>
      <c r="U23" s="2222"/>
      <c r="V23" s="466"/>
      <c r="W23" s="454">
        <v>251.75</v>
      </c>
      <c r="X23" s="454">
        <v>450.73</v>
      </c>
      <c r="Y23" s="454">
        <v>232.94</v>
      </c>
      <c r="Z23" s="454">
        <v>19.5</v>
      </c>
      <c r="AA23" s="454"/>
      <c r="AB23" s="467">
        <f t="shared" si="1"/>
        <v>42538995.940000005</v>
      </c>
      <c r="AC23" s="468">
        <v>450.73</v>
      </c>
    </row>
    <row r="24" spans="1:29" ht="15.75" thickBot="1">
      <c r="A24" s="2232">
        <v>16</v>
      </c>
      <c r="B24" s="2221" t="str">
        <f>B22</f>
        <v>YWD</v>
      </c>
      <c r="D24" s="2234" t="s">
        <v>1062</v>
      </c>
      <c r="E24" s="56" t="s">
        <v>1090</v>
      </c>
      <c r="F24" s="56" t="s">
        <v>1219</v>
      </c>
      <c r="G24" s="2221" t="str">
        <f>G22</f>
        <v>Akshit chandra</v>
      </c>
      <c r="H24" s="56">
        <v>26171</v>
      </c>
      <c r="I24" s="482" t="s">
        <v>34</v>
      </c>
      <c r="J24" s="482" t="s">
        <v>34</v>
      </c>
      <c r="K24" s="482" t="s">
        <v>34</v>
      </c>
      <c r="L24" s="482" t="s">
        <v>35</v>
      </c>
      <c r="M24" s="56" t="s">
        <v>36</v>
      </c>
      <c r="N24" s="2221" t="str">
        <f>N22</f>
        <v>02.06.2020</v>
      </c>
      <c r="O24" s="2221" t="s">
        <v>1122</v>
      </c>
      <c r="P24" s="2221"/>
      <c r="Q24" s="2221"/>
      <c r="R24" s="2221"/>
      <c r="S24" s="2221" t="str">
        <f>S22</f>
        <v>03.06.2020</v>
      </c>
      <c r="T24" s="2221" t="s">
        <v>1167</v>
      </c>
      <c r="U24" s="2221" t="s">
        <v>1212</v>
      </c>
      <c r="V24" s="2243" t="s">
        <v>1216</v>
      </c>
      <c r="W24" s="471">
        <v>123.9979706538625</v>
      </c>
      <c r="X24" s="471">
        <v>242.54444780431413</v>
      </c>
      <c r="Y24" s="471">
        <v>148.67015711697189</v>
      </c>
      <c r="Z24" s="56">
        <v>53.25</v>
      </c>
      <c r="AA24" s="56">
        <v>37.35</v>
      </c>
      <c r="AB24" s="469">
        <f t="shared" si="1"/>
        <v>6347630.7434867052</v>
      </c>
      <c r="AC24" s="470"/>
    </row>
    <row r="25" spans="1:29" ht="15.75" thickBot="1">
      <c r="A25" s="2232"/>
      <c r="B25" s="2221"/>
      <c r="D25" s="2221"/>
      <c r="E25" s="55" t="s">
        <v>1091</v>
      </c>
      <c r="F25" s="55" t="s">
        <v>1219</v>
      </c>
      <c r="G25" s="2221"/>
      <c r="H25" s="55">
        <v>68207</v>
      </c>
      <c r="I25" s="208" t="s">
        <v>34</v>
      </c>
      <c r="J25" s="208" t="s">
        <v>34</v>
      </c>
      <c r="K25" s="208" t="s">
        <v>34</v>
      </c>
      <c r="L25" s="208" t="s">
        <v>35</v>
      </c>
      <c r="M25" s="55" t="s">
        <v>36</v>
      </c>
      <c r="N25" s="2221"/>
      <c r="O25" s="2221"/>
      <c r="P25" s="2221"/>
      <c r="Q25" s="2221"/>
      <c r="R25" s="2221"/>
      <c r="S25" s="2221"/>
      <c r="T25" s="2221"/>
      <c r="U25" s="2221"/>
      <c r="V25" s="2227"/>
      <c r="W25" s="457">
        <v>315.71167428236248</v>
      </c>
      <c r="X25" s="457">
        <v>502.39992853961172</v>
      </c>
      <c r="Y25" s="457">
        <v>307.34658031336875</v>
      </c>
      <c r="Z25" s="457">
        <v>59.15</v>
      </c>
      <c r="AA25" s="457">
        <v>37.35</v>
      </c>
      <c r="AB25" s="464">
        <f t="shared" si="1"/>
        <v>34267191.925901294</v>
      </c>
      <c r="AC25" s="465">
        <v>504.2</v>
      </c>
    </row>
    <row r="26" spans="1:29" ht="15.75" thickBot="1">
      <c r="A26" s="2232"/>
      <c r="B26" s="2221"/>
      <c r="D26" s="2221"/>
      <c r="E26" s="55" t="s">
        <v>1094</v>
      </c>
      <c r="F26" s="18" t="s">
        <v>1220</v>
      </c>
      <c r="G26" s="2221"/>
      <c r="H26" s="55">
        <v>26171</v>
      </c>
      <c r="I26" s="208" t="s">
        <v>34</v>
      </c>
      <c r="J26" s="208" t="s">
        <v>34</v>
      </c>
      <c r="K26" s="208" t="s">
        <v>34</v>
      </c>
      <c r="L26" s="208" t="s">
        <v>35</v>
      </c>
      <c r="M26" s="55" t="s">
        <v>36</v>
      </c>
      <c r="N26" s="2221"/>
      <c r="O26" s="2221"/>
      <c r="P26" s="2221"/>
      <c r="Q26" s="2221"/>
      <c r="R26" s="2221"/>
      <c r="S26" s="2221"/>
      <c r="T26" s="2221"/>
      <c r="U26" s="2221"/>
      <c r="V26" s="2227"/>
      <c r="W26" s="457">
        <v>100.6370917861</v>
      </c>
      <c r="X26" s="457">
        <v>164.67656409649754</v>
      </c>
      <c r="Y26" s="457">
        <v>50.64720536106001</v>
      </c>
      <c r="Z26" s="55">
        <v>3</v>
      </c>
      <c r="AA26" s="55"/>
      <c r="AB26" s="464">
        <f t="shared" si="1"/>
        <v>4309750.358969437</v>
      </c>
      <c r="AC26" s="465"/>
    </row>
    <row r="27" spans="1:29" ht="15.75" thickBot="1">
      <c r="A27" s="2232"/>
      <c r="B27" s="2221"/>
      <c r="D27" s="2221"/>
      <c r="E27" s="55" t="s">
        <v>1093</v>
      </c>
      <c r="F27" s="18" t="s">
        <v>1221</v>
      </c>
      <c r="G27" s="2221"/>
      <c r="H27" s="55">
        <v>26171</v>
      </c>
      <c r="I27" s="208" t="s">
        <v>34</v>
      </c>
      <c r="J27" s="208" t="s">
        <v>34</v>
      </c>
      <c r="K27" s="208" t="s">
        <v>34</v>
      </c>
      <c r="L27" s="208" t="s">
        <v>35</v>
      </c>
      <c r="M27" s="55" t="s">
        <v>36</v>
      </c>
      <c r="N27" s="2221"/>
      <c r="O27" s="2221"/>
      <c r="P27" s="2221"/>
      <c r="Q27" s="2221"/>
      <c r="R27" s="2221"/>
      <c r="S27" s="2221"/>
      <c r="T27" s="2221"/>
      <c r="U27" s="2221"/>
      <c r="V27" s="2227"/>
      <c r="W27" s="457">
        <v>123.9979706538625</v>
      </c>
      <c r="X27" s="457">
        <v>242.54444780431413</v>
      </c>
      <c r="Y27" s="457">
        <v>141.53453129695689</v>
      </c>
      <c r="Z27" s="55">
        <v>4.5</v>
      </c>
      <c r="AA27" s="55"/>
      <c r="AB27" s="464">
        <f t="shared" si="1"/>
        <v>6347630.7434867052</v>
      </c>
      <c r="AC27" s="465"/>
    </row>
    <row r="28" spans="1:29" ht="15.75" thickBot="1">
      <c r="A28" s="2232"/>
      <c r="B28" s="2221"/>
      <c r="D28" s="2221"/>
      <c r="E28" s="55" t="s">
        <v>1092</v>
      </c>
      <c r="F28" s="55" t="s">
        <v>1222</v>
      </c>
      <c r="G28" s="2221"/>
      <c r="H28" s="55">
        <v>68207</v>
      </c>
      <c r="I28" s="208" t="s">
        <v>34</v>
      </c>
      <c r="J28" s="208" t="s">
        <v>34</v>
      </c>
      <c r="K28" s="208" t="s">
        <v>34</v>
      </c>
      <c r="L28" s="208" t="s">
        <v>35</v>
      </c>
      <c r="M28" s="55" t="s">
        <v>36</v>
      </c>
      <c r="N28" s="2221"/>
      <c r="O28" s="2221"/>
      <c r="P28" s="2221"/>
      <c r="Q28" s="2221"/>
      <c r="R28" s="2221"/>
      <c r="S28" s="2221"/>
      <c r="T28" s="2221"/>
      <c r="U28" s="2221"/>
      <c r="V28" s="2227"/>
      <c r="W28" s="457">
        <v>315.71167428236248</v>
      </c>
      <c r="X28" s="457">
        <v>502.39992853961172</v>
      </c>
      <c r="Y28" s="457">
        <v>300.384409293045</v>
      </c>
      <c r="Z28" s="55">
        <v>9</v>
      </c>
      <c r="AA28" s="55"/>
      <c r="AB28" s="464">
        <f t="shared" si="1"/>
        <v>34267191.925901294</v>
      </c>
      <c r="AC28" s="465">
        <v>502.4</v>
      </c>
    </row>
    <row r="29" spans="1:29" ht="15.75" thickBot="1">
      <c r="A29" s="2233"/>
      <c r="B29" s="2222"/>
      <c r="C29" s="466"/>
      <c r="D29" s="2222"/>
      <c r="E29" s="454" t="s">
        <v>1095</v>
      </c>
      <c r="F29" s="454" t="s">
        <v>1223</v>
      </c>
      <c r="G29" s="2222"/>
      <c r="H29" s="454">
        <v>26171</v>
      </c>
      <c r="I29" s="208" t="s">
        <v>34</v>
      </c>
      <c r="J29" s="208" t="s">
        <v>34</v>
      </c>
      <c r="K29" s="208" t="s">
        <v>34</v>
      </c>
      <c r="L29" s="208" t="s">
        <v>35</v>
      </c>
      <c r="M29" s="454" t="s">
        <v>36</v>
      </c>
      <c r="N29" s="2222"/>
      <c r="O29" s="2222"/>
      <c r="P29" s="2222"/>
      <c r="Q29" s="2222"/>
      <c r="R29" s="2222"/>
      <c r="S29" s="2222"/>
      <c r="T29" s="2222"/>
      <c r="U29" s="2222"/>
      <c r="V29" s="2228"/>
      <c r="W29" s="458">
        <v>100.4012917861</v>
      </c>
      <c r="X29" s="458">
        <v>164.43201591649756</v>
      </c>
      <c r="Y29" s="458">
        <v>50.64720536106001</v>
      </c>
      <c r="Z29" s="454">
        <v>3</v>
      </c>
      <c r="AA29" s="454"/>
      <c r="AB29" s="467">
        <f t="shared" si="1"/>
        <v>4303350.2885506582</v>
      </c>
      <c r="AC29" s="468">
        <v>164.43</v>
      </c>
    </row>
    <row r="30" spans="1:29" ht="15.75" thickBot="1">
      <c r="A30" s="480">
        <v>17</v>
      </c>
      <c r="B30" s="453" t="str">
        <f>B24</f>
        <v>YWD</v>
      </c>
      <c r="D30" s="496" t="s">
        <v>1063</v>
      </c>
      <c r="E30" s="453" t="s">
        <v>1096</v>
      </c>
      <c r="F30" s="453" t="s">
        <v>1115</v>
      </c>
      <c r="G30" s="453" t="str">
        <f>G24</f>
        <v>Akshit chandra</v>
      </c>
      <c r="H30" s="453">
        <v>94378</v>
      </c>
      <c r="I30" s="453" t="s">
        <v>34</v>
      </c>
      <c r="J30" s="453" t="s">
        <v>34</v>
      </c>
      <c r="K30" s="453" t="s">
        <v>34</v>
      </c>
      <c r="L30" s="453" t="s">
        <v>35</v>
      </c>
      <c r="M30" s="453" t="s">
        <v>36</v>
      </c>
      <c r="N30" s="453" t="str">
        <f>N24</f>
        <v>02.06.2020</v>
      </c>
      <c r="O30" s="453" t="s">
        <v>1122</v>
      </c>
      <c r="P30" s="453"/>
      <c r="Q30" s="453"/>
      <c r="R30" s="453"/>
      <c r="S30" s="453" t="s">
        <v>1121</v>
      </c>
      <c r="T30" s="453" t="s">
        <v>1167</v>
      </c>
      <c r="U30" s="453" t="s">
        <v>1177</v>
      </c>
      <c r="V30" s="18" t="s">
        <v>1216</v>
      </c>
      <c r="W30" s="208">
        <v>101.53</v>
      </c>
      <c r="X30" s="208">
        <v>170.12</v>
      </c>
      <c r="Y30" s="208">
        <v>15.29</v>
      </c>
      <c r="Z30" s="208">
        <v>16.25</v>
      </c>
      <c r="AA30" s="208">
        <v>20.32</v>
      </c>
      <c r="AB30" s="208">
        <f t="shared" si="1"/>
        <v>16055585.360000001</v>
      </c>
      <c r="AC30" s="483">
        <v>170.12</v>
      </c>
    </row>
    <row r="31" spans="1:29" ht="15.75" thickBot="1">
      <c r="A31" s="207">
        <v>18</v>
      </c>
      <c r="B31" s="208" t="str">
        <f>B30</f>
        <v>YWD</v>
      </c>
      <c r="C31" s="461"/>
      <c r="D31" s="495" t="s">
        <v>1064</v>
      </c>
      <c r="E31" s="208" t="s">
        <v>1097</v>
      </c>
      <c r="F31" s="208" t="s">
        <v>1116</v>
      </c>
      <c r="G31" s="208" t="str">
        <f>G30</f>
        <v>Akshit chandra</v>
      </c>
      <c r="H31" s="208">
        <v>94378</v>
      </c>
      <c r="I31" s="208" t="s">
        <v>34</v>
      </c>
      <c r="J31" s="208" t="s">
        <v>34</v>
      </c>
      <c r="K31" s="208" t="s">
        <v>34</v>
      </c>
      <c r="L31" s="208" t="s">
        <v>35</v>
      </c>
      <c r="M31" s="208" t="s">
        <v>36</v>
      </c>
      <c r="N31" s="208" t="str">
        <f t="shared" ref="N31:N34" si="3">N30</f>
        <v>02.06.2020</v>
      </c>
      <c r="O31" s="208" t="s">
        <v>1122</v>
      </c>
      <c r="P31" s="208"/>
      <c r="Q31" s="208"/>
      <c r="R31" s="208"/>
      <c r="S31" s="208" t="str">
        <f>S30</f>
        <v>02.06.2020</v>
      </c>
      <c r="T31" s="208" t="s">
        <v>1167</v>
      </c>
      <c r="U31" s="208" t="s">
        <v>1213</v>
      </c>
      <c r="V31" s="18" t="s">
        <v>1216</v>
      </c>
      <c r="W31" s="208">
        <v>136.47999999999999</v>
      </c>
      <c r="X31" s="208">
        <v>200.46</v>
      </c>
      <c r="Y31" s="208">
        <v>88.26</v>
      </c>
      <c r="Z31" s="208">
        <v>11</v>
      </c>
      <c r="AA31" s="208">
        <v>14</v>
      </c>
      <c r="AB31" s="208">
        <f t="shared" si="1"/>
        <v>18919013.879999999</v>
      </c>
      <c r="AC31" s="483">
        <v>200.46</v>
      </c>
    </row>
    <row r="32" spans="1:29" ht="15.75" thickBot="1">
      <c r="A32" s="480">
        <v>19</v>
      </c>
      <c r="B32" s="453" t="str">
        <f>B31</f>
        <v>YWD</v>
      </c>
      <c r="D32" s="496" t="s">
        <v>1065</v>
      </c>
      <c r="E32" s="453" t="s">
        <v>1098</v>
      </c>
      <c r="F32" s="453" t="s">
        <v>1117</v>
      </c>
      <c r="G32" s="453" t="s">
        <v>461</v>
      </c>
      <c r="H32" s="453">
        <v>94378</v>
      </c>
      <c r="I32" s="453" t="s">
        <v>34</v>
      </c>
      <c r="J32" s="453" t="s">
        <v>34</v>
      </c>
      <c r="K32" s="453" t="s">
        <v>34</v>
      </c>
      <c r="L32" s="453" t="s">
        <v>35</v>
      </c>
      <c r="M32" s="453" t="s">
        <v>36</v>
      </c>
      <c r="N32" s="453" t="str">
        <f t="shared" si="3"/>
        <v>02.06.2020</v>
      </c>
      <c r="O32" s="453" t="s">
        <v>1122</v>
      </c>
      <c r="P32" s="453"/>
      <c r="Q32" s="453"/>
      <c r="R32" s="453"/>
      <c r="S32" s="453" t="str">
        <f>S31</f>
        <v>02.06.2020</v>
      </c>
      <c r="T32" s="453" t="s">
        <v>1167</v>
      </c>
      <c r="U32" s="453" t="s">
        <v>1212</v>
      </c>
      <c r="V32" s="18" t="s">
        <v>1216</v>
      </c>
      <c r="W32" s="208">
        <v>175.58</v>
      </c>
      <c r="X32" s="208">
        <v>267.66000000000003</v>
      </c>
      <c r="Y32" s="208">
        <v>10.199999999999999</v>
      </c>
      <c r="Z32" s="208">
        <v>10.08</v>
      </c>
      <c r="AA32" s="208">
        <v>9.44</v>
      </c>
      <c r="AB32" s="208">
        <f t="shared" si="1"/>
        <v>25261215.480000004</v>
      </c>
      <c r="AC32" s="483">
        <v>267.66000000000003</v>
      </c>
    </row>
    <row r="33" spans="1:29" ht="15.75" thickBot="1">
      <c r="A33" s="207">
        <v>20</v>
      </c>
      <c r="B33" s="208" t="str">
        <f>B32</f>
        <v>YWD</v>
      </c>
      <c r="C33" s="461"/>
      <c r="D33" s="495" t="s">
        <v>1066</v>
      </c>
      <c r="E33" s="208" t="s">
        <v>1099</v>
      </c>
      <c r="F33" s="208" t="s">
        <v>1118</v>
      </c>
      <c r="G33" s="208" t="s">
        <v>461</v>
      </c>
      <c r="H33" s="208">
        <v>94378</v>
      </c>
      <c r="I33" s="208" t="s">
        <v>34</v>
      </c>
      <c r="J33" s="208" t="s">
        <v>34</v>
      </c>
      <c r="K33" s="208" t="s">
        <v>34</v>
      </c>
      <c r="L33" s="208" t="s">
        <v>35</v>
      </c>
      <c r="M33" s="208" t="s">
        <v>36</v>
      </c>
      <c r="N33" s="208" t="str">
        <f t="shared" si="3"/>
        <v>02.06.2020</v>
      </c>
      <c r="O33" s="208" t="s">
        <v>1122</v>
      </c>
      <c r="P33" s="208"/>
      <c r="Q33" s="208"/>
      <c r="R33" s="208"/>
      <c r="S33" s="208" t="str">
        <f>S32</f>
        <v>02.06.2020</v>
      </c>
      <c r="T33" s="208" t="s">
        <v>1167</v>
      </c>
      <c r="U33" s="208" t="s">
        <v>1169</v>
      </c>
      <c r="V33" s="18" t="s">
        <v>1216</v>
      </c>
      <c r="W33" s="208">
        <v>140.15</v>
      </c>
      <c r="X33" s="208">
        <v>250.61</v>
      </c>
      <c r="Y33" s="208">
        <v>34.22</v>
      </c>
      <c r="Z33" s="208">
        <v>33.5</v>
      </c>
      <c r="AA33" s="208">
        <v>18.91</v>
      </c>
      <c r="AB33" s="208">
        <f t="shared" si="1"/>
        <v>23652070.580000002</v>
      </c>
      <c r="AC33" s="483">
        <v>250.61</v>
      </c>
    </row>
    <row r="34" spans="1:29" ht="15.75" thickBot="1">
      <c r="A34" s="207">
        <v>21</v>
      </c>
      <c r="B34" s="208" t="str">
        <f>B33</f>
        <v>YWD</v>
      </c>
      <c r="C34" s="461"/>
      <c r="D34" s="495" t="s">
        <v>1184</v>
      </c>
      <c r="E34" s="208" t="s">
        <v>1100</v>
      </c>
      <c r="F34" s="208" t="s">
        <v>1119</v>
      </c>
      <c r="G34" s="208" t="str">
        <f>G31</f>
        <v>Akshit chandra</v>
      </c>
      <c r="H34" s="208">
        <v>94378</v>
      </c>
      <c r="I34" s="208" t="s">
        <v>34</v>
      </c>
      <c r="J34" s="208" t="s">
        <v>34</v>
      </c>
      <c r="K34" s="208" t="s">
        <v>34</v>
      </c>
      <c r="L34" s="208" t="s">
        <v>35</v>
      </c>
      <c r="M34" s="208" t="s">
        <v>36</v>
      </c>
      <c r="N34" s="208" t="str">
        <f t="shared" si="3"/>
        <v>02.06.2020</v>
      </c>
      <c r="O34" s="208" t="s">
        <v>1122</v>
      </c>
      <c r="P34" s="208"/>
      <c r="Q34" s="208"/>
      <c r="R34" s="208"/>
      <c r="S34" s="208" t="str">
        <f>S33</f>
        <v>02.06.2020</v>
      </c>
      <c r="T34" s="208" t="s">
        <v>1167</v>
      </c>
      <c r="U34" s="208" t="s">
        <v>1169</v>
      </c>
      <c r="V34" s="18" t="s">
        <v>1216</v>
      </c>
      <c r="W34" s="208">
        <v>135.18</v>
      </c>
      <c r="X34" s="208">
        <v>283.27999999999997</v>
      </c>
      <c r="Y34" s="208">
        <v>18.84</v>
      </c>
      <c r="Z34" s="208">
        <v>26.5</v>
      </c>
      <c r="AA34" s="208">
        <v>13.63</v>
      </c>
      <c r="AB34" s="208">
        <f t="shared" si="1"/>
        <v>26735399.839999996</v>
      </c>
      <c r="AC34" s="483">
        <v>283.27999999999997</v>
      </c>
    </row>
    <row r="35" spans="1:29" ht="15.75" thickBot="1">
      <c r="A35" s="207"/>
      <c r="B35" s="208"/>
      <c r="C35" s="461"/>
      <c r="D35" s="208"/>
      <c r="E35" s="208"/>
      <c r="F35" s="208"/>
      <c r="G35" s="208"/>
      <c r="H35" s="208"/>
      <c r="I35" s="208"/>
      <c r="J35" s="208"/>
      <c r="K35" s="208"/>
      <c r="L35" s="208"/>
      <c r="M35" s="208"/>
      <c r="N35" s="208"/>
      <c r="O35" s="208"/>
      <c r="P35" s="208"/>
      <c r="Q35" s="208"/>
      <c r="R35" s="208"/>
      <c r="S35" s="208"/>
      <c r="T35" s="208"/>
      <c r="U35" s="208"/>
      <c r="V35" s="466"/>
      <c r="W35" s="2250" t="s">
        <v>947</v>
      </c>
      <c r="X35" s="2250"/>
      <c r="Y35" s="472">
        <f>SUM(Y3:Y34)</f>
        <v>5046.7979300412217</v>
      </c>
      <c r="Z35" s="484">
        <f>SUM(Z3:Z34)</f>
        <v>938.73</v>
      </c>
      <c r="AA35" s="473"/>
      <c r="AB35" s="473"/>
      <c r="AC35" s="472">
        <f>SUM(AC3:AC34)</f>
        <v>10725.220907141054</v>
      </c>
    </row>
    <row r="36" spans="1:29" ht="15.75" thickBot="1">
      <c r="A36" s="2238">
        <v>22</v>
      </c>
      <c r="B36" s="2220" t="s">
        <v>1030</v>
      </c>
      <c r="C36" s="459"/>
      <c r="D36" s="2239" t="s">
        <v>1124</v>
      </c>
      <c r="E36" s="441" t="s">
        <v>1125</v>
      </c>
      <c r="F36" s="441" t="s">
        <v>1126</v>
      </c>
      <c r="G36" s="2220" t="s">
        <v>1120</v>
      </c>
      <c r="H36" s="441">
        <v>52342</v>
      </c>
      <c r="I36" s="208" t="s">
        <v>34</v>
      </c>
      <c r="J36" s="208" t="s">
        <v>34</v>
      </c>
      <c r="K36" s="208" t="s">
        <v>34</v>
      </c>
      <c r="L36" s="208" t="s">
        <v>35</v>
      </c>
      <c r="M36" s="208" t="s">
        <v>36</v>
      </c>
      <c r="N36" s="2220" t="s">
        <v>1167</v>
      </c>
      <c r="O36" s="2220" t="s">
        <v>1122</v>
      </c>
      <c r="P36" s="2220"/>
      <c r="Q36" s="2220"/>
      <c r="R36" s="2220"/>
      <c r="S36" s="2220" t="s">
        <v>1167</v>
      </c>
      <c r="T36" s="2220" t="s">
        <v>1176</v>
      </c>
      <c r="U36" s="2220"/>
      <c r="V36" s="2240" t="s">
        <v>541</v>
      </c>
    </row>
    <row r="37" spans="1:29" ht="15.75" thickBot="1">
      <c r="A37" s="2232"/>
      <c r="B37" s="2221"/>
      <c r="D37" s="2221"/>
      <c r="E37" s="55" t="s">
        <v>1127</v>
      </c>
      <c r="F37" s="55" t="s">
        <v>1128</v>
      </c>
      <c r="G37" s="2221"/>
      <c r="H37" s="55">
        <v>68207</v>
      </c>
      <c r="I37" s="208" t="s">
        <v>34</v>
      </c>
      <c r="J37" s="208" t="s">
        <v>34</v>
      </c>
      <c r="K37" s="208" t="s">
        <v>34</v>
      </c>
      <c r="L37" s="208" t="s">
        <v>35</v>
      </c>
      <c r="M37" s="208" t="s">
        <v>36</v>
      </c>
      <c r="N37" s="2221"/>
      <c r="O37" s="2221"/>
      <c r="P37" s="2221"/>
      <c r="Q37" s="2221"/>
      <c r="R37" s="2221"/>
      <c r="S37" s="2221"/>
      <c r="T37" s="2221"/>
      <c r="U37" s="2221"/>
      <c r="V37" s="2241"/>
    </row>
    <row r="38" spans="1:29" ht="15.75" thickBot="1">
      <c r="A38" s="2232"/>
      <c r="B38" s="2221"/>
      <c r="D38" s="2221"/>
      <c r="E38" s="55" t="s">
        <v>1129</v>
      </c>
      <c r="F38" s="55" t="s">
        <v>1130</v>
      </c>
      <c r="G38" s="2221"/>
      <c r="H38" s="55">
        <v>26171</v>
      </c>
      <c r="I38" s="208" t="s">
        <v>34</v>
      </c>
      <c r="J38" s="208" t="s">
        <v>34</v>
      </c>
      <c r="K38" s="208" t="s">
        <v>34</v>
      </c>
      <c r="L38" s="208" t="s">
        <v>35</v>
      </c>
      <c r="M38" s="208" t="s">
        <v>36</v>
      </c>
      <c r="N38" s="2221"/>
      <c r="O38" s="2221"/>
      <c r="P38" s="2221"/>
      <c r="Q38" s="2221"/>
      <c r="R38" s="2221"/>
      <c r="S38" s="2221"/>
      <c r="T38" s="2221"/>
      <c r="U38" s="2221"/>
      <c r="V38" s="2241"/>
    </row>
    <row r="39" spans="1:29" ht="15.75" thickBot="1">
      <c r="A39" s="2232"/>
      <c r="B39" s="2221"/>
      <c r="D39" s="2221"/>
      <c r="E39" s="55" t="s">
        <v>1131</v>
      </c>
      <c r="F39" s="55" t="s">
        <v>1132</v>
      </c>
      <c r="G39" s="2221"/>
      <c r="H39" s="55">
        <v>26171</v>
      </c>
      <c r="I39" s="208" t="s">
        <v>34</v>
      </c>
      <c r="J39" s="208" t="s">
        <v>34</v>
      </c>
      <c r="K39" s="208" t="s">
        <v>34</v>
      </c>
      <c r="L39" s="208" t="s">
        <v>35</v>
      </c>
      <c r="M39" s="208" t="s">
        <v>36</v>
      </c>
      <c r="N39" s="2221"/>
      <c r="O39" s="2221"/>
      <c r="P39" s="2221"/>
      <c r="Q39" s="2221"/>
      <c r="R39" s="2221"/>
      <c r="S39" s="2221"/>
      <c r="T39" s="2221"/>
      <c r="U39" s="2221"/>
      <c r="V39" s="2241"/>
    </row>
    <row r="40" spans="1:29" ht="15.75" thickBot="1">
      <c r="A40" s="2232"/>
      <c r="B40" s="2221"/>
      <c r="D40" s="2221"/>
      <c r="E40" s="55" t="s">
        <v>1133</v>
      </c>
      <c r="F40" s="55" t="s">
        <v>1134</v>
      </c>
      <c r="G40" s="2221"/>
      <c r="H40" s="55">
        <v>26171</v>
      </c>
      <c r="I40" s="208" t="s">
        <v>34</v>
      </c>
      <c r="J40" s="208" t="s">
        <v>34</v>
      </c>
      <c r="K40" s="208" t="s">
        <v>34</v>
      </c>
      <c r="L40" s="208" t="s">
        <v>35</v>
      </c>
      <c r="M40" s="208" t="s">
        <v>36</v>
      </c>
      <c r="N40" s="2221"/>
      <c r="O40" s="2221"/>
      <c r="P40" s="2221"/>
      <c r="Q40" s="2221"/>
      <c r="R40" s="2221"/>
      <c r="S40" s="2221"/>
      <c r="T40" s="2221"/>
      <c r="U40" s="2221"/>
      <c r="V40" s="2241"/>
    </row>
    <row r="41" spans="1:29" ht="15.75" thickBot="1">
      <c r="A41" s="2232"/>
      <c r="B41" s="2221"/>
      <c r="D41" s="2221"/>
      <c r="E41" s="55" t="s">
        <v>1135</v>
      </c>
      <c r="F41" s="55" t="s">
        <v>1136</v>
      </c>
      <c r="G41" s="2221"/>
      <c r="H41" s="55">
        <v>26171</v>
      </c>
      <c r="I41" s="208" t="s">
        <v>34</v>
      </c>
      <c r="J41" s="208" t="s">
        <v>34</v>
      </c>
      <c r="K41" s="208" t="s">
        <v>34</v>
      </c>
      <c r="L41" s="208" t="s">
        <v>35</v>
      </c>
      <c r="M41" s="208" t="s">
        <v>36</v>
      </c>
      <c r="N41" s="2221"/>
      <c r="O41" s="2221"/>
      <c r="P41" s="2221"/>
      <c r="Q41" s="2221"/>
      <c r="R41" s="2221"/>
      <c r="S41" s="2221"/>
      <c r="T41" s="2221"/>
      <c r="U41" s="2221"/>
      <c r="V41" s="2241"/>
    </row>
    <row r="42" spans="1:29" ht="15.75" thickBot="1">
      <c r="A42" s="2232"/>
      <c r="B42" s="2221"/>
      <c r="D42" s="2221"/>
      <c r="E42" s="55" t="s">
        <v>1137</v>
      </c>
      <c r="F42" s="55" t="s">
        <v>1138</v>
      </c>
      <c r="G42" s="2221"/>
      <c r="H42" s="55">
        <v>26171</v>
      </c>
      <c r="I42" s="208" t="s">
        <v>34</v>
      </c>
      <c r="J42" s="208" t="s">
        <v>34</v>
      </c>
      <c r="K42" s="208" t="s">
        <v>34</v>
      </c>
      <c r="L42" s="208" t="s">
        <v>35</v>
      </c>
      <c r="M42" s="208" t="s">
        <v>36</v>
      </c>
      <c r="N42" s="2221"/>
      <c r="O42" s="2221"/>
      <c r="P42" s="2221"/>
      <c r="Q42" s="2221"/>
      <c r="R42" s="2221"/>
      <c r="S42" s="2221"/>
      <c r="T42" s="2221"/>
      <c r="U42" s="2221"/>
      <c r="V42" s="2241"/>
    </row>
    <row r="43" spans="1:29" ht="15.75" thickBot="1">
      <c r="A43" s="2233"/>
      <c r="B43" s="2222"/>
      <c r="C43" s="466"/>
      <c r="D43" s="2222"/>
      <c r="E43" s="454" t="s">
        <v>1139</v>
      </c>
      <c r="F43" s="454" t="s">
        <v>1140</v>
      </c>
      <c r="G43" s="2222"/>
      <c r="H43" s="454">
        <v>26171</v>
      </c>
      <c r="I43" s="208" t="s">
        <v>34</v>
      </c>
      <c r="J43" s="208" t="s">
        <v>34</v>
      </c>
      <c r="K43" s="208" t="s">
        <v>34</v>
      </c>
      <c r="L43" s="208" t="s">
        <v>35</v>
      </c>
      <c r="M43" s="208" t="s">
        <v>36</v>
      </c>
      <c r="N43" s="2222"/>
      <c r="O43" s="2222"/>
      <c r="P43" s="2222"/>
      <c r="Q43" s="2222"/>
      <c r="R43" s="2222"/>
      <c r="S43" s="2222"/>
      <c r="T43" s="2222"/>
      <c r="U43" s="2222"/>
      <c r="V43" s="2242"/>
    </row>
    <row r="44" spans="1:29" ht="15.75" thickBot="1">
      <c r="A44" s="2238">
        <v>23</v>
      </c>
      <c r="B44" s="2220" t="s">
        <v>1030</v>
      </c>
      <c r="C44" s="459"/>
      <c r="D44" s="2239" t="s">
        <v>1141</v>
      </c>
      <c r="E44" s="441" t="s">
        <v>1142</v>
      </c>
      <c r="F44" s="441" t="s">
        <v>1143</v>
      </c>
      <c r="G44" s="2220" t="s">
        <v>1120</v>
      </c>
      <c r="H44" s="441">
        <v>52342</v>
      </c>
      <c r="I44" s="208" t="s">
        <v>34</v>
      </c>
      <c r="J44" s="208" t="s">
        <v>34</v>
      </c>
      <c r="K44" s="208" t="s">
        <v>34</v>
      </c>
      <c r="L44" s="208" t="s">
        <v>35</v>
      </c>
      <c r="M44" s="208" t="s">
        <v>36</v>
      </c>
      <c r="N44" s="2220" t="s">
        <v>1167</v>
      </c>
      <c r="O44" s="2220" t="s">
        <v>1122</v>
      </c>
      <c r="P44" s="2220"/>
      <c r="Q44" s="2220"/>
      <c r="R44" s="2220"/>
      <c r="S44" s="2220" t="s">
        <v>1167</v>
      </c>
      <c r="T44" s="2220" t="s">
        <v>1176</v>
      </c>
      <c r="U44" s="2220"/>
      <c r="V44" s="2240" t="s">
        <v>541</v>
      </c>
    </row>
    <row r="45" spans="1:29" ht="15.75" thickBot="1">
      <c r="A45" s="2232"/>
      <c r="B45" s="2221"/>
      <c r="D45" s="2221"/>
      <c r="E45" s="55" t="s">
        <v>1144</v>
      </c>
      <c r="F45" s="55" t="s">
        <v>1145</v>
      </c>
      <c r="G45" s="2221"/>
      <c r="H45" s="55">
        <v>52342</v>
      </c>
      <c r="I45" s="208" t="s">
        <v>34</v>
      </c>
      <c r="J45" s="208" t="s">
        <v>34</v>
      </c>
      <c r="K45" s="208" t="s">
        <v>34</v>
      </c>
      <c r="L45" s="208" t="s">
        <v>35</v>
      </c>
      <c r="M45" s="208" t="s">
        <v>36</v>
      </c>
      <c r="N45" s="2221"/>
      <c r="O45" s="2221"/>
      <c r="P45" s="2221"/>
      <c r="Q45" s="2221"/>
      <c r="R45" s="2221"/>
      <c r="S45" s="2221"/>
      <c r="T45" s="2221"/>
      <c r="U45" s="2221"/>
      <c r="V45" s="2241"/>
    </row>
    <row r="46" spans="1:29" ht="15.75" thickBot="1">
      <c r="A46" s="2232"/>
      <c r="B46" s="2221"/>
      <c r="D46" s="2221"/>
      <c r="E46" s="55" t="s">
        <v>1146</v>
      </c>
      <c r="F46" s="55" t="s">
        <v>1147</v>
      </c>
      <c r="G46" s="2221"/>
      <c r="H46" s="55">
        <v>68207</v>
      </c>
      <c r="I46" s="208" t="s">
        <v>34</v>
      </c>
      <c r="J46" s="208" t="s">
        <v>34</v>
      </c>
      <c r="K46" s="208" t="s">
        <v>34</v>
      </c>
      <c r="L46" s="208" t="s">
        <v>35</v>
      </c>
      <c r="M46" s="208" t="s">
        <v>36</v>
      </c>
      <c r="N46" s="2221"/>
      <c r="O46" s="2221"/>
      <c r="P46" s="2221"/>
      <c r="Q46" s="2221"/>
      <c r="R46" s="2221"/>
      <c r="S46" s="2221"/>
      <c r="T46" s="2221"/>
      <c r="U46" s="2221"/>
      <c r="V46" s="2241"/>
    </row>
    <row r="47" spans="1:29" ht="15.75" thickBot="1">
      <c r="A47" s="2232"/>
      <c r="B47" s="2221"/>
      <c r="D47" s="2221"/>
      <c r="E47" s="55" t="s">
        <v>1148</v>
      </c>
      <c r="F47" s="55" t="s">
        <v>1149</v>
      </c>
      <c r="G47" s="2221"/>
      <c r="H47" s="55">
        <v>26171</v>
      </c>
      <c r="I47" s="208" t="s">
        <v>34</v>
      </c>
      <c r="J47" s="208" t="s">
        <v>34</v>
      </c>
      <c r="K47" s="208" t="s">
        <v>34</v>
      </c>
      <c r="L47" s="208" t="s">
        <v>35</v>
      </c>
      <c r="M47" s="208" t="s">
        <v>36</v>
      </c>
      <c r="N47" s="2221"/>
      <c r="O47" s="2221"/>
      <c r="P47" s="2221"/>
      <c r="Q47" s="2221"/>
      <c r="R47" s="2221"/>
      <c r="S47" s="2221"/>
      <c r="T47" s="2221"/>
      <c r="U47" s="2221"/>
      <c r="V47" s="2241"/>
    </row>
    <row r="48" spans="1:29" ht="15.75" thickBot="1">
      <c r="A48" s="2232"/>
      <c r="B48" s="2221"/>
      <c r="D48" s="2221"/>
      <c r="E48" s="55" t="s">
        <v>1150</v>
      </c>
      <c r="F48" s="55" t="s">
        <v>1151</v>
      </c>
      <c r="G48" s="2221"/>
      <c r="H48" s="55">
        <v>26171</v>
      </c>
      <c r="I48" s="208" t="s">
        <v>34</v>
      </c>
      <c r="J48" s="208" t="s">
        <v>34</v>
      </c>
      <c r="K48" s="208" t="s">
        <v>34</v>
      </c>
      <c r="L48" s="208" t="s">
        <v>35</v>
      </c>
      <c r="M48" s="208" t="s">
        <v>36</v>
      </c>
      <c r="N48" s="2221"/>
      <c r="O48" s="2221"/>
      <c r="P48" s="2221"/>
      <c r="Q48" s="2221"/>
      <c r="R48" s="2221"/>
      <c r="S48" s="2221"/>
      <c r="T48" s="2221"/>
      <c r="U48" s="2221"/>
      <c r="V48" s="2241"/>
    </row>
    <row r="49" spans="1:22" ht="15.75" thickBot="1">
      <c r="A49" s="2232"/>
      <c r="B49" s="2221"/>
      <c r="D49" s="2221"/>
      <c r="E49" s="55" t="s">
        <v>1152</v>
      </c>
      <c r="F49" s="55" t="s">
        <v>1153</v>
      </c>
      <c r="G49" s="2221"/>
      <c r="H49" s="55">
        <v>26171</v>
      </c>
      <c r="I49" s="208" t="s">
        <v>34</v>
      </c>
      <c r="J49" s="208" t="s">
        <v>34</v>
      </c>
      <c r="K49" s="208" t="s">
        <v>34</v>
      </c>
      <c r="L49" s="208" t="s">
        <v>35</v>
      </c>
      <c r="M49" s="208" t="s">
        <v>36</v>
      </c>
      <c r="N49" s="2221"/>
      <c r="O49" s="2221"/>
      <c r="P49" s="2221"/>
      <c r="Q49" s="2221"/>
      <c r="R49" s="2221"/>
      <c r="S49" s="2221"/>
      <c r="T49" s="2221"/>
      <c r="U49" s="2221"/>
      <c r="V49" s="2241"/>
    </row>
    <row r="50" spans="1:22" ht="15.75" thickBot="1">
      <c r="A50" s="2232"/>
      <c r="B50" s="2221"/>
      <c r="D50" s="2221"/>
      <c r="E50" s="55" t="s">
        <v>1154</v>
      </c>
      <c r="F50" s="55" t="s">
        <v>1155</v>
      </c>
      <c r="G50" s="2221"/>
      <c r="H50" s="55">
        <v>68207</v>
      </c>
      <c r="I50" s="208" t="s">
        <v>34</v>
      </c>
      <c r="J50" s="208" t="s">
        <v>34</v>
      </c>
      <c r="K50" s="208" t="s">
        <v>34</v>
      </c>
      <c r="L50" s="208" t="s">
        <v>35</v>
      </c>
      <c r="M50" s="208" t="s">
        <v>36</v>
      </c>
      <c r="N50" s="2221"/>
      <c r="O50" s="2221"/>
      <c r="P50" s="2221"/>
      <c r="Q50" s="2221"/>
      <c r="R50" s="2221"/>
      <c r="S50" s="2221"/>
      <c r="T50" s="2221"/>
      <c r="U50" s="2221"/>
      <c r="V50" s="2241"/>
    </row>
    <row r="51" spans="1:22" ht="15.75" thickBot="1">
      <c r="A51" s="2232"/>
      <c r="B51" s="2221"/>
      <c r="D51" s="2221"/>
      <c r="E51" s="55" t="s">
        <v>1156</v>
      </c>
      <c r="F51" s="55" t="s">
        <v>1157</v>
      </c>
      <c r="G51" s="2221"/>
      <c r="H51" s="55">
        <v>26171</v>
      </c>
      <c r="I51" s="208" t="s">
        <v>34</v>
      </c>
      <c r="J51" s="208" t="s">
        <v>34</v>
      </c>
      <c r="K51" s="208" t="s">
        <v>34</v>
      </c>
      <c r="L51" s="208" t="s">
        <v>35</v>
      </c>
      <c r="M51" s="208" t="s">
        <v>36</v>
      </c>
      <c r="N51" s="2221"/>
      <c r="O51" s="2221"/>
      <c r="P51" s="2221"/>
      <c r="Q51" s="2221"/>
      <c r="R51" s="2221"/>
      <c r="S51" s="2221"/>
      <c r="T51" s="2221"/>
      <c r="U51" s="2221"/>
      <c r="V51" s="2241"/>
    </row>
    <row r="52" spans="1:22" ht="15.75" thickBot="1">
      <c r="A52" s="2232"/>
      <c r="B52" s="2221"/>
      <c r="D52" s="2221"/>
      <c r="E52" s="55" t="s">
        <v>1158</v>
      </c>
      <c r="F52" s="55" t="s">
        <v>1159</v>
      </c>
      <c r="G52" s="2221"/>
      <c r="H52" s="55">
        <v>26171</v>
      </c>
      <c r="I52" s="208" t="s">
        <v>34</v>
      </c>
      <c r="J52" s="208" t="s">
        <v>34</v>
      </c>
      <c r="K52" s="208" t="s">
        <v>34</v>
      </c>
      <c r="L52" s="208" t="s">
        <v>35</v>
      </c>
      <c r="M52" s="208" t="s">
        <v>36</v>
      </c>
      <c r="N52" s="2221"/>
      <c r="O52" s="2221"/>
      <c r="P52" s="2221"/>
      <c r="Q52" s="2221"/>
      <c r="R52" s="2221"/>
      <c r="S52" s="2221"/>
      <c r="T52" s="2221"/>
      <c r="U52" s="2221"/>
      <c r="V52" s="2241"/>
    </row>
    <row r="53" spans="1:22" ht="15.75" thickBot="1">
      <c r="A53" s="2233"/>
      <c r="B53" s="2222"/>
      <c r="C53" s="466"/>
      <c r="D53" s="2222"/>
      <c r="E53" s="454" t="s">
        <v>1160</v>
      </c>
      <c r="F53" s="454" t="s">
        <v>1161</v>
      </c>
      <c r="G53" s="2222"/>
      <c r="H53" s="454">
        <v>26171</v>
      </c>
      <c r="I53" s="208" t="s">
        <v>34</v>
      </c>
      <c r="J53" s="208" t="s">
        <v>34</v>
      </c>
      <c r="K53" s="208" t="s">
        <v>34</v>
      </c>
      <c r="L53" s="208" t="s">
        <v>35</v>
      </c>
      <c r="M53" s="208" t="s">
        <v>36</v>
      </c>
      <c r="N53" s="2222"/>
      <c r="O53" s="2222"/>
      <c r="P53" s="2222"/>
      <c r="Q53" s="2222"/>
      <c r="R53" s="2222"/>
      <c r="S53" s="2222"/>
      <c r="T53" s="2222"/>
      <c r="U53" s="2222"/>
      <c r="V53" s="2242"/>
    </row>
    <row r="54" spans="1:22" ht="15.75" thickBot="1">
      <c r="A54" s="2238">
        <v>24</v>
      </c>
      <c r="B54" s="2220" t="s">
        <v>1030</v>
      </c>
      <c r="C54" s="459"/>
      <c r="D54" s="2239" t="s">
        <v>1162</v>
      </c>
      <c r="E54" s="441" t="s">
        <v>1163</v>
      </c>
      <c r="F54" s="441" t="s">
        <v>1164</v>
      </c>
      <c r="G54" s="2220" t="s">
        <v>1120</v>
      </c>
      <c r="H54" s="441">
        <v>68207</v>
      </c>
      <c r="I54" s="208" t="s">
        <v>34</v>
      </c>
      <c r="J54" s="208" t="s">
        <v>34</v>
      </c>
      <c r="K54" s="208" t="s">
        <v>34</v>
      </c>
      <c r="L54" s="208" t="s">
        <v>35</v>
      </c>
      <c r="M54" s="208" t="s">
        <v>36</v>
      </c>
      <c r="N54" s="2220" t="s">
        <v>1167</v>
      </c>
      <c r="O54" s="2220" t="s">
        <v>1122</v>
      </c>
      <c r="P54" s="2220"/>
      <c r="Q54" s="2220"/>
      <c r="R54" s="2220"/>
      <c r="S54" s="2220" t="s">
        <v>1167</v>
      </c>
      <c r="T54" s="2220" t="s">
        <v>1176</v>
      </c>
      <c r="U54" s="2220"/>
      <c r="V54" s="2240" t="s">
        <v>541</v>
      </c>
    </row>
    <row r="55" spans="1:22" ht="15.75" thickBot="1">
      <c r="A55" s="2232"/>
      <c r="B55" s="2221"/>
      <c r="D55" s="2221"/>
      <c r="E55" s="481" t="s">
        <v>1165</v>
      </c>
      <c r="F55" s="481" t="s">
        <v>1166</v>
      </c>
      <c r="G55" s="2221"/>
      <c r="H55" s="481">
        <v>68207</v>
      </c>
      <c r="I55" s="479" t="s">
        <v>34</v>
      </c>
      <c r="J55" s="479" t="s">
        <v>34</v>
      </c>
      <c r="K55" s="479" t="s">
        <v>34</v>
      </c>
      <c r="L55" s="479" t="s">
        <v>35</v>
      </c>
      <c r="M55" s="479" t="s">
        <v>36</v>
      </c>
      <c r="N55" s="2221"/>
      <c r="O55" s="2221"/>
      <c r="P55" s="2221"/>
      <c r="Q55" s="2221"/>
      <c r="R55" s="2221"/>
      <c r="S55" s="2221"/>
      <c r="T55" s="2221"/>
      <c r="U55" s="2221"/>
      <c r="V55" s="2242"/>
    </row>
    <row r="56" spans="1:22" ht="15.75" thickBot="1">
      <c r="A56" s="2223">
        <v>25</v>
      </c>
      <c r="B56" s="2226" t="s">
        <v>1030</v>
      </c>
      <c r="C56" s="441"/>
      <c r="D56" s="2229" t="s">
        <v>1185</v>
      </c>
      <c r="E56" s="441" t="s">
        <v>1186</v>
      </c>
      <c r="F56" s="441" t="s">
        <v>1187</v>
      </c>
      <c r="G56" s="441"/>
      <c r="H56" s="441">
        <v>94378</v>
      </c>
      <c r="I56" s="459"/>
      <c r="J56" s="459"/>
      <c r="K56" s="459"/>
      <c r="L56" s="459"/>
      <c r="M56" s="208" t="s">
        <v>36</v>
      </c>
      <c r="N56" s="2244" t="s">
        <v>1211</v>
      </c>
      <c r="O56" s="2244">
        <v>27.06</v>
      </c>
      <c r="P56" s="2244"/>
      <c r="Q56" s="2244"/>
      <c r="R56" s="2244"/>
      <c r="S56" s="2244" t="s">
        <v>1211</v>
      </c>
      <c r="T56" s="2244" t="s">
        <v>1212</v>
      </c>
      <c r="U56" s="2244"/>
      <c r="V56" s="2247" t="s">
        <v>541</v>
      </c>
    </row>
    <row r="57" spans="1:22" ht="15.75" thickBot="1">
      <c r="A57" s="2225"/>
      <c r="B57" s="2228"/>
      <c r="C57" s="454"/>
      <c r="D57" s="2228"/>
      <c r="E57" s="454" t="s">
        <v>1188</v>
      </c>
      <c r="F57" s="454" t="s">
        <v>1189</v>
      </c>
      <c r="G57" s="454"/>
      <c r="H57" s="454">
        <v>94378</v>
      </c>
      <c r="I57" s="466"/>
      <c r="J57" s="466"/>
      <c r="K57" s="466"/>
      <c r="L57" s="466"/>
      <c r="M57" s="208" t="s">
        <v>36</v>
      </c>
      <c r="N57" s="2246"/>
      <c r="O57" s="2246"/>
      <c r="P57" s="2246"/>
      <c r="Q57" s="2246"/>
      <c r="R57" s="2246"/>
      <c r="S57" s="2246"/>
      <c r="T57" s="2246"/>
      <c r="U57" s="2246"/>
      <c r="V57" s="2249"/>
    </row>
    <row r="58" spans="1:22" ht="15.75" thickBot="1">
      <c r="A58" s="2223">
        <v>26</v>
      </c>
      <c r="B58" s="2226" t="s">
        <v>1030</v>
      </c>
      <c r="C58" s="441"/>
      <c r="D58" s="2229" t="s">
        <v>1190</v>
      </c>
      <c r="E58" s="441" t="s">
        <v>1191</v>
      </c>
      <c r="F58" s="441" t="s">
        <v>1192</v>
      </c>
      <c r="G58" s="441"/>
      <c r="H58" s="441">
        <v>50057</v>
      </c>
      <c r="I58" s="459"/>
      <c r="J58" s="459"/>
      <c r="K58" s="459"/>
      <c r="L58" s="459"/>
      <c r="M58" s="208" t="s">
        <v>36</v>
      </c>
      <c r="N58" s="2244" t="s">
        <v>1211</v>
      </c>
      <c r="O58" s="2244" t="s">
        <v>1122</v>
      </c>
      <c r="P58" s="2244"/>
      <c r="Q58" s="2244"/>
      <c r="R58" s="2244"/>
      <c r="S58" s="2244" t="s">
        <v>1211</v>
      </c>
      <c r="T58" s="2244" t="s">
        <v>1212</v>
      </c>
      <c r="U58" s="2244"/>
      <c r="V58" s="2247" t="s">
        <v>541</v>
      </c>
    </row>
    <row r="59" spans="1:22" ht="15.75" thickBot="1">
      <c r="A59" s="2224"/>
      <c r="B59" s="2227"/>
      <c r="C59" s="55"/>
      <c r="D59" s="2227"/>
      <c r="E59" s="55" t="s">
        <v>1193</v>
      </c>
      <c r="F59" s="55" t="s">
        <v>1192</v>
      </c>
      <c r="G59" s="55"/>
      <c r="H59" s="55">
        <v>18150</v>
      </c>
      <c r="M59" s="208" t="s">
        <v>36</v>
      </c>
      <c r="N59" s="2245"/>
      <c r="O59" s="2245"/>
      <c r="P59" s="2245"/>
      <c r="Q59" s="2245"/>
      <c r="R59" s="2245"/>
      <c r="S59" s="2245"/>
      <c r="T59" s="2245"/>
      <c r="U59" s="2245"/>
      <c r="V59" s="2248"/>
    </row>
    <row r="60" spans="1:22" ht="15.75" thickBot="1">
      <c r="A60" s="2224"/>
      <c r="B60" s="2227"/>
      <c r="C60" s="55"/>
      <c r="D60" s="2227"/>
      <c r="E60" s="55" t="s">
        <v>1194</v>
      </c>
      <c r="F60" s="55" t="s">
        <v>481</v>
      </c>
      <c r="G60" s="55"/>
      <c r="H60" s="55">
        <v>10163</v>
      </c>
      <c r="M60" s="208" t="s">
        <v>36</v>
      </c>
      <c r="N60" s="2245"/>
      <c r="O60" s="2245"/>
      <c r="P60" s="2245"/>
      <c r="Q60" s="2245"/>
      <c r="R60" s="2245"/>
      <c r="S60" s="2245"/>
      <c r="T60" s="2245"/>
      <c r="U60" s="2245"/>
      <c r="V60" s="2248"/>
    </row>
    <row r="61" spans="1:22" ht="15.75" thickBot="1">
      <c r="A61" s="2224"/>
      <c r="B61" s="2227"/>
      <c r="C61" s="55"/>
      <c r="D61" s="2227"/>
      <c r="E61" s="55" t="s">
        <v>1195</v>
      </c>
      <c r="F61" s="55" t="s">
        <v>481</v>
      </c>
      <c r="G61" s="55"/>
      <c r="H61" s="55">
        <v>16008</v>
      </c>
      <c r="M61" s="208" t="s">
        <v>36</v>
      </c>
      <c r="N61" s="2245"/>
      <c r="O61" s="2245"/>
      <c r="P61" s="2245"/>
      <c r="Q61" s="2245"/>
      <c r="R61" s="2245"/>
      <c r="S61" s="2245"/>
      <c r="T61" s="2245"/>
      <c r="U61" s="2245"/>
      <c r="V61" s="2248"/>
    </row>
    <row r="62" spans="1:22" ht="15.75" thickBot="1">
      <c r="A62" s="2224"/>
      <c r="B62" s="2227"/>
      <c r="C62" s="55"/>
      <c r="D62" s="2227"/>
      <c r="E62" s="55" t="s">
        <v>1196</v>
      </c>
      <c r="F62" s="55" t="s">
        <v>1197</v>
      </c>
      <c r="G62" s="55"/>
      <c r="H62" s="55">
        <v>26171</v>
      </c>
      <c r="M62" s="208" t="s">
        <v>36</v>
      </c>
      <c r="N62" s="2245"/>
      <c r="O62" s="2245"/>
      <c r="P62" s="2245"/>
      <c r="Q62" s="2245"/>
      <c r="R62" s="2245"/>
      <c r="S62" s="2245"/>
      <c r="T62" s="2245"/>
      <c r="U62" s="2245"/>
      <c r="V62" s="2248"/>
    </row>
    <row r="63" spans="1:22" ht="15.75" thickBot="1">
      <c r="A63" s="2224"/>
      <c r="B63" s="2227"/>
      <c r="C63" s="55"/>
      <c r="D63" s="2227"/>
      <c r="E63" s="55" t="s">
        <v>1198</v>
      </c>
      <c r="F63" s="55" t="s">
        <v>1199</v>
      </c>
      <c r="G63" s="55"/>
      <c r="H63" s="55">
        <v>26171</v>
      </c>
      <c r="M63" s="208" t="s">
        <v>36</v>
      </c>
      <c r="N63" s="2245"/>
      <c r="O63" s="2245"/>
      <c r="P63" s="2245"/>
      <c r="Q63" s="2245"/>
      <c r="R63" s="2245"/>
      <c r="S63" s="2245"/>
      <c r="T63" s="2245"/>
      <c r="U63" s="2245"/>
      <c r="V63" s="2248"/>
    </row>
    <row r="64" spans="1:22" ht="15.75" thickBot="1">
      <c r="A64" s="2224"/>
      <c r="B64" s="2227"/>
      <c r="C64" s="55"/>
      <c r="D64" s="2227"/>
      <c r="E64" s="55" t="s">
        <v>1200</v>
      </c>
      <c r="F64" s="55" t="s">
        <v>1201</v>
      </c>
      <c r="G64" s="55"/>
      <c r="H64" s="55">
        <v>26171</v>
      </c>
      <c r="M64" s="208" t="s">
        <v>36</v>
      </c>
      <c r="N64" s="2245"/>
      <c r="O64" s="2245"/>
      <c r="P64" s="2245"/>
      <c r="Q64" s="2245"/>
      <c r="R64" s="2245"/>
      <c r="S64" s="2245"/>
      <c r="T64" s="2245"/>
      <c r="U64" s="2245"/>
      <c r="V64" s="2248"/>
    </row>
    <row r="65" spans="1:22" ht="15.75" thickBot="1">
      <c r="A65" s="2224"/>
      <c r="B65" s="2227"/>
      <c r="C65" s="55"/>
      <c r="D65" s="2227"/>
      <c r="E65" s="55" t="s">
        <v>1202</v>
      </c>
      <c r="F65" s="55" t="s">
        <v>1203</v>
      </c>
      <c r="G65" s="55"/>
      <c r="H65" s="55">
        <v>10163</v>
      </c>
      <c r="M65" s="208" t="s">
        <v>36</v>
      </c>
      <c r="N65" s="2245"/>
      <c r="O65" s="2245"/>
      <c r="P65" s="2245"/>
      <c r="Q65" s="2245"/>
      <c r="R65" s="2245"/>
      <c r="S65" s="2245"/>
      <c r="T65" s="2245"/>
      <c r="U65" s="2245"/>
      <c r="V65" s="2248"/>
    </row>
    <row r="66" spans="1:22" ht="15.75" thickBot="1">
      <c r="A66" s="2224"/>
      <c r="B66" s="2227"/>
      <c r="C66" s="55"/>
      <c r="D66" s="2227"/>
      <c r="E66" s="55" t="s">
        <v>1204</v>
      </c>
      <c r="F66" s="55" t="s">
        <v>1205</v>
      </c>
      <c r="G66" s="55"/>
      <c r="H66" s="55">
        <v>16008</v>
      </c>
      <c r="M66" s="208" t="s">
        <v>36</v>
      </c>
      <c r="N66" s="2245"/>
      <c r="O66" s="2245"/>
      <c r="P66" s="2245"/>
      <c r="Q66" s="2245"/>
      <c r="R66" s="2245"/>
      <c r="S66" s="2245"/>
      <c r="T66" s="2245"/>
      <c r="U66" s="2245"/>
      <c r="V66" s="2248"/>
    </row>
    <row r="67" spans="1:22" ht="15.75" thickBot="1">
      <c r="A67" s="2224"/>
      <c r="B67" s="2227"/>
      <c r="C67" s="55"/>
      <c r="D67" s="2227"/>
      <c r="E67" s="55" t="s">
        <v>1206</v>
      </c>
      <c r="F67" s="55" t="s">
        <v>1207</v>
      </c>
      <c r="G67" s="55"/>
      <c r="H67" s="55">
        <v>26171</v>
      </c>
      <c r="M67" s="208" t="s">
        <v>36</v>
      </c>
      <c r="N67" s="2245"/>
      <c r="O67" s="2245"/>
      <c r="P67" s="2245"/>
      <c r="Q67" s="2245"/>
      <c r="R67" s="2245"/>
      <c r="S67" s="2245"/>
      <c r="T67" s="2245"/>
      <c r="U67" s="2245"/>
      <c r="V67" s="2248"/>
    </row>
    <row r="68" spans="1:22" ht="15.75" thickBot="1">
      <c r="A68" s="2224"/>
      <c r="B68" s="2227"/>
      <c r="C68" s="55"/>
      <c r="D68" s="2227"/>
      <c r="E68" s="55" t="s">
        <v>1208</v>
      </c>
      <c r="F68" s="55" t="s">
        <v>1209</v>
      </c>
      <c r="G68" s="55"/>
      <c r="H68" s="55">
        <v>10163</v>
      </c>
      <c r="M68" s="208" t="s">
        <v>36</v>
      </c>
      <c r="N68" s="2245"/>
      <c r="O68" s="2245"/>
      <c r="P68" s="2245"/>
      <c r="Q68" s="2245"/>
      <c r="R68" s="2245"/>
      <c r="S68" s="2245"/>
      <c r="T68" s="2245"/>
      <c r="U68" s="2245"/>
      <c r="V68" s="2248"/>
    </row>
    <row r="69" spans="1:22" ht="15.75" thickBot="1">
      <c r="A69" s="2225"/>
      <c r="B69" s="2228"/>
      <c r="C69" s="454"/>
      <c r="D69" s="2228"/>
      <c r="E69" s="454" t="s">
        <v>1210</v>
      </c>
      <c r="F69" s="454" t="s">
        <v>1209</v>
      </c>
      <c r="G69" s="454"/>
      <c r="H69" s="454">
        <v>16008</v>
      </c>
      <c r="I69" s="466"/>
      <c r="J69" s="466"/>
      <c r="K69" s="466"/>
      <c r="L69" s="466"/>
      <c r="M69" s="208" t="s">
        <v>36</v>
      </c>
      <c r="N69" s="2246"/>
      <c r="O69" s="2246"/>
      <c r="P69" s="2246"/>
      <c r="Q69" s="2246"/>
      <c r="R69" s="2246"/>
      <c r="S69" s="2246"/>
      <c r="T69" s="2246"/>
      <c r="U69" s="2246"/>
      <c r="V69" s="2249"/>
    </row>
    <row r="70" spans="1:22" ht="15.75" thickBot="1">
      <c r="A70" s="2238">
        <v>14</v>
      </c>
      <c r="B70" s="2220" t="str">
        <f>B20</f>
        <v>YWD</v>
      </c>
      <c r="C70" s="459"/>
      <c r="D70" s="2239" t="s">
        <v>1060</v>
      </c>
      <c r="E70" s="441" t="s">
        <v>1084</v>
      </c>
      <c r="F70" s="441" t="s">
        <v>1111</v>
      </c>
      <c r="G70" s="2220" t="str">
        <f>G20</f>
        <v>Akshit chandra</v>
      </c>
      <c r="H70" s="441">
        <v>26171</v>
      </c>
      <c r="I70" s="208" t="s">
        <v>34</v>
      </c>
      <c r="J70" s="208" t="s">
        <v>34</v>
      </c>
      <c r="K70" s="208" t="s">
        <v>34</v>
      </c>
      <c r="L70" s="208" t="s">
        <v>35</v>
      </c>
      <c r="M70" s="208" t="s">
        <v>36</v>
      </c>
      <c r="N70" s="2220" t="str">
        <f>N20</f>
        <v>02.06.2020</v>
      </c>
      <c r="O70" s="2220" t="s">
        <v>1122</v>
      </c>
      <c r="P70" s="2220"/>
      <c r="Q70" s="2220"/>
      <c r="R70" s="2220"/>
      <c r="S70" s="2220" t="str">
        <f>S20</f>
        <v>03.06.2020</v>
      </c>
      <c r="T70" s="2220" t="s">
        <v>1167</v>
      </c>
      <c r="U70" s="2220" t="s">
        <v>1213</v>
      </c>
      <c r="V70" s="2240" t="s">
        <v>541</v>
      </c>
    </row>
    <row r="71" spans="1:22" ht="15.75" thickBot="1">
      <c r="A71" s="2232"/>
      <c r="B71" s="2221"/>
      <c r="D71" s="2221"/>
      <c r="E71" s="55" t="s">
        <v>1085</v>
      </c>
      <c r="F71" s="55" t="s">
        <v>1111</v>
      </c>
      <c r="G71" s="2221"/>
      <c r="H71" s="55">
        <v>68207</v>
      </c>
      <c r="I71" s="208" t="s">
        <v>34</v>
      </c>
      <c r="J71" s="208" t="s">
        <v>34</v>
      </c>
      <c r="K71" s="208" t="s">
        <v>34</v>
      </c>
      <c r="L71" s="208" t="s">
        <v>35</v>
      </c>
      <c r="M71" s="208" t="s">
        <v>36</v>
      </c>
      <c r="N71" s="2221"/>
      <c r="O71" s="2221"/>
      <c r="P71" s="2221"/>
      <c r="Q71" s="2221"/>
      <c r="R71" s="2221"/>
      <c r="S71" s="2221"/>
      <c r="T71" s="2221"/>
      <c r="U71" s="2221"/>
      <c r="V71" s="2241"/>
    </row>
    <row r="72" spans="1:22" ht="15.75" thickBot="1">
      <c r="A72" s="2232"/>
      <c r="B72" s="2221"/>
      <c r="D72" s="2221"/>
      <c r="E72" s="55" t="s">
        <v>1086</v>
      </c>
      <c r="F72" s="55" t="s">
        <v>1112</v>
      </c>
      <c r="G72" s="2221"/>
      <c r="H72" s="55">
        <v>26171</v>
      </c>
      <c r="I72" s="208" t="s">
        <v>34</v>
      </c>
      <c r="J72" s="208" t="s">
        <v>34</v>
      </c>
      <c r="K72" s="208" t="s">
        <v>34</v>
      </c>
      <c r="L72" s="208" t="s">
        <v>35</v>
      </c>
      <c r="M72" s="208" t="s">
        <v>36</v>
      </c>
      <c r="N72" s="2221"/>
      <c r="O72" s="2221"/>
      <c r="P72" s="2221"/>
      <c r="Q72" s="2221"/>
      <c r="R72" s="2221"/>
      <c r="S72" s="2221"/>
      <c r="T72" s="2221"/>
      <c r="U72" s="2221"/>
      <c r="V72" s="2241"/>
    </row>
    <row r="73" spans="1:22" ht="15.75" thickBot="1">
      <c r="A73" s="2233"/>
      <c r="B73" s="2222"/>
      <c r="C73" s="466"/>
      <c r="D73" s="2222"/>
      <c r="E73" s="454" t="s">
        <v>1087</v>
      </c>
      <c r="F73" s="454" t="s">
        <v>1112</v>
      </c>
      <c r="G73" s="2222"/>
      <c r="H73" s="454">
        <v>68207</v>
      </c>
      <c r="I73" s="208" t="s">
        <v>34</v>
      </c>
      <c r="J73" s="208" t="s">
        <v>34</v>
      </c>
      <c r="K73" s="208" t="s">
        <v>34</v>
      </c>
      <c r="L73" s="208" t="s">
        <v>35</v>
      </c>
      <c r="M73" s="208" t="s">
        <v>36</v>
      </c>
      <c r="N73" s="2222"/>
      <c r="O73" s="2222"/>
      <c r="P73" s="2222"/>
      <c r="Q73" s="2222"/>
      <c r="R73" s="2222"/>
      <c r="S73" s="2222"/>
      <c r="T73" s="2222"/>
      <c r="U73" s="2222"/>
      <c r="V73" s="2242"/>
    </row>
    <row r="74" spans="1:22" ht="15.75" thickBot="1">
      <c r="A74" s="2223">
        <v>6</v>
      </c>
      <c r="B74" s="2226" t="s">
        <v>1030</v>
      </c>
      <c r="C74" s="459"/>
      <c r="D74" s="2229" t="s">
        <v>1052</v>
      </c>
      <c r="E74" s="441" t="s">
        <v>1067</v>
      </c>
      <c r="F74" s="441" t="s">
        <v>1101</v>
      </c>
      <c r="G74" s="2226" t="s">
        <v>1120</v>
      </c>
      <c r="H74" s="441">
        <v>60220</v>
      </c>
      <c r="I74" s="208" t="s">
        <v>34</v>
      </c>
      <c r="J74" s="208" t="s">
        <v>34</v>
      </c>
      <c r="K74" s="208" t="s">
        <v>34</v>
      </c>
      <c r="L74" s="208" t="s">
        <v>35</v>
      </c>
      <c r="M74" s="208" t="s">
        <v>36</v>
      </c>
      <c r="N74" s="2226" t="s">
        <v>1121</v>
      </c>
      <c r="O74" s="2226" t="s">
        <v>1122</v>
      </c>
      <c r="P74" s="2226"/>
      <c r="Q74" s="2226"/>
      <c r="R74" s="2226"/>
      <c r="S74" s="2226" t="s">
        <v>1123</v>
      </c>
      <c r="T74" s="2226" t="s">
        <v>1167</v>
      </c>
      <c r="U74" s="2226"/>
      <c r="V74" s="2235" t="s">
        <v>541</v>
      </c>
    </row>
    <row r="75" spans="1:22" ht="15.75" thickBot="1">
      <c r="A75" s="2224"/>
      <c r="B75" s="2227"/>
      <c r="D75" s="2227"/>
      <c r="E75" s="55" t="s">
        <v>1068</v>
      </c>
      <c r="F75" s="55" t="s">
        <v>1101</v>
      </c>
      <c r="G75" s="2227"/>
      <c r="H75" s="55">
        <v>34158</v>
      </c>
      <c r="I75" s="208" t="s">
        <v>34</v>
      </c>
      <c r="J75" s="208" t="s">
        <v>34</v>
      </c>
      <c r="K75" s="208" t="s">
        <v>34</v>
      </c>
      <c r="L75" s="208" t="s">
        <v>35</v>
      </c>
      <c r="M75" s="208" t="s">
        <v>36</v>
      </c>
      <c r="N75" s="2227"/>
      <c r="O75" s="2227"/>
      <c r="P75" s="2227"/>
      <c r="Q75" s="2227"/>
      <c r="R75" s="2227"/>
      <c r="S75" s="2227"/>
      <c r="T75" s="2227"/>
      <c r="U75" s="2227"/>
      <c r="V75" s="2236"/>
    </row>
    <row r="76" spans="1:22" ht="15.75" thickBot="1">
      <c r="A76" s="2224"/>
      <c r="B76" s="2227"/>
      <c r="D76" s="2227"/>
      <c r="E76" s="55" t="s">
        <v>1069</v>
      </c>
      <c r="F76" s="55" t="s">
        <v>1102</v>
      </c>
      <c r="G76" s="2227"/>
      <c r="H76" s="55">
        <v>60220</v>
      </c>
      <c r="I76" s="208" t="s">
        <v>34</v>
      </c>
      <c r="J76" s="208" t="s">
        <v>34</v>
      </c>
      <c r="K76" s="208" t="s">
        <v>34</v>
      </c>
      <c r="L76" s="208" t="s">
        <v>35</v>
      </c>
      <c r="M76" s="208" t="s">
        <v>36</v>
      </c>
      <c r="N76" s="2227"/>
      <c r="O76" s="2227"/>
      <c r="P76" s="2227"/>
      <c r="Q76" s="2227"/>
      <c r="R76" s="2227"/>
      <c r="S76" s="2227"/>
      <c r="T76" s="2227"/>
      <c r="U76" s="2227"/>
      <c r="V76" s="2236"/>
    </row>
    <row r="77" spans="1:22" ht="15.75" thickBot="1">
      <c r="A77" s="2225"/>
      <c r="B77" s="2228"/>
      <c r="C77" s="466"/>
      <c r="D77" s="2228"/>
      <c r="E77" s="454" t="s">
        <v>1070</v>
      </c>
      <c r="F77" s="454" t="s">
        <v>1102</v>
      </c>
      <c r="G77" s="2228"/>
      <c r="H77" s="454">
        <v>34158</v>
      </c>
      <c r="I77" s="208" t="s">
        <v>34</v>
      </c>
      <c r="J77" s="208" t="s">
        <v>34</v>
      </c>
      <c r="K77" s="208" t="s">
        <v>34</v>
      </c>
      <c r="L77" s="208" t="s">
        <v>35</v>
      </c>
      <c r="M77" s="208" t="s">
        <v>36</v>
      </c>
      <c r="N77" s="2228"/>
      <c r="O77" s="2228"/>
      <c r="P77" s="2228"/>
      <c r="Q77" s="2228"/>
      <c r="R77" s="2228"/>
      <c r="S77" s="2228"/>
      <c r="T77" s="2228"/>
      <c r="U77" s="2228"/>
      <c r="V77" s="2237"/>
    </row>
    <row r="78" spans="1:22" ht="15.75" thickBot="1">
      <c r="A78" s="2238">
        <v>8</v>
      </c>
      <c r="B78" s="2220" t="str">
        <f>B12</f>
        <v>YWD</v>
      </c>
      <c r="C78" s="459"/>
      <c r="D78" s="2239" t="s">
        <v>1054</v>
      </c>
      <c r="E78" s="441" t="s">
        <v>1072</v>
      </c>
      <c r="F78" s="441" t="s">
        <v>1104</v>
      </c>
      <c r="G78" s="2220" t="str">
        <f>G74</f>
        <v>Akshit chandra</v>
      </c>
      <c r="H78" s="441">
        <v>26171</v>
      </c>
      <c r="I78" s="208" t="s">
        <v>34</v>
      </c>
      <c r="J78" s="208" t="s">
        <v>34</v>
      </c>
      <c r="K78" s="208" t="s">
        <v>34</v>
      </c>
      <c r="L78" s="208" t="s">
        <v>35</v>
      </c>
      <c r="M78" s="208" t="s">
        <v>36</v>
      </c>
      <c r="N78" s="2220" t="str">
        <f>N12</f>
        <v>02.06.2020</v>
      </c>
      <c r="O78" s="2220" t="s">
        <v>1122</v>
      </c>
      <c r="P78" s="2220"/>
      <c r="Q78" s="2220"/>
      <c r="R78" s="2220"/>
      <c r="S78" s="2220" t="str">
        <f>S12</f>
        <v>03.06.2020</v>
      </c>
      <c r="T78" s="2220" t="s">
        <v>1167</v>
      </c>
      <c r="U78" s="2220"/>
      <c r="V78" s="2235" t="s">
        <v>541</v>
      </c>
    </row>
    <row r="79" spans="1:22" ht="15.75" thickBot="1">
      <c r="A79" s="2232"/>
      <c r="B79" s="2221"/>
      <c r="D79" s="2221"/>
      <c r="E79" s="55" t="s">
        <v>1073</v>
      </c>
      <c r="F79" s="55" t="s">
        <v>1104</v>
      </c>
      <c r="G79" s="2221"/>
      <c r="H79" s="55">
        <v>68207</v>
      </c>
      <c r="I79" s="208" t="s">
        <v>34</v>
      </c>
      <c r="J79" s="208" t="s">
        <v>34</v>
      </c>
      <c r="K79" s="208" t="s">
        <v>34</v>
      </c>
      <c r="L79" s="208" t="s">
        <v>35</v>
      </c>
      <c r="M79" s="208" t="s">
        <v>36</v>
      </c>
      <c r="N79" s="2221"/>
      <c r="O79" s="2221"/>
      <c r="P79" s="2221"/>
      <c r="Q79" s="2221"/>
      <c r="R79" s="2221"/>
      <c r="S79" s="2221"/>
      <c r="T79" s="2221"/>
      <c r="U79" s="2221"/>
      <c r="V79" s="2236"/>
    </row>
    <row r="80" spans="1:22" ht="15.75" thickBot="1">
      <c r="A80" s="2232"/>
      <c r="B80" s="2221"/>
      <c r="D80" s="2221"/>
      <c r="E80" s="55" t="s">
        <v>1074</v>
      </c>
      <c r="F80" s="55" t="s">
        <v>1105</v>
      </c>
      <c r="G80" s="2221"/>
      <c r="H80" s="55">
        <v>26171</v>
      </c>
      <c r="I80" s="208" t="s">
        <v>34</v>
      </c>
      <c r="J80" s="208" t="s">
        <v>34</v>
      </c>
      <c r="K80" s="208" t="s">
        <v>34</v>
      </c>
      <c r="L80" s="208" t="s">
        <v>35</v>
      </c>
      <c r="M80" s="208" t="s">
        <v>36</v>
      </c>
      <c r="N80" s="2221"/>
      <c r="O80" s="2221"/>
      <c r="P80" s="2221"/>
      <c r="Q80" s="2221"/>
      <c r="R80" s="2221"/>
      <c r="S80" s="2221"/>
      <c r="T80" s="2221"/>
      <c r="U80" s="2221"/>
      <c r="V80" s="2236"/>
    </row>
    <row r="81" spans="1:22" ht="15.75" thickBot="1">
      <c r="A81" s="2233"/>
      <c r="B81" s="2222"/>
      <c r="C81" s="466"/>
      <c r="D81" s="2222"/>
      <c r="E81" s="454" t="s">
        <v>1075</v>
      </c>
      <c r="F81" s="454" t="s">
        <v>1105</v>
      </c>
      <c r="G81" s="2222"/>
      <c r="H81" s="454">
        <v>68207</v>
      </c>
      <c r="I81" s="208" t="s">
        <v>34</v>
      </c>
      <c r="J81" s="208" t="s">
        <v>34</v>
      </c>
      <c r="K81" s="208" t="s">
        <v>34</v>
      </c>
      <c r="L81" s="208" t="s">
        <v>35</v>
      </c>
      <c r="M81" s="208" t="s">
        <v>36</v>
      </c>
      <c r="N81" s="2222"/>
      <c r="O81" s="2222"/>
      <c r="P81" s="2222"/>
      <c r="Q81" s="2222"/>
      <c r="R81" s="2222"/>
      <c r="S81" s="2222"/>
      <c r="T81" s="2222"/>
      <c r="U81" s="2222"/>
      <c r="V81" s="2237"/>
    </row>
  </sheetData>
  <autoFilter ref="A2:AD81"/>
  <mergeCells count="189">
    <mergeCell ref="V58:V69"/>
    <mergeCell ref="W35:X35"/>
    <mergeCell ref="V16:V19"/>
    <mergeCell ref="V20:V21"/>
    <mergeCell ref="V36:V43"/>
    <mergeCell ref="V44:V53"/>
    <mergeCell ref="V54:V55"/>
    <mergeCell ref="V56:V57"/>
    <mergeCell ref="P58:P69"/>
    <mergeCell ref="Q58:Q69"/>
    <mergeCell ref="R58:R69"/>
    <mergeCell ref="S58:S69"/>
    <mergeCell ref="T58:T69"/>
    <mergeCell ref="U58:U69"/>
    <mergeCell ref="Q56:Q57"/>
    <mergeCell ref="R56:R57"/>
    <mergeCell ref="S56:S57"/>
    <mergeCell ref="T56:T57"/>
    <mergeCell ref="U56:U57"/>
    <mergeCell ref="P56:P57"/>
    <mergeCell ref="P54:P55"/>
    <mergeCell ref="Q54:Q55"/>
    <mergeCell ref="R54:R55"/>
    <mergeCell ref="S54:S55"/>
    <mergeCell ref="A58:A69"/>
    <mergeCell ref="B58:B69"/>
    <mergeCell ref="D58:D69"/>
    <mergeCell ref="N58:N69"/>
    <mergeCell ref="O58:O69"/>
    <mergeCell ref="A56:A57"/>
    <mergeCell ref="B56:B57"/>
    <mergeCell ref="D56:D57"/>
    <mergeCell ref="N56:N57"/>
    <mergeCell ref="O56:O57"/>
    <mergeCell ref="A36:A43"/>
    <mergeCell ref="B36:B43"/>
    <mergeCell ref="D36:D43"/>
    <mergeCell ref="G36:G43"/>
    <mergeCell ref="N36:N43"/>
    <mergeCell ref="O36:O43"/>
    <mergeCell ref="T54:T55"/>
    <mergeCell ref="U54:U55"/>
    <mergeCell ref="A54:A55"/>
    <mergeCell ref="B54:B55"/>
    <mergeCell ref="D54:D55"/>
    <mergeCell ref="G54:G55"/>
    <mergeCell ref="N54:N55"/>
    <mergeCell ref="O54:O55"/>
    <mergeCell ref="P44:P53"/>
    <mergeCell ref="Q44:Q53"/>
    <mergeCell ref="R44:R53"/>
    <mergeCell ref="S44:S53"/>
    <mergeCell ref="T44:T53"/>
    <mergeCell ref="U44:U53"/>
    <mergeCell ref="A44:A53"/>
    <mergeCell ref="B44:B53"/>
    <mergeCell ref="D44:D53"/>
    <mergeCell ref="G44:G53"/>
    <mergeCell ref="V24:V29"/>
    <mergeCell ref="S22:S23"/>
    <mergeCell ref="T22:T23"/>
    <mergeCell ref="U22:U23"/>
    <mergeCell ref="P36:P43"/>
    <mergeCell ref="Q36:Q43"/>
    <mergeCell ref="R36:R43"/>
    <mergeCell ref="S36:S43"/>
    <mergeCell ref="T36:T43"/>
    <mergeCell ref="U36:U43"/>
    <mergeCell ref="A24:A29"/>
    <mergeCell ref="B24:B29"/>
    <mergeCell ref="D24:D29"/>
    <mergeCell ref="G24:G29"/>
    <mergeCell ref="N24:N29"/>
    <mergeCell ref="O24:O29"/>
    <mergeCell ref="P24:P29"/>
    <mergeCell ref="V70:V73"/>
    <mergeCell ref="A22:A23"/>
    <mergeCell ref="B22:B23"/>
    <mergeCell ref="D22:D23"/>
    <mergeCell ref="G22:G23"/>
    <mergeCell ref="N22:N23"/>
    <mergeCell ref="O22:O23"/>
    <mergeCell ref="P22:P23"/>
    <mergeCell ref="Q22:Q23"/>
    <mergeCell ref="R22:R23"/>
    <mergeCell ref="P70:P73"/>
    <mergeCell ref="Q70:Q73"/>
    <mergeCell ref="R70:R73"/>
    <mergeCell ref="S70:S73"/>
    <mergeCell ref="T70:T73"/>
    <mergeCell ref="U70:U73"/>
    <mergeCell ref="A70:A73"/>
    <mergeCell ref="U16:U19"/>
    <mergeCell ref="B70:B73"/>
    <mergeCell ref="D70:D73"/>
    <mergeCell ref="G70:G73"/>
    <mergeCell ref="N70:N73"/>
    <mergeCell ref="O70:O73"/>
    <mergeCell ref="P20:P21"/>
    <mergeCell ref="Q20:Q21"/>
    <mergeCell ref="R20:R21"/>
    <mergeCell ref="S20:S21"/>
    <mergeCell ref="Q24:Q29"/>
    <mergeCell ref="R24:R29"/>
    <mergeCell ref="S24:S29"/>
    <mergeCell ref="T24:T29"/>
    <mergeCell ref="U24:U29"/>
    <mergeCell ref="N44:N53"/>
    <mergeCell ref="O44:O53"/>
    <mergeCell ref="S78:S81"/>
    <mergeCell ref="T78:T81"/>
    <mergeCell ref="U78:U81"/>
    <mergeCell ref="V78:V81"/>
    <mergeCell ref="A16:A19"/>
    <mergeCell ref="B16:B19"/>
    <mergeCell ref="D16:D19"/>
    <mergeCell ref="G16:G19"/>
    <mergeCell ref="N16:N19"/>
    <mergeCell ref="O16:O19"/>
    <mergeCell ref="V74:V77"/>
    <mergeCell ref="A78:A81"/>
    <mergeCell ref="B78:B81"/>
    <mergeCell ref="D78:D81"/>
    <mergeCell ref="G78:G81"/>
    <mergeCell ref="N78:N81"/>
    <mergeCell ref="O78:O81"/>
    <mergeCell ref="P78:P81"/>
    <mergeCell ref="Q78:Q81"/>
    <mergeCell ref="R78:R81"/>
    <mergeCell ref="P74:P77"/>
    <mergeCell ref="Q74:Q77"/>
    <mergeCell ref="R74:R77"/>
    <mergeCell ref="S74:S77"/>
    <mergeCell ref="T74:T77"/>
    <mergeCell ref="U74:U77"/>
    <mergeCell ref="A74:A77"/>
    <mergeCell ref="B74:B77"/>
    <mergeCell ref="D74:D77"/>
    <mergeCell ref="G74:G77"/>
    <mergeCell ref="N74:N77"/>
    <mergeCell ref="O74:O77"/>
    <mergeCell ref="S3:S10"/>
    <mergeCell ref="T3:T10"/>
    <mergeCell ref="U3:U10"/>
    <mergeCell ref="T20:T21"/>
    <mergeCell ref="U20:U21"/>
    <mergeCell ref="A20:A21"/>
    <mergeCell ref="B20:B21"/>
    <mergeCell ref="D20:D21"/>
    <mergeCell ref="G20:G21"/>
    <mergeCell ref="N20:N21"/>
    <mergeCell ref="O20:O21"/>
    <mergeCell ref="P16:P19"/>
    <mergeCell ref="Q16:Q19"/>
    <mergeCell ref="R16:R19"/>
    <mergeCell ref="S16:S19"/>
    <mergeCell ref="T16:T19"/>
    <mergeCell ref="AC3:AC6"/>
    <mergeCell ref="AC7:AC10"/>
    <mergeCell ref="V3:V10"/>
    <mergeCell ref="A3:A10"/>
    <mergeCell ref="B3:B10"/>
    <mergeCell ref="D3:D10"/>
    <mergeCell ref="G3:G10"/>
    <mergeCell ref="N3:N10"/>
    <mergeCell ref="O3:O10"/>
    <mergeCell ref="S1:S2"/>
    <mergeCell ref="T1:T2"/>
    <mergeCell ref="U1:U2"/>
    <mergeCell ref="V1:V2"/>
    <mergeCell ref="X1:AA1"/>
    <mergeCell ref="M1:M2"/>
    <mergeCell ref="N1:N2"/>
    <mergeCell ref="O1:O2"/>
    <mergeCell ref="P1:P2"/>
    <mergeCell ref="Q1:Q2"/>
    <mergeCell ref="R1:R2"/>
    <mergeCell ref="G1:G2"/>
    <mergeCell ref="H1:H2"/>
    <mergeCell ref="I1:I2"/>
    <mergeCell ref="J1:J2"/>
    <mergeCell ref="K1:K2"/>
    <mergeCell ref="L1:L2"/>
    <mergeCell ref="A1:A2"/>
    <mergeCell ref="B1:B2"/>
    <mergeCell ref="C1:C2"/>
    <mergeCell ref="D1:D2"/>
    <mergeCell ref="E1:E2"/>
    <mergeCell ref="F1:F2"/>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R75"/>
  <sheetViews>
    <sheetView topLeftCell="W1" zoomScale="90" zoomScaleNormal="90" workbookViewId="0">
      <pane ySplit="13" topLeftCell="A86" activePane="bottomLeft" state="frozen"/>
      <selection pane="bottomLeft" activeCell="W80" sqref="W80"/>
    </sheetView>
  </sheetViews>
  <sheetFormatPr defaultRowHeight="15"/>
  <cols>
    <col min="1" max="1" width="5.7109375" bestFit="1" customWidth="1"/>
    <col min="2" max="2" width="14.140625" bestFit="1" customWidth="1"/>
    <col min="3" max="3" width="9.85546875" hidden="1" customWidth="1"/>
    <col min="4" max="4" width="25.85546875" bestFit="1" customWidth="1"/>
    <col min="5" max="5" width="14" bestFit="1" customWidth="1"/>
    <col min="6" max="6" width="34.140625" bestFit="1" customWidth="1"/>
    <col min="7" max="7" width="16.85546875" customWidth="1"/>
    <col min="8" max="8" width="8" customWidth="1"/>
    <col min="9" max="9" width="9.140625" hidden="1" customWidth="1"/>
    <col min="10" max="10" width="7.5703125" hidden="1" customWidth="1"/>
    <col min="11" max="11" width="9" hidden="1" customWidth="1"/>
    <col min="12" max="12" width="8.85546875" hidden="1" customWidth="1"/>
    <col min="13" max="13" width="8.42578125" hidden="1" customWidth="1"/>
    <col min="14" max="14" width="11" hidden="1" customWidth="1"/>
    <col min="15" max="15" width="14.85546875" hidden="1" customWidth="1"/>
    <col min="16" max="16" width="11.5703125" hidden="1" customWidth="1"/>
    <col min="17" max="17" width="9.28515625" hidden="1" customWidth="1"/>
    <col min="18" max="18" width="12.85546875" hidden="1" customWidth="1"/>
    <col min="19" max="19" width="11.140625" customWidth="1"/>
    <col min="20" max="21" width="11.140625" hidden="1" customWidth="1"/>
    <col min="22" max="22" width="9.28515625" customWidth="1"/>
    <col min="23" max="23" width="16.7109375" customWidth="1"/>
    <col min="24" max="24" width="16.7109375" hidden="1" customWidth="1"/>
    <col min="25" max="25" width="11.5703125" hidden="1" customWidth="1"/>
    <col min="26" max="28" width="11.5703125" customWidth="1"/>
    <col min="29" max="29" width="13.85546875" customWidth="1"/>
    <col min="30" max="30" width="16.140625" bestFit="1" customWidth="1"/>
    <col min="31" max="31" width="16.140625" customWidth="1"/>
    <col min="32" max="32" width="16.7109375" customWidth="1"/>
    <col min="33" max="33" width="11.85546875" customWidth="1"/>
    <col min="34" max="34" width="12.140625" customWidth="1"/>
    <col min="35" max="35" width="12" customWidth="1"/>
    <col min="36" max="38" width="16.7109375" customWidth="1"/>
    <col min="39" max="39" width="7.28515625" hidden="1" customWidth="1"/>
    <col min="40" max="40" width="7" hidden="1" customWidth="1"/>
    <col min="41" max="42" width="8" hidden="1" customWidth="1"/>
    <col min="43" max="43" width="8.28515625" hidden="1" customWidth="1"/>
    <col min="44" max="44" width="29.28515625" hidden="1" customWidth="1"/>
  </cols>
  <sheetData>
    <row r="1" spans="1:44" ht="25.5" customHeight="1">
      <c r="A1" s="2277" t="s">
        <v>0</v>
      </c>
      <c r="B1" s="2277" t="s">
        <v>1</v>
      </c>
      <c r="C1" s="2277" t="s">
        <v>2</v>
      </c>
      <c r="D1" s="2277" t="s">
        <v>5</v>
      </c>
      <c r="E1" s="2277" t="s">
        <v>3</v>
      </c>
      <c r="F1" s="2277" t="s">
        <v>4</v>
      </c>
      <c r="G1" s="2277" t="s">
        <v>6</v>
      </c>
      <c r="H1" s="2277" t="s">
        <v>7</v>
      </c>
      <c r="I1" s="2277" t="s">
        <v>8</v>
      </c>
      <c r="J1" s="2277" t="s">
        <v>9</v>
      </c>
      <c r="K1" s="2277" t="s">
        <v>10</v>
      </c>
      <c r="L1" s="2277" t="s">
        <v>11</v>
      </c>
      <c r="M1" s="2277" t="s">
        <v>12</v>
      </c>
      <c r="N1" s="2277" t="s">
        <v>55</v>
      </c>
      <c r="O1" s="2277" t="s">
        <v>116</v>
      </c>
      <c r="P1" s="2277" t="s">
        <v>13</v>
      </c>
      <c r="Q1" s="2277" t="s">
        <v>14</v>
      </c>
      <c r="R1" s="2277" t="s">
        <v>110</v>
      </c>
      <c r="S1" s="2277" t="s">
        <v>15</v>
      </c>
      <c r="T1" s="2277" t="s">
        <v>16</v>
      </c>
      <c r="U1" s="2277" t="s">
        <v>302</v>
      </c>
      <c r="V1" s="12"/>
      <c r="W1" s="2278" t="s">
        <v>349</v>
      </c>
      <c r="X1" s="2278"/>
      <c r="Y1" s="2278"/>
      <c r="Z1" s="2278"/>
      <c r="AA1" s="2278"/>
      <c r="AB1" s="2278"/>
      <c r="AC1" s="2278"/>
      <c r="AD1" s="359"/>
      <c r="AE1" s="394"/>
      <c r="AF1" s="360" t="s">
        <v>1049</v>
      </c>
      <c r="AG1" s="2279" t="s">
        <v>21</v>
      </c>
      <c r="AH1" s="2279"/>
      <c r="AI1" s="2279"/>
      <c r="AJ1" s="2279"/>
      <c r="AK1" s="2279"/>
      <c r="AL1" s="169"/>
      <c r="AM1" s="2277" t="s">
        <v>22</v>
      </c>
      <c r="AN1" s="2277" t="s">
        <v>23</v>
      </c>
      <c r="AO1" s="2277" t="s">
        <v>24</v>
      </c>
      <c r="AP1" s="2277" t="s">
        <v>25</v>
      </c>
      <c r="AQ1" s="2277" t="s">
        <v>26</v>
      </c>
      <c r="AR1" s="2277" t="s">
        <v>27</v>
      </c>
    </row>
    <row r="2" spans="1:44" s="8" customFormat="1" ht="66" customHeight="1">
      <c r="A2" s="2277"/>
      <c r="B2" s="2277"/>
      <c r="C2" s="2277"/>
      <c r="D2" s="2277"/>
      <c r="E2" s="2277"/>
      <c r="F2" s="2277"/>
      <c r="G2" s="2277"/>
      <c r="H2" s="2277"/>
      <c r="I2" s="2277"/>
      <c r="J2" s="2277"/>
      <c r="K2" s="2277"/>
      <c r="L2" s="2277"/>
      <c r="M2" s="2277"/>
      <c r="N2" s="2277"/>
      <c r="O2" s="2277"/>
      <c r="P2" s="2277"/>
      <c r="Q2" s="2277"/>
      <c r="R2" s="2277"/>
      <c r="S2" s="2277"/>
      <c r="T2" s="2277"/>
      <c r="U2" s="2277"/>
      <c r="V2" s="12" t="s">
        <v>856</v>
      </c>
      <c r="W2" s="33" t="s">
        <v>347</v>
      </c>
      <c r="X2" s="153" t="s">
        <v>166</v>
      </c>
      <c r="Y2" s="12" t="s">
        <v>348</v>
      </c>
      <c r="Z2" s="12" t="s">
        <v>249</v>
      </c>
      <c r="AA2" s="33" t="s">
        <v>168</v>
      </c>
      <c r="AB2" s="33" t="s">
        <v>169</v>
      </c>
      <c r="AC2" s="33" t="s">
        <v>350</v>
      </c>
      <c r="AD2" s="359" t="s">
        <v>19</v>
      </c>
      <c r="AE2" s="394" t="s">
        <v>1050</v>
      </c>
      <c r="AF2" s="360" t="s">
        <v>351</v>
      </c>
      <c r="AG2" s="33" t="s">
        <v>343</v>
      </c>
      <c r="AH2" s="12" t="s">
        <v>344</v>
      </c>
      <c r="AI2" s="12" t="s">
        <v>345</v>
      </c>
      <c r="AJ2" s="33" t="s">
        <v>168</v>
      </c>
      <c r="AK2" s="33" t="s">
        <v>169</v>
      </c>
      <c r="AL2" s="33" t="s">
        <v>350</v>
      </c>
      <c r="AM2" s="2277"/>
      <c r="AN2" s="2277"/>
      <c r="AO2" s="2277"/>
      <c r="AP2" s="2277"/>
      <c r="AQ2" s="2277"/>
      <c r="AR2" s="2277"/>
    </row>
    <row r="3" spans="1:44">
      <c r="A3" s="2">
        <v>1</v>
      </c>
      <c r="B3" s="2" t="s">
        <v>197</v>
      </c>
      <c r="C3" s="2" t="s">
        <v>29</v>
      </c>
      <c r="D3" s="2" t="s">
        <v>393</v>
      </c>
      <c r="E3" s="172" t="s">
        <v>394</v>
      </c>
      <c r="F3" s="2" t="s">
        <v>395</v>
      </c>
      <c r="G3" s="2" t="s">
        <v>299</v>
      </c>
      <c r="H3" s="2">
        <v>30000</v>
      </c>
      <c r="I3" s="2" t="s">
        <v>34</v>
      </c>
      <c r="J3" s="2" t="s">
        <v>34</v>
      </c>
      <c r="K3" s="2" t="s">
        <v>34</v>
      </c>
      <c r="L3" s="2" t="s">
        <v>35</v>
      </c>
      <c r="M3" s="2" t="s">
        <v>36</v>
      </c>
      <c r="N3" s="2" t="s">
        <v>396</v>
      </c>
      <c r="O3" s="2" t="s">
        <v>424</v>
      </c>
      <c r="P3" s="2" t="s">
        <v>427</v>
      </c>
      <c r="Q3" s="2"/>
      <c r="R3" s="2" t="s">
        <v>397</v>
      </c>
      <c r="S3" s="2" t="s">
        <v>396</v>
      </c>
      <c r="T3" s="2"/>
      <c r="U3" s="2"/>
      <c r="V3" s="2"/>
      <c r="W3" s="178">
        <v>1135.5</v>
      </c>
      <c r="X3" s="178">
        <v>14.17</v>
      </c>
      <c r="Y3" s="178">
        <v>1149.67</v>
      </c>
      <c r="Z3" s="178"/>
      <c r="AA3" s="178">
        <v>19.12</v>
      </c>
      <c r="AB3" s="178">
        <v>21.8</v>
      </c>
      <c r="AC3" s="178">
        <v>11.4</v>
      </c>
      <c r="AD3" s="2"/>
      <c r="AE3" s="2"/>
      <c r="AF3" s="2"/>
      <c r="AG3" s="2"/>
      <c r="AH3" s="2"/>
      <c r="AI3" s="2"/>
      <c r="AJ3" s="2"/>
      <c r="AK3" s="2"/>
      <c r="AL3" s="2"/>
      <c r="AM3" s="2"/>
      <c r="AN3" s="2"/>
      <c r="AO3" s="2"/>
      <c r="AP3" s="2"/>
      <c r="AQ3" s="2"/>
      <c r="AR3" s="2"/>
    </row>
    <row r="4" spans="1:44">
      <c r="A4" s="2267">
        <v>2</v>
      </c>
      <c r="B4" s="2267" t="s">
        <v>197</v>
      </c>
      <c r="C4" s="2267" t="s">
        <v>29</v>
      </c>
      <c r="D4" s="2267" t="s">
        <v>399</v>
      </c>
      <c r="E4" s="198" t="s">
        <v>400</v>
      </c>
      <c r="F4" s="198" t="s">
        <v>225</v>
      </c>
      <c r="G4" s="2267" t="s">
        <v>299</v>
      </c>
      <c r="H4" s="2">
        <v>30000</v>
      </c>
      <c r="I4" s="187" t="s">
        <v>34</v>
      </c>
      <c r="J4" s="2" t="s">
        <v>34</v>
      </c>
      <c r="K4" s="2" t="s">
        <v>34</v>
      </c>
      <c r="L4" s="2" t="s">
        <v>35</v>
      </c>
      <c r="M4" s="2" t="s">
        <v>36</v>
      </c>
      <c r="N4" s="2267" t="s">
        <v>402</v>
      </c>
      <c r="O4" s="2267" t="s">
        <v>425</v>
      </c>
      <c r="P4" s="2270" t="s">
        <v>425</v>
      </c>
      <c r="Q4" s="2270"/>
      <c r="R4" s="2267" t="s">
        <v>403</v>
      </c>
      <c r="S4" s="2267" t="s">
        <v>402</v>
      </c>
      <c r="T4" s="2"/>
      <c r="U4" s="2"/>
      <c r="V4" s="2"/>
      <c r="W4" s="200">
        <v>85.572325000000006</v>
      </c>
      <c r="X4" s="178">
        <v>34.68</v>
      </c>
      <c r="Y4" s="178">
        <v>120.26</v>
      </c>
      <c r="Z4" s="178"/>
      <c r="AA4" s="178">
        <v>5.12</v>
      </c>
      <c r="AB4" s="178">
        <v>15.5</v>
      </c>
      <c r="AC4" s="178">
        <v>8.5</v>
      </c>
      <c r="AD4" s="2"/>
      <c r="AE4" s="2"/>
      <c r="AF4" s="2"/>
      <c r="AG4" s="2"/>
      <c r="AH4" s="2"/>
      <c r="AI4" s="2"/>
      <c r="AJ4" s="2"/>
      <c r="AK4" s="2"/>
      <c r="AL4" s="2"/>
      <c r="AM4" s="2"/>
      <c r="AN4" s="2"/>
      <c r="AO4" s="2"/>
      <c r="AP4" s="2"/>
      <c r="AQ4" s="2"/>
      <c r="AR4" s="2"/>
    </row>
    <row r="5" spans="1:44" ht="15.75" thickBot="1">
      <c r="A5" s="2270"/>
      <c r="B5" s="2270"/>
      <c r="C5" s="2270"/>
      <c r="D5" s="2270"/>
      <c r="E5" s="361" t="s">
        <v>401</v>
      </c>
      <c r="F5" s="361" t="s">
        <v>225</v>
      </c>
      <c r="G5" s="2270"/>
      <c r="H5" s="362">
        <v>30000</v>
      </c>
      <c r="I5" s="363" t="s">
        <v>34</v>
      </c>
      <c r="J5" s="362" t="s">
        <v>34</v>
      </c>
      <c r="K5" s="362" t="s">
        <v>34</v>
      </c>
      <c r="L5" s="362" t="s">
        <v>35</v>
      </c>
      <c r="M5" s="362" t="s">
        <v>36</v>
      </c>
      <c r="N5" s="2270"/>
      <c r="O5" s="2270"/>
      <c r="P5" s="2276"/>
      <c r="Q5" s="2276"/>
      <c r="R5" s="2270"/>
      <c r="S5" s="2270"/>
      <c r="T5" s="364"/>
      <c r="U5" s="364"/>
      <c r="V5" s="335"/>
      <c r="W5" s="365">
        <v>86.962188766216897</v>
      </c>
      <c r="X5" s="366">
        <v>34.68</v>
      </c>
      <c r="Y5" s="366">
        <v>121.65</v>
      </c>
      <c r="Z5" s="488"/>
      <c r="AA5" s="366">
        <v>5.12</v>
      </c>
      <c r="AB5" s="366">
        <v>15.5</v>
      </c>
      <c r="AC5" s="366">
        <v>8.5</v>
      </c>
      <c r="AD5" s="364"/>
      <c r="AE5" s="395"/>
      <c r="AF5" s="364"/>
      <c r="AG5" s="364"/>
      <c r="AH5" s="364"/>
      <c r="AI5" s="364"/>
      <c r="AJ5" s="364"/>
      <c r="AK5" s="364"/>
      <c r="AL5" s="364"/>
      <c r="AM5" s="364"/>
      <c r="AN5" s="364"/>
      <c r="AO5" s="364"/>
      <c r="AP5" s="364"/>
      <c r="AQ5" s="364"/>
      <c r="AR5" s="364"/>
    </row>
    <row r="6" spans="1:44">
      <c r="A6" s="2">
        <v>3</v>
      </c>
      <c r="B6" s="2" t="s">
        <v>197</v>
      </c>
      <c r="C6" s="2" t="s">
        <v>29</v>
      </c>
      <c r="D6" s="198" t="s">
        <v>404</v>
      </c>
      <c r="E6" s="198" t="s">
        <v>409</v>
      </c>
      <c r="F6" s="198" t="s">
        <v>217</v>
      </c>
      <c r="G6" s="2" t="s">
        <v>299</v>
      </c>
      <c r="H6" s="2">
        <v>300</v>
      </c>
      <c r="I6" s="2" t="s">
        <v>34</v>
      </c>
      <c r="J6" s="2" t="s">
        <v>34</v>
      </c>
      <c r="K6" s="362" t="s">
        <v>34</v>
      </c>
      <c r="L6" s="2" t="s">
        <v>35</v>
      </c>
      <c r="M6" s="2" t="s">
        <v>36</v>
      </c>
      <c r="N6" s="16" t="s">
        <v>403</v>
      </c>
      <c r="O6" s="2" t="s">
        <v>434</v>
      </c>
      <c r="P6" s="16"/>
      <c r="Q6" s="16"/>
      <c r="R6" s="2" t="s">
        <v>416</v>
      </c>
      <c r="S6" s="2" t="s">
        <v>403</v>
      </c>
      <c r="T6" s="16"/>
      <c r="U6" s="16"/>
      <c r="V6" s="336"/>
      <c r="W6" s="16"/>
      <c r="X6" s="16"/>
      <c r="Y6" s="16"/>
      <c r="Z6" s="16"/>
      <c r="AA6" s="16"/>
      <c r="AB6" s="16"/>
      <c r="AC6" s="16"/>
      <c r="AD6" s="16"/>
      <c r="AE6" s="16"/>
      <c r="AF6" s="16"/>
      <c r="AG6" s="16"/>
      <c r="AH6" s="16"/>
      <c r="AI6" s="16"/>
      <c r="AJ6" s="16"/>
      <c r="AK6" s="16"/>
      <c r="AL6" s="16"/>
      <c r="AM6" s="16"/>
      <c r="AN6" s="16"/>
      <c r="AO6" s="16"/>
      <c r="AP6" s="16"/>
      <c r="AQ6" s="16"/>
      <c r="AR6" s="16"/>
    </row>
    <row r="7" spans="1:44">
      <c r="A7" s="2267">
        <v>4</v>
      </c>
      <c r="B7" s="2267" t="s">
        <v>197</v>
      </c>
      <c r="C7" s="2267" t="s">
        <v>29</v>
      </c>
      <c r="D7" s="2275" t="s">
        <v>405</v>
      </c>
      <c r="E7" s="198" t="s">
        <v>410</v>
      </c>
      <c r="F7" s="198" t="s">
        <v>330</v>
      </c>
      <c r="G7" s="2" t="s">
        <v>299</v>
      </c>
      <c r="H7" s="2">
        <v>300</v>
      </c>
      <c r="I7" s="2" t="s">
        <v>34</v>
      </c>
      <c r="J7" s="2" t="s">
        <v>34</v>
      </c>
      <c r="K7" s="362" t="s">
        <v>34</v>
      </c>
      <c r="L7" s="2" t="s">
        <v>35</v>
      </c>
      <c r="M7" s="2" t="s">
        <v>36</v>
      </c>
      <c r="N7" s="16" t="s">
        <v>403</v>
      </c>
      <c r="O7" s="2" t="s">
        <v>435</v>
      </c>
      <c r="P7" s="16"/>
      <c r="Q7" s="16"/>
      <c r="R7" s="2" t="s">
        <v>416</v>
      </c>
      <c r="S7" s="2" t="s">
        <v>403</v>
      </c>
      <c r="T7" s="16"/>
      <c r="U7" s="16"/>
      <c r="W7" s="16"/>
      <c r="X7" s="16"/>
      <c r="Y7" s="16"/>
      <c r="Z7" s="16"/>
      <c r="AA7" s="16"/>
      <c r="AB7" s="16"/>
      <c r="AC7" s="16"/>
      <c r="AD7" s="16"/>
      <c r="AE7" s="16"/>
      <c r="AF7" s="16"/>
      <c r="AG7" s="16"/>
      <c r="AH7" s="16"/>
      <c r="AI7" s="16"/>
      <c r="AJ7" s="16"/>
      <c r="AK7" s="16"/>
      <c r="AL7" s="16"/>
      <c r="AM7" s="16"/>
      <c r="AN7" s="16"/>
      <c r="AO7" s="16"/>
      <c r="AP7" s="16"/>
      <c r="AQ7" s="16"/>
      <c r="AR7" s="16"/>
    </row>
    <row r="8" spans="1:44">
      <c r="A8" s="2267"/>
      <c r="B8" s="2267"/>
      <c r="C8" s="2267"/>
      <c r="D8" s="2275"/>
      <c r="E8" s="198" t="s">
        <v>411</v>
      </c>
      <c r="F8" s="198" t="s">
        <v>330</v>
      </c>
      <c r="G8" s="2" t="s">
        <v>299</v>
      </c>
      <c r="H8" s="2">
        <v>300</v>
      </c>
      <c r="I8" s="2" t="s">
        <v>34</v>
      </c>
      <c r="J8" s="2" t="s">
        <v>34</v>
      </c>
      <c r="K8" s="362" t="s">
        <v>34</v>
      </c>
      <c r="L8" s="2" t="s">
        <v>35</v>
      </c>
      <c r="M8" s="2" t="s">
        <v>36</v>
      </c>
      <c r="N8" s="16" t="s">
        <v>403</v>
      </c>
      <c r="O8" s="2" t="s">
        <v>433</v>
      </c>
      <c r="P8" s="16"/>
      <c r="Q8" s="16"/>
      <c r="R8" s="2" t="s">
        <v>416</v>
      </c>
      <c r="S8" s="2" t="s">
        <v>403</v>
      </c>
      <c r="T8" s="16"/>
      <c r="U8" s="16"/>
      <c r="W8" s="16"/>
      <c r="X8" s="16"/>
      <c r="Y8" s="16"/>
      <c r="Z8" s="16"/>
      <c r="AA8" s="16"/>
      <c r="AB8" s="16"/>
      <c r="AC8" s="16"/>
      <c r="AD8" s="16"/>
      <c r="AE8" s="16"/>
      <c r="AF8" s="16"/>
      <c r="AG8" s="16"/>
      <c r="AH8" s="16"/>
      <c r="AI8" s="16"/>
      <c r="AJ8" s="16"/>
      <c r="AK8" s="16"/>
      <c r="AL8" s="16"/>
      <c r="AM8" s="16"/>
      <c r="AN8" s="16"/>
      <c r="AO8" s="16"/>
      <c r="AP8" s="16"/>
      <c r="AQ8" s="16"/>
      <c r="AR8" s="16"/>
    </row>
    <row r="9" spans="1:44">
      <c r="A9" s="2">
        <v>5</v>
      </c>
      <c r="B9" s="2" t="s">
        <v>197</v>
      </c>
      <c r="C9" s="2" t="s">
        <v>29</v>
      </c>
      <c r="D9" s="198" t="s">
        <v>406</v>
      </c>
      <c r="E9" s="198" t="s">
        <v>412</v>
      </c>
      <c r="F9" s="198" t="s">
        <v>415</v>
      </c>
      <c r="G9" s="2" t="s">
        <v>299</v>
      </c>
      <c r="H9" s="2">
        <v>300</v>
      </c>
      <c r="I9" s="2" t="s">
        <v>34</v>
      </c>
      <c r="J9" s="2" t="s">
        <v>34</v>
      </c>
      <c r="K9" s="2" t="s">
        <v>34</v>
      </c>
      <c r="L9" s="2" t="s">
        <v>35</v>
      </c>
      <c r="M9" s="2" t="s">
        <v>36</v>
      </c>
      <c r="N9" s="16" t="s">
        <v>403</v>
      </c>
      <c r="O9" s="2" t="s">
        <v>435</v>
      </c>
      <c r="P9" s="16"/>
      <c r="Q9" s="16"/>
      <c r="R9" s="2" t="s">
        <v>416</v>
      </c>
      <c r="S9" s="2" t="s">
        <v>403</v>
      </c>
      <c r="T9" s="16"/>
      <c r="U9" s="16"/>
      <c r="W9" s="16"/>
      <c r="X9" s="16"/>
      <c r="Y9" s="16"/>
      <c r="Z9" s="16"/>
      <c r="AA9" s="16"/>
      <c r="AB9" s="16"/>
      <c r="AC9" s="16"/>
      <c r="AD9" s="16"/>
      <c r="AE9" s="16"/>
      <c r="AF9" s="16"/>
      <c r="AG9" s="16"/>
      <c r="AH9" s="16"/>
      <c r="AI9" s="16"/>
      <c r="AJ9" s="16"/>
      <c r="AK9" s="16"/>
      <c r="AL9" s="16"/>
      <c r="AM9" s="16"/>
      <c r="AN9" s="16"/>
      <c r="AO9" s="16"/>
      <c r="AP9" s="16"/>
      <c r="AQ9" s="16"/>
      <c r="AR9" s="16"/>
    </row>
    <row r="10" spans="1:44">
      <c r="A10" s="2">
        <v>6</v>
      </c>
      <c r="B10" s="2" t="s">
        <v>197</v>
      </c>
      <c r="C10" s="2" t="s">
        <v>29</v>
      </c>
      <c r="D10" s="198" t="s">
        <v>407</v>
      </c>
      <c r="E10" s="198" t="s">
        <v>413</v>
      </c>
      <c r="F10" s="198" t="s">
        <v>42</v>
      </c>
      <c r="G10" s="2" t="s">
        <v>299</v>
      </c>
      <c r="H10" s="2">
        <v>300</v>
      </c>
      <c r="I10" s="2" t="s">
        <v>34</v>
      </c>
      <c r="J10" s="2" t="s">
        <v>34</v>
      </c>
      <c r="K10" s="2" t="s">
        <v>34</v>
      </c>
      <c r="L10" s="2" t="s">
        <v>35</v>
      </c>
      <c r="M10" s="2" t="s">
        <v>36</v>
      </c>
      <c r="N10" s="16" t="s">
        <v>403</v>
      </c>
      <c r="O10" s="2" t="s">
        <v>433</v>
      </c>
      <c r="P10" s="16"/>
      <c r="Q10" s="16"/>
      <c r="R10" s="2" t="s">
        <v>416</v>
      </c>
      <c r="S10" s="2" t="s">
        <v>403</v>
      </c>
      <c r="T10" s="16"/>
      <c r="U10" s="16"/>
      <c r="W10" s="16"/>
      <c r="X10" s="16"/>
      <c r="Y10" s="16"/>
      <c r="Z10" s="16"/>
      <c r="AA10" s="16"/>
      <c r="AB10" s="16"/>
      <c r="AC10" s="16"/>
      <c r="AD10" s="16"/>
      <c r="AE10" s="16"/>
      <c r="AF10" s="16"/>
      <c r="AG10" s="16"/>
      <c r="AH10" s="16"/>
      <c r="AI10" s="16"/>
      <c r="AJ10" s="16"/>
      <c r="AK10" s="16"/>
      <c r="AL10" s="16"/>
      <c r="AM10" s="16"/>
      <c r="AN10" s="16"/>
      <c r="AO10" s="16"/>
      <c r="AP10" s="16"/>
      <c r="AQ10" s="16"/>
      <c r="AR10" s="16"/>
    </row>
    <row r="11" spans="1:44" ht="15.75" thickBot="1">
      <c r="A11" s="2">
        <v>7</v>
      </c>
      <c r="B11" s="2" t="s">
        <v>197</v>
      </c>
      <c r="C11" s="2" t="s">
        <v>29</v>
      </c>
      <c r="D11" s="198" t="s">
        <v>408</v>
      </c>
      <c r="E11" s="198" t="s">
        <v>414</v>
      </c>
      <c r="F11" s="198" t="s">
        <v>42</v>
      </c>
      <c r="G11" s="2" t="s">
        <v>299</v>
      </c>
      <c r="H11" s="2">
        <v>300</v>
      </c>
      <c r="I11" s="2" t="s">
        <v>34</v>
      </c>
      <c r="J11" s="2" t="s">
        <v>34</v>
      </c>
      <c r="K11" s="2" t="s">
        <v>34</v>
      </c>
      <c r="L11" s="2" t="s">
        <v>35</v>
      </c>
      <c r="M11" s="2" t="s">
        <v>36</v>
      </c>
      <c r="N11" s="16" t="s">
        <v>403</v>
      </c>
      <c r="O11" s="2" t="s">
        <v>433</v>
      </c>
      <c r="P11" s="16"/>
      <c r="Q11" s="16"/>
      <c r="R11" s="2" t="s">
        <v>416</v>
      </c>
      <c r="S11" s="2" t="s">
        <v>403</v>
      </c>
      <c r="T11" s="16"/>
      <c r="U11" s="16"/>
      <c r="V11" s="337"/>
      <c r="W11" s="16"/>
      <c r="X11" s="16"/>
      <c r="Y11" s="16"/>
      <c r="Z11" s="16"/>
      <c r="AA11" s="16"/>
      <c r="AB11" s="16"/>
      <c r="AC11" s="16"/>
      <c r="AD11" s="16"/>
      <c r="AE11" s="16"/>
      <c r="AF11" s="16"/>
      <c r="AG11" s="16"/>
      <c r="AH11" s="16"/>
      <c r="AI11" s="16"/>
      <c r="AJ11" s="16"/>
      <c r="AK11" s="16"/>
      <c r="AL11" s="16"/>
      <c r="AM11" s="16"/>
      <c r="AN11" s="16"/>
      <c r="AO11" s="16"/>
      <c r="AP11" s="16"/>
      <c r="AQ11" s="16"/>
      <c r="AR11" s="16"/>
    </row>
    <row r="12" spans="1:44">
      <c r="A12" s="2">
        <v>8</v>
      </c>
      <c r="B12" s="2" t="s">
        <v>197</v>
      </c>
      <c r="C12" s="2" t="s">
        <v>29</v>
      </c>
      <c r="D12" s="198" t="s">
        <v>428</v>
      </c>
      <c r="E12" s="198" t="s">
        <v>429</v>
      </c>
      <c r="F12" s="198" t="s">
        <v>42</v>
      </c>
      <c r="G12" s="2" t="s">
        <v>430</v>
      </c>
      <c r="H12" s="2">
        <v>30000</v>
      </c>
      <c r="I12" s="2" t="s">
        <v>34</v>
      </c>
      <c r="J12" s="2" t="s">
        <v>34</v>
      </c>
      <c r="K12" s="2" t="s">
        <v>34</v>
      </c>
      <c r="L12" s="2" t="s">
        <v>35</v>
      </c>
      <c r="M12" s="2" t="s">
        <v>36</v>
      </c>
      <c r="N12" s="16" t="s">
        <v>431</v>
      </c>
      <c r="O12" s="2" t="s">
        <v>426</v>
      </c>
      <c r="P12" s="16" t="s">
        <v>426</v>
      </c>
      <c r="Q12" s="16"/>
      <c r="R12" s="2" t="s">
        <v>432</v>
      </c>
      <c r="S12" s="2" t="s">
        <v>431</v>
      </c>
      <c r="T12" s="16"/>
      <c r="U12" s="16"/>
      <c r="V12" s="133"/>
      <c r="W12" s="16">
        <v>225.69</v>
      </c>
      <c r="X12" s="16">
        <v>46.68</v>
      </c>
      <c r="Y12" s="16">
        <v>274.37</v>
      </c>
      <c r="Z12" s="16"/>
      <c r="AA12" s="16">
        <v>187.28</v>
      </c>
      <c r="AB12" s="16">
        <v>50.25</v>
      </c>
      <c r="AC12" s="16">
        <v>15.36</v>
      </c>
      <c r="AD12" s="16"/>
      <c r="AE12" s="16"/>
      <c r="AF12" s="16"/>
      <c r="AG12" s="16"/>
      <c r="AH12" s="16"/>
      <c r="AI12" s="16"/>
      <c r="AJ12" s="16"/>
      <c r="AK12" s="16"/>
      <c r="AL12" s="16"/>
      <c r="AM12" s="16"/>
      <c r="AN12" s="16"/>
      <c r="AO12" s="16"/>
      <c r="AP12" s="16"/>
      <c r="AQ12" s="16"/>
      <c r="AR12" s="16"/>
    </row>
    <row r="13" spans="1:44">
      <c r="A13" s="2">
        <v>9</v>
      </c>
      <c r="B13" s="2" t="s">
        <v>439</v>
      </c>
      <c r="C13" s="2" t="s">
        <v>29</v>
      </c>
      <c r="D13" s="198" t="s">
        <v>440</v>
      </c>
      <c r="E13" s="198" t="s">
        <v>441</v>
      </c>
      <c r="F13" s="198" t="s">
        <v>217</v>
      </c>
      <c r="G13" s="2" t="s">
        <v>430</v>
      </c>
      <c r="H13" s="2">
        <v>168000</v>
      </c>
      <c r="I13" s="2" t="s">
        <v>34</v>
      </c>
      <c r="J13" s="2" t="s">
        <v>34</v>
      </c>
      <c r="K13" s="2" t="s">
        <v>48</v>
      </c>
      <c r="L13" s="2" t="s">
        <v>35</v>
      </c>
      <c r="M13" s="2" t="s">
        <v>36</v>
      </c>
      <c r="N13" s="16" t="s">
        <v>442</v>
      </c>
      <c r="O13" s="2" t="s">
        <v>443</v>
      </c>
      <c r="P13" s="16"/>
      <c r="Q13" s="16"/>
      <c r="R13" s="2" t="s">
        <v>444</v>
      </c>
      <c r="S13" s="2" t="s">
        <v>442</v>
      </c>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row>
    <row r="14" spans="1:44">
      <c r="A14" s="2267">
        <v>1</v>
      </c>
      <c r="B14" s="2267" t="s">
        <v>495</v>
      </c>
      <c r="C14" s="2267" t="s">
        <v>29</v>
      </c>
      <c r="D14" s="2273" t="s">
        <v>448</v>
      </c>
      <c r="E14" s="214" t="s">
        <v>449</v>
      </c>
      <c r="F14" s="215" t="s">
        <v>450</v>
      </c>
      <c r="G14" s="2274" t="s">
        <v>452</v>
      </c>
      <c r="H14" s="218">
        <v>24000</v>
      </c>
      <c r="I14" s="2" t="s">
        <v>34</v>
      </c>
      <c r="J14" s="2" t="s">
        <v>34</v>
      </c>
      <c r="K14" s="2" t="s">
        <v>34</v>
      </c>
      <c r="L14" s="2" t="s">
        <v>35</v>
      </c>
      <c r="M14" s="2" t="s">
        <v>36</v>
      </c>
      <c r="N14" s="16" t="s">
        <v>496</v>
      </c>
      <c r="O14" s="2273" t="s">
        <v>832</v>
      </c>
      <c r="P14" s="2273"/>
      <c r="Q14" s="2269"/>
      <c r="R14" s="2273" t="s">
        <v>451</v>
      </c>
      <c r="S14" s="2273" t="s">
        <v>496</v>
      </c>
      <c r="T14" s="16"/>
      <c r="U14" s="16"/>
      <c r="V14" s="16">
        <v>162.71</v>
      </c>
      <c r="W14" s="16">
        <v>203.37</v>
      </c>
      <c r="X14" s="16"/>
      <c r="Y14" s="16"/>
      <c r="Z14" s="16"/>
      <c r="AA14" s="16">
        <v>57.82</v>
      </c>
      <c r="AB14" s="16"/>
      <c r="AC14" s="16"/>
      <c r="AD14" s="16"/>
      <c r="AE14" s="16"/>
      <c r="AF14" s="16"/>
      <c r="AG14" s="16"/>
      <c r="AH14" s="16"/>
      <c r="AI14" s="16"/>
      <c r="AJ14" s="16"/>
      <c r="AK14" s="16"/>
      <c r="AL14" s="16"/>
      <c r="AM14" s="16"/>
      <c r="AN14" s="16"/>
      <c r="AO14" s="16"/>
      <c r="AP14" s="16"/>
      <c r="AQ14" s="16"/>
      <c r="AR14" s="16"/>
    </row>
    <row r="15" spans="1:44">
      <c r="A15" s="2267"/>
      <c r="B15" s="2267"/>
      <c r="C15" s="2267"/>
      <c r="D15" s="2273"/>
      <c r="E15" s="214" t="s">
        <v>453</v>
      </c>
      <c r="F15" s="215" t="s">
        <v>454</v>
      </c>
      <c r="G15" s="2274"/>
      <c r="H15" s="218">
        <v>24000</v>
      </c>
      <c r="I15" s="2" t="s">
        <v>34</v>
      </c>
      <c r="J15" s="2" t="s">
        <v>34</v>
      </c>
      <c r="K15" s="2" t="s">
        <v>34</v>
      </c>
      <c r="L15" s="2" t="s">
        <v>35</v>
      </c>
      <c r="M15" s="2" t="s">
        <v>36</v>
      </c>
      <c r="N15" s="16" t="s">
        <v>496</v>
      </c>
      <c r="O15" s="2273"/>
      <c r="P15" s="2273"/>
      <c r="Q15" s="2221"/>
      <c r="R15" s="2273"/>
      <c r="S15" s="2273"/>
      <c r="T15" s="16"/>
      <c r="U15" s="16"/>
      <c r="V15" s="16">
        <v>162.71</v>
      </c>
      <c r="W15" s="16">
        <v>203.37</v>
      </c>
      <c r="X15" s="16"/>
      <c r="Y15" s="16"/>
      <c r="Z15" s="16"/>
      <c r="AA15" s="16">
        <v>57.82</v>
      </c>
      <c r="AB15" s="16"/>
      <c r="AC15" s="16"/>
      <c r="AD15" s="16"/>
      <c r="AE15" s="16"/>
      <c r="AF15" s="16"/>
      <c r="AG15" s="16"/>
      <c r="AH15" s="16"/>
      <c r="AI15" s="16"/>
      <c r="AJ15" s="16"/>
      <c r="AK15" s="16"/>
      <c r="AL15" s="16"/>
      <c r="AM15" s="16"/>
      <c r="AN15" s="16"/>
      <c r="AO15" s="16"/>
      <c r="AP15" s="16"/>
      <c r="AQ15" s="16"/>
      <c r="AR15" s="16"/>
    </row>
    <row r="16" spans="1:44">
      <c r="A16" s="2267"/>
      <c r="B16" s="2267"/>
      <c r="C16" s="2267"/>
      <c r="D16" s="2273"/>
      <c r="E16" s="214" t="s">
        <v>455</v>
      </c>
      <c r="F16" s="215" t="s">
        <v>450</v>
      </c>
      <c r="G16" s="2274"/>
      <c r="H16" s="218">
        <v>136000</v>
      </c>
      <c r="I16" s="2" t="s">
        <v>34</v>
      </c>
      <c r="J16" s="2" t="s">
        <v>34</v>
      </c>
      <c r="K16" s="2" t="s">
        <v>34</v>
      </c>
      <c r="L16" s="2" t="s">
        <v>35</v>
      </c>
      <c r="M16" s="2" t="s">
        <v>36</v>
      </c>
      <c r="N16" s="16" t="s">
        <v>496</v>
      </c>
      <c r="O16" s="2273"/>
      <c r="P16" s="2273"/>
      <c r="Q16" s="2221"/>
      <c r="R16" s="2273"/>
      <c r="S16" s="2273"/>
      <c r="T16" s="16"/>
      <c r="U16" s="16"/>
      <c r="V16" s="16">
        <v>156.19</v>
      </c>
      <c r="W16" s="16">
        <v>196.98</v>
      </c>
      <c r="X16" s="16"/>
      <c r="Y16" s="16"/>
      <c r="Z16" s="16"/>
      <c r="AA16" s="16">
        <v>58.45</v>
      </c>
      <c r="AB16" s="16">
        <v>16.75</v>
      </c>
      <c r="AC16" s="16">
        <v>15.16</v>
      </c>
      <c r="AD16" s="16"/>
      <c r="AE16" s="16"/>
      <c r="AF16" s="16"/>
      <c r="AG16" s="16"/>
      <c r="AH16" s="16"/>
      <c r="AI16" s="16"/>
      <c r="AJ16" s="16"/>
      <c r="AK16" s="16"/>
      <c r="AL16" s="16"/>
      <c r="AM16" s="16"/>
      <c r="AN16" s="16"/>
      <c r="AO16" s="16"/>
      <c r="AP16" s="16"/>
      <c r="AQ16" s="16"/>
      <c r="AR16" s="16"/>
    </row>
    <row r="17" spans="1:44">
      <c r="A17" s="2267"/>
      <c r="B17" s="2267"/>
      <c r="C17" s="2267"/>
      <c r="D17" s="2273"/>
      <c r="E17" s="214" t="s">
        <v>456</v>
      </c>
      <c r="F17" s="215" t="s">
        <v>454</v>
      </c>
      <c r="G17" s="2274"/>
      <c r="H17" s="218">
        <v>136000</v>
      </c>
      <c r="I17" s="2" t="s">
        <v>34</v>
      </c>
      <c r="J17" s="2" t="s">
        <v>34</v>
      </c>
      <c r="K17" s="2" t="s">
        <v>34</v>
      </c>
      <c r="L17" s="2" t="s">
        <v>35</v>
      </c>
      <c r="M17" s="2" t="s">
        <v>36</v>
      </c>
      <c r="N17" s="16" t="s">
        <v>496</v>
      </c>
      <c r="O17" s="2273"/>
      <c r="P17" s="2273"/>
      <c r="Q17" s="2243"/>
      <c r="R17" s="2273"/>
      <c r="S17" s="2273"/>
      <c r="T17" s="16"/>
      <c r="U17" s="16"/>
      <c r="V17" s="16">
        <v>156.19</v>
      </c>
      <c r="W17" s="16">
        <v>196.98</v>
      </c>
      <c r="X17" s="16"/>
      <c r="Y17" s="16"/>
      <c r="Z17" s="16"/>
      <c r="AA17" s="16">
        <v>58.45</v>
      </c>
      <c r="AB17" s="16">
        <v>16.75</v>
      </c>
      <c r="AC17" s="16">
        <v>15.16</v>
      </c>
      <c r="AD17" s="16"/>
      <c r="AE17" s="16"/>
      <c r="AF17" s="16"/>
      <c r="AG17" s="16"/>
      <c r="AH17" s="16"/>
      <c r="AI17" s="16"/>
      <c r="AJ17" s="16"/>
      <c r="AK17" s="16"/>
      <c r="AL17" s="16"/>
      <c r="AM17" s="16"/>
      <c r="AN17" s="16"/>
      <c r="AO17" s="16"/>
      <c r="AP17" s="16"/>
      <c r="AQ17" s="16"/>
      <c r="AR17" s="16"/>
    </row>
    <row r="18" spans="1:44">
      <c r="A18" s="2267">
        <v>2</v>
      </c>
      <c r="B18" s="2267" t="s">
        <v>495</v>
      </c>
      <c r="C18" s="2267" t="s">
        <v>29</v>
      </c>
      <c r="D18" s="2273" t="s">
        <v>457</v>
      </c>
      <c r="E18" s="214" t="s">
        <v>458</v>
      </c>
      <c r="F18" s="215" t="s">
        <v>459</v>
      </c>
      <c r="G18" s="2274" t="s">
        <v>461</v>
      </c>
      <c r="H18" s="218">
        <v>160000</v>
      </c>
      <c r="I18" s="2" t="s">
        <v>34</v>
      </c>
      <c r="J18" s="2" t="s">
        <v>34</v>
      </c>
      <c r="K18" s="2" t="s">
        <v>34</v>
      </c>
      <c r="L18" s="2" t="s">
        <v>35</v>
      </c>
      <c r="M18" s="2" t="s">
        <v>36</v>
      </c>
      <c r="N18" s="16" t="s">
        <v>496</v>
      </c>
      <c r="O18" s="2273" t="s">
        <v>832</v>
      </c>
      <c r="P18" s="2273"/>
      <c r="Q18" s="2269"/>
      <c r="R18" s="2273" t="s">
        <v>460</v>
      </c>
      <c r="S18" s="2273" t="s">
        <v>496</v>
      </c>
      <c r="T18" s="16"/>
      <c r="U18" s="16"/>
      <c r="V18" s="16">
        <v>83.63</v>
      </c>
      <c r="W18" s="16">
        <v>107.27</v>
      </c>
      <c r="X18" s="16"/>
      <c r="Y18" s="16"/>
      <c r="Z18" s="16"/>
      <c r="AA18" s="16">
        <v>74.48</v>
      </c>
      <c r="AB18" s="16">
        <v>2.5</v>
      </c>
      <c r="AC18" s="16">
        <v>8.0299999999999994</v>
      </c>
      <c r="AD18" s="16"/>
      <c r="AE18" s="16"/>
      <c r="AF18" s="16"/>
      <c r="AG18" s="16"/>
      <c r="AH18" s="16"/>
      <c r="AI18" s="16"/>
      <c r="AJ18" s="16"/>
      <c r="AK18" s="16"/>
      <c r="AL18" s="16"/>
      <c r="AM18" s="16"/>
      <c r="AN18" s="16"/>
      <c r="AO18" s="16"/>
      <c r="AP18" s="16"/>
      <c r="AQ18" s="16"/>
      <c r="AR18" s="16"/>
    </row>
    <row r="19" spans="1:44">
      <c r="A19" s="2267"/>
      <c r="B19" s="2267"/>
      <c r="C19" s="2267"/>
      <c r="D19" s="2273"/>
      <c r="E19" s="214" t="s">
        <v>462</v>
      </c>
      <c r="F19" s="215" t="s">
        <v>463</v>
      </c>
      <c r="G19" s="2274"/>
      <c r="H19" s="218">
        <v>160000</v>
      </c>
      <c r="I19" s="2" t="s">
        <v>34</v>
      </c>
      <c r="J19" s="2" t="s">
        <v>34</v>
      </c>
      <c r="K19" s="2" t="s">
        <v>34</v>
      </c>
      <c r="L19" s="2" t="s">
        <v>35</v>
      </c>
      <c r="M19" s="2" t="s">
        <v>36</v>
      </c>
      <c r="N19" s="16" t="s">
        <v>496</v>
      </c>
      <c r="O19" s="2273"/>
      <c r="P19" s="2273"/>
      <c r="Q19" s="2243"/>
      <c r="R19" s="2273"/>
      <c r="S19" s="2273"/>
      <c r="T19" s="16"/>
      <c r="U19" s="16"/>
      <c r="V19" s="16">
        <v>83.63</v>
      </c>
      <c r="W19" s="16">
        <v>107.28</v>
      </c>
      <c r="X19" s="16"/>
      <c r="Y19" s="16"/>
      <c r="Z19" s="16"/>
      <c r="AA19" s="16">
        <v>74.48</v>
      </c>
      <c r="AB19" s="16">
        <v>2.5</v>
      </c>
      <c r="AC19" s="16">
        <v>8.0299999999999994</v>
      </c>
      <c r="AD19" s="16"/>
      <c r="AE19" s="16"/>
      <c r="AF19" s="16"/>
      <c r="AG19" s="16"/>
      <c r="AH19" s="16"/>
      <c r="AI19" s="16"/>
      <c r="AJ19" s="16"/>
      <c r="AK19" s="16"/>
      <c r="AL19" s="16"/>
      <c r="AM19" s="16"/>
      <c r="AN19" s="16"/>
      <c r="AO19" s="16"/>
      <c r="AP19" s="16"/>
      <c r="AQ19" s="16"/>
      <c r="AR19" s="16"/>
    </row>
    <row r="20" spans="1:44">
      <c r="A20" s="2267">
        <v>3</v>
      </c>
      <c r="B20" s="2267" t="s">
        <v>495</v>
      </c>
      <c r="C20" s="2267" t="s">
        <v>29</v>
      </c>
      <c r="D20" s="2273" t="s">
        <v>464</v>
      </c>
      <c r="E20" s="214" t="s">
        <v>465</v>
      </c>
      <c r="F20" s="215" t="s">
        <v>466</v>
      </c>
      <c r="G20" s="2274" t="s">
        <v>452</v>
      </c>
      <c r="H20" s="218">
        <v>160000</v>
      </c>
      <c r="I20" s="2" t="s">
        <v>34</v>
      </c>
      <c r="J20" s="2" t="s">
        <v>34</v>
      </c>
      <c r="K20" s="2" t="s">
        <v>34</v>
      </c>
      <c r="L20" s="2" t="s">
        <v>35</v>
      </c>
      <c r="M20" s="2" t="s">
        <v>36</v>
      </c>
      <c r="N20" s="16" t="s">
        <v>496</v>
      </c>
      <c r="O20" s="2273" t="s">
        <v>832</v>
      </c>
      <c r="P20" s="2273"/>
      <c r="Q20" s="2269"/>
      <c r="R20" s="2273" t="s">
        <v>451</v>
      </c>
      <c r="S20" s="2273" t="s">
        <v>496</v>
      </c>
      <c r="T20" s="16"/>
      <c r="U20" s="16"/>
      <c r="V20" s="16">
        <v>236.11</v>
      </c>
      <c r="W20" s="16">
        <v>352.67</v>
      </c>
      <c r="X20" s="16"/>
      <c r="Y20" s="16"/>
      <c r="Z20" s="16"/>
      <c r="AA20" s="16">
        <v>287.83999999999997</v>
      </c>
      <c r="AB20" s="16">
        <v>20.75</v>
      </c>
      <c r="AC20" s="16">
        <v>19.07</v>
      </c>
      <c r="AD20" s="16"/>
      <c r="AE20" s="16"/>
      <c r="AF20" s="16"/>
      <c r="AG20" s="16"/>
      <c r="AH20" s="16"/>
      <c r="AI20" s="16"/>
      <c r="AJ20" s="16"/>
      <c r="AK20" s="16"/>
      <c r="AL20" s="16"/>
      <c r="AM20" s="16"/>
      <c r="AN20" s="16"/>
      <c r="AO20" s="16"/>
      <c r="AP20" s="16"/>
      <c r="AQ20" s="16"/>
      <c r="AR20" s="16"/>
    </row>
    <row r="21" spans="1:44">
      <c r="A21" s="2267"/>
      <c r="B21" s="2267"/>
      <c r="C21" s="2267"/>
      <c r="D21" s="2273"/>
      <c r="E21" s="214" t="s">
        <v>467</v>
      </c>
      <c r="F21" s="215" t="s">
        <v>468</v>
      </c>
      <c r="G21" s="2274"/>
      <c r="H21" s="218">
        <v>160000</v>
      </c>
      <c r="I21" s="2" t="s">
        <v>34</v>
      </c>
      <c r="J21" s="2" t="s">
        <v>34</v>
      </c>
      <c r="K21" s="2" t="s">
        <v>34</v>
      </c>
      <c r="L21" s="2" t="s">
        <v>35</v>
      </c>
      <c r="M21" s="2" t="s">
        <v>36</v>
      </c>
      <c r="N21" s="16" t="s">
        <v>496</v>
      </c>
      <c r="O21" s="2273"/>
      <c r="P21" s="2273"/>
      <c r="Q21" s="2243"/>
      <c r="R21" s="2273"/>
      <c r="S21" s="2273"/>
      <c r="T21" s="16"/>
      <c r="U21" s="16"/>
      <c r="V21" s="16">
        <v>231.26</v>
      </c>
      <c r="W21" s="16">
        <v>347.01</v>
      </c>
      <c r="X21" s="16"/>
      <c r="Y21" s="16"/>
      <c r="Z21" s="16"/>
      <c r="AA21" s="16">
        <v>264.83</v>
      </c>
      <c r="AB21" s="16">
        <v>20.75</v>
      </c>
      <c r="AC21" s="16">
        <v>19.07</v>
      </c>
      <c r="AD21" s="16"/>
      <c r="AE21" s="16"/>
      <c r="AF21" s="16"/>
      <c r="AG21" s="16"/>
      <c r="AH21" s="16"/>
      <c r="AI21" s="16"/>
      <c r="AJ21" s="16"/>
      <c r="AK21" s="16"/>
      <c r="AL21" s="16"/>
      <c r="AM21" s="16"/>
      <c r="AN21" s="16"/>
      <c r="AO21" s="16"/>
      <c r="AP21" s="16"/>
      <c r="AQ21" s="16"/>
      <c r="AR21" s="16"/>
    </row>
    <row r="22" spans="1:44">
      <c r="A22" s="2267">
        <v>4</v>
      </c>
      <c r="B22" s="2267" t="s">
        <v>495</v>
      </c>
      <c r="C22" s="2267" t="s">
        <v>29</v>
      </c>
      <c r="D22" s="2273" t="s">
        <v>469</v>
      </c>
      <c r="E22" s="214" t="s">
        <v>470</v>
      </c>
      <c r="F22" s="215" t="s">
        <v>471</v>
      </c>
      <c r="G22" s="2274" t="s">
        <v>461</v>
      </c>
      <c r="H22" s="218">
        <v>160000</v>
      </c>
      <c r="I22" s="2" t="s">
        <v>34</v>
      </c>
      <c r="J22" s="2" t="s">
        <v>34</v>
      </c>
      <c r="K22" s="2" t="s">
        <v>34</v>
      </c>
      <c r="L22" s="2" t="s">
        <v>35</v>
      </c>
      <c r="M22" s="2" t="s">
        <v>36</v>
      </c>
      <c r="N22" s="16" t="s">
        <v>496</v>
      </c>
      <c r="O22" s="2273" t="s">
        <v>832</v>
      </c>
      <c r="P22" s="2273"/>
      <c r="Q22" s="2269"/>
      <c r="R22" s="2273" t="s">
        <v>460</v>
      </c>
      <c r="S22" s="2273" t="s">
        <v>496</v>
      </c>
      <c r="T22" s="16"/>
      <c r="U22" s="16"/>
      <c r="V22" s="16">
        <v>295.35000000000002</v>
      </c>
      <c r="W22" s="16">
        <v>394.52</v>
      </c>
      <c r="X22" s="16"/>
      <c r="Y22" s="16"/>
      <c r="Z22" s="16"/>
      <c r="AA22" s="16">
        <v>303.44</v>
      </c>
      <c r="AB22" s="16">
        <v>28.9</v>
      </c>
      <c r="AC22" s="16">
        <v>23.21</v>
      </c>
      <c r="AD22" s="16"/>
      <c r="AE22" s="16"/>
      <c r="AF22" s="16"/>
      <c r="AG22" s="16"/>
      <c r="AH22" s="16"/>
      <c r="AI22" s="16"/>
      <c r="AJ22" s="16"/>
      <c r="AK22" s="16"/>
      <c r="AL22" s="16"/>
      <c r="AM22" s="16"/>
      <c r="AN22" s="16"/>
      <c r="AO22" s="16"/>
      <c r="AP22" s="16"/>
      <c r="AQ22" s="16"/>
      <c r="AR22" s="16"/>
    </row>
    <row r="23" spans="1:44">
      <c r="A23" s="2267"/>
      <c r="B23" s="2267"/>
      <c r="C23" s="2267"/>
      <c r="D23" s="2273"/>
      <c r="E23" s="214" t="s">
        <v>472</v>
      </c>
      <c r="F23" s="215" t="s">
        <v>473</v>
      </c>
      <c r="G23" s="2274"/>
      <c r="H23" s="218">
        <v>160000</v>
      </c>
      <c r="I23" s="2" t="s">
        <v>34</v>
      </c>
      <c r="J23" s="2" t="s">
        <v>34</v>
      </c>
      <c r="K23" s="2" t="s">
        <v>34</v>
      </c>
      <c r="L23" s="2" t="s">
        <v>35</v>
      </c>
      <c r="M23" s="2" t="s">
        <v>36</v>
      </c>
      <c r="N23" s="16" t="s">
        <v>496</v>
      </c>
      <c r="O23" s="2273"/>
      <c r="P23" s="2273"/>
      <c r="Q23" s="2243"/>
      <c r="R23" s="2273"/>
      <c r="S23" s="2273"/>
      <c r="T23" s="16"/>
      <c r="U23" s="16"/>
      <c r="V23" s="16">
        <v>295.35000000000002</v>
      </c>
      <c r="W23" s="16">
        <v>394.52</v>
      </c>
      <c r="X23" s="16"/>
      <c r="Y23" s="16"/>
      <c r="Z23" s="16"/>
      <c r="AA23" s="16">
        <v>201.06</v>
      </c>
      <c r="AB23" s="16">
        <v>28.9</v>
      </c>
      <c r="AC23" s="16">
        <v>23.21</v>
      </c>
      <c r="AD23" s="16"/>
      <c r="AE23" s="16"/>
      <c r="AF23" s="16"/>
      <c r="AG23" s="16"/>
      <c r="AH23" s="16"/>
      <c r="AI23" s="16"/>
      <c r="AJ23" s="16"/>
      <c r="AK23" s="16"/>
      <c r="AL23" s="16"/>
      <c r="AM23" s="16"/>
      <c r="AN23" s="16"/>
      <c r="AO23" s="16"/>
      <c r="AP23" s="16"/>
      <c r="AQ23" s="16"/>
      <c r="AR23" s="16"/>
    </row>
    <row r="24" spans="1:44">
      <c r="A24" s="2267">
        <v>5</v>
      </c>
      <c r="B24" s="2267" t="s">
        <v>495</v>
      </c>
      <c r="C24" s="2267" t="s">
        <v>29</v>
      </c>
      <c r="D24" s="2273" t="s">
        <v>474</v>
      </c>
      <c r="E24" s="214" t="s">
        <v>475</v>
      </c>
      <c r="F24" s="215" t="s">
        <v>476</v>
      </c>
      <c r="G24" s="2274" t="s">
        <v>452</v>
      </c>
      <c r="H24" s="218">
        <v>160000</v>
      </c>
      <c r="I24" s="2" t="s">
        <v>34</v>
      </c>
      <c r="J24" s="2" t="s">
        <v>34</v>
      </c>
      <c r="K24" s="2" t="s">
        <v>34</v>
      </c>
      <c r="L24" s="2" t="s">
        <v>35</v>
      </c>
      <c r="M24" s="2" t="s">
        <v>36</v>
      </c>
      <c r="N24" s="16" t="s">
        <v>496</v>
      </c>
      <c r="O24" s="2273" t="s">
        <v>832</v>
      </c>
      <c r="P24" s="2273"/>
      <c r="Q24" s="2269"/>
      <c r="R24" s="2273" t="s">
        <v>451</v>
      </c>
      <c r="S24" s="2273" t="s">
        <v>496</v>
      </c>
      <c r="T24" s="16"/>
      <c r="U24" s="16"/>
      <c r="V24" s="16">
        <v>79.78</v>
      </c>
      <c r="W24" s="16">
        <v>124.11</v>
      </c>
      <c r="X24" s="16"/>
      <c r="Y24" s="16"/>
      <c r="Z24" s="16"/>
      <c r="AA24" s="16">
        <v>57.14</v>
      </c>
      <c r="AB24" s="16">
        <v>15.25</v>
      </c>
      <c r="AC24" s="16">
        <v>10.86</v>
      </c>
      <c r="AD24" s="16"/>
      <c r="AE24" s="16"/>
      <c r="AF24" s="16"/>
      <c r="AG24" s="16"/>
      <c r="AH24" s="16"/>
      <c r="AI24" s="16"/>
      <c r="AJ24" s="16"/>
      <c r="AK24" s="16"/>
      <c r="AL24" s="16"/>
      <c r="AM24" s="16"/>
      <c r="AN24" s="16"/>
      <c r="AO24" s="16"/>
      <c r="AP24" s="16"/>
      <c r="AQ24" s="16"/>
      <c r="AR24" s="16"/>
    </row>
    <row r="25" spans="1:44">
      <c r="A25" s="2267"/>
      <c r="B25" s="2267"/>
      <c r="C25" s="2267"/>
      <c r="D25" s="2273"/>
      <c r="E25" s="214" t="s">
        <v>477</v>
      </c>
      <c r="F25" s="215" t="s">
        <v>478</v>
      </c>
      <c r="G25" s="2274"/>
      <c r="H25" s="218">
        <v>160000</v>
      </c>
      <c r="I25" s="2" t="s">
        <v>34</v>
      </c>
      <c r="J25" s="2" t="s">
        <v>34</v>
      </c>
      <c r="K25" s="2" t="s">
        <v>34</v>
      </c>
      <c r="L25" s="2" t="s">
        <v>35</v>
      </c>
      <c r="M25" s="2" t="s">
        <v>36</v>
      </c>
      <c r="N25" s="16" t="s">
        <v>496</v>
      </c>
      <c r="O25" s="2273"/>
      <c r="P25" s="2273"/>
      <c r="Q25" s="2243"/>
      <c r="R25" s="2273"/>
      <c r="S25" s="2273"/>
      <c r="T25" s="16"/>
      <c r="U25" s="16"/>
      <c r="V25" s="16">
        <v>79.78</v>
      </c>
      <c r="W25" s="16">
        <v>124.11</v>
      </c>
      <c r="X25" s="16"/>
      <c r="Y25" s="16"/>
      <c r="Z25" s="16"/>
      <c r="AA25" s="16">
        <v>57.14</v>
      </c>
      <c r="AB25" s="16">
        <v>15.25</v>
      </c>
      <c r="AC25" s="16">
        <v>10.86</v>
      </c>
      <c r="AD25" s="16"/>
      <c r="AE25" s="16"/>
      <c r="AF25" s="16"/>
      <c r="AG25" s="16"/>
      <c r="AH25" s="16"/>
      <c r="AI25" s="16"/>
      <c r="AJ25" s="16"/>
      <c r="AK25" s="16"/>
      <c r="AL25" s="16"/>
      <c r="AM25" s="16"/>
      <c r="AN25" s="16"/>
      <c r="AO25" s="16"/>
      <c r="AP25" s="16"/>
      <c r="AQ25" s="16"/>
      <c r="AR25" s="16"/>
    </row>
    <row r="26" spans="1:44">
      <c r="A26" s="2">
        <v>6</v>
      </c>
      <c r="B26" s="2" t="s">
        <v>495</v>
      </c>
      <c r="C26" s="2" t="s">
        <v>29</v>
      </c>
      <c r="D26" s="218" t="s">
        <v>479</v>
      </c>
      <c r="E26" s="214" t="s">
        <v>480</v>
      </c>
      <c r="F26" s="215" t="s">
        <v>481</v>
      </c>
      <c r="G26" s="219" t="s">
        <v>452</v>
      </c>
      <c r="H26" s="218">
        <v>160000</v>
      </c>
      <c r="I26" s="2" t="s">
        <v>34</v>
      </c>
      <c r="J26" s="2" t="s">
        <v>34</v>
      </c>
      <c r="K26" s="2" t="s">
        <v>34</v>
      </c>
      <c r="L26" s="2" t="s">
        <v>35</v>
      </c>
      <c r="M26" s="2" t="s">
        <v>36</v>
      </c>
      <c r="N26" s="16" t="s">
        <v>496</v>
      </c>
      <c r="O26" s="218" t="s">
        <v>832</v>
      </c>
      <c r="P26" s="218"/>
      <c r="Q26" s="16"/>
      <c r="R26" s="218" t="s">
        <v>451</v>
      </c>
      <c r="S26" s="218" t="s">
        <v>496</v>
      </c>
      <c r="T26" s="16"/>
      <c r="U26" s="16"/>
      <c r="V26" s="16">
        <v>380.14</v>
      </c>
      <c r="W26" s="16">
        <v>541.58000000000004</v>
      </c>
      <c r="X26" s="16"/>
      <c r="Y26" s="16"/>
      <c r="Z26" s="16"/>
      <c r="AA26" s="16">
        <v>408.92</v>
      </c>
      <c r="AB26" s="16">
        <v>74.25</v>
      </c>
      <c r="AC26" s="16">
        <v>31.15</v>
      </c>
      <c r="AD26" s="16"/>
      <c r="AE26" s="16"/>
      <c r="AF26" s="16"/>
      <c r="AG26" s="16"/>
      <c r="AH26" s="16"/>
      <c r="AI26" s="16"/>
      <c r="AJ26" s="16"/>
      <c r="AK26" s="16"/>
      <c r="AL26" s="16"/>
      <c r="AM26" s="16"/>
      <c r="AN26" s="16"/>
      <c r="AO26" s="16"/>
      <c r="AP26" s="16"/>
      <c r="AQ26" s="16"/>
      <c r="AR26" s="16"/>
    </row>
    <row r="27" spans="1:44">
      <c r="A27" s="2">
        <v>7</v>
      </c>
      <c r="B27" s="2" t="s">
        <v>495</v>
      </c>
      <c r="C27" s="2" t="s">
        <v>29</v>
      </c>
      <c r="D27" s="218" t="s">
        <v>482</v>
      </c>
      <c r="E27" s="214" t="s">
        <v>483</v>
      </c>
      <c r="F27" s="215" t="s">
        <v>484</v>
      </c>
      <c r="G27" s="219" t="s">
        <v>452</v>
      </c>
      <c r="H27" s="218">
        <v>160000</v>
      </c>
      <c r="I27" s="2" t="s">
        <v>34</v>
      </c>
      <c r="J27" s="2" t="s">
        <v>34</v>
      </c>
      <c r="K27" s="2" t="s">
        <v>34</v>
      </c>
      <c r="L27" s="2" t="s">
        <v>35</v>
      </c>
      <c r="M27" s="2" t="s">
        <v>36</v>
      </c>
      <c r="N27" s="16" t="s">
        <v>496</v>
      </c>
      <c r="O27" s="323" t="s">
        <v>833</v>
      </c>
      <c r="P27" s="278"/>
      <c r="Q27" s="279"/>
      <c r="R27" s="278" t="s">
        <v>451</v>
      </c>
      <c r="S27" s="218" t="s">
        <v>496</v>
      </c>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row>
    <row r="28" spans="1:44">
      <c r="A28" s="2267">
        <v>8</v>
      </c>
      <c r="B28" s="2267" t="s">
        <v>495</v>
      </c>
      <c r="C28" s="2267" t="s">
        <v>29</v>
      </c>
      <c r="D28" s="2273" t="s">
        <v>485</v>
      </c>
      <c r="E28" s="214" t="s">
        <v>486</v>
      </c>
      <c r="F28" s="215" t="s">
        <v>487</v>
      </c>
      <c r="G28" s="2274" t="s">
        <v>461</v>
      </c>
      <c r="H28" s="218">
        <v>160000</v>
      </c>
      <c r="I28" s="2" t="s">
        <v>34</v>
      </c>
      <c r="J28" s="2" t="s">
        <v>34</v>
      </c>
      <c r="K28" s="2" t="s">
        <v>34</v>
      </c>
      <c r="L28" s="2" t="s">
        <v>35</v>
      </c>
      <c r="M28" s="2" t="s">
        <v>36</v>
      </c>
      <c r="N28" s="16" t="s">
        <v>496</v>
      </c>
      <c r="O28" s="2273" t="s">
        <v>832</v>
      </c>
      <c r="P28" s="2273"/>
      <c r="Q28" s="2269"/>
      <c r="R28" s="2273" t="s">
        <v>460</v>
      </c>
      <c r="S28" s="2273" t="s">
        <v>496</v>
      </c>
      <c r="T28" s="16"/>
      <c r="U28" s="16"/>
      <c r="V28" s="16">
        <v>47.08</v>
      </c>
      <c r="W28" s="16">
        <v>85.68</v>
      </c>
      <c r="X28" s="16"/>
      <c r="Y28" s="16"/>
      <c r="Z28" s="16"/>
      <c r="AA28" s="16">
        <v>65.55</v>
      </c>
      <c r="AB28" s="16">
        <v>14</v>
      </c>
      <c r="AC28" s="16">
        <v>8.5</v>
      </c>
      <c r="AD28" s="16"/>
      <c r="AE28" s="16"/>
      <c r="AF28" s="16"/>
      <c r="AG28" s="16"/>
      <c r="AH28" s="16"/>
      <c r="AI28" s="16"/>
      <c r="AJ28" s="16"/>
      <c r="AK28" s="16"/>
      <c r="AL28" s="16"/>
      <c r="AM28" s="16"/>
      <c r="AN28" s="16"/>
      <c r="AO28" s="16"/>
      <c r="AP28" s="16"/>
      <c r="AQ28" s="16"/>
      <c r="AR28" s="16"/>
    </row>
    <row r="29" spans="1:44">
      <c r="A29" s="2267"/>
      <c r="B29" s="2267"/>
      <c r="C29" s="2267"/>
      <c r="D29" s="2273"/>
      <c r="E29" s="214" t="s">
        <v>488</v>
      </c>
      <c r="F29" s="215" t="s">
        <v>489</v>
      </c>
      <c r="G29" s="2274"/>
      <c r="H29" s="218">
        <v>160000</v>
      </c>
      <c r="I29" s="2" t="s">
        <v>34</v>
      </c>
      <c r="J29" s="2" t="s">
        <v>34</v>
      </c>
      <c r="K29" s="2" t="s">
        <v>34</v>
      </c>
      <c r="L29" s="2" t="s">
        <v>35</v>
      </c>
      <c r="M29" s="2" t="s">
        <v>36</v>
      </c>
      <c r="N29" s="16" t="s">
        <v>496</v>
      </c>
      <c r="O29" s="2273"/>
      <c r="P29" s="2273"/>
      <c r="Q29" s="2243"/>
      <c r="R29" s="2273"/>
      <c r="S29" s="2273"/>
      <c r="T29" s="16"/>
      <c r="U29" s="16"/>
      <c r="V29" s="16">
        <v>47.08</v>
      </c>
      <c r="W29" s="16">
        <v>85.68</v>
      </c>
      <c r="X29" s="16"/>
      <c r="Y29" s="16"/>
      <c r="Z29" s="16"/>
      <c r="AA29" s="16">
        <v>65.55</v>
      </c>
      <c r="AB29" s="16">
        <v>14</v>
      </c>
      <c r="AC29" s="16">
        <v>8.5</v>
      </c>
      <c r="AD29" s="16"/>
      <c r="AE29" s="16"/>
      <c r="AF29" s="16"/>
      <c r="AG29" s="16"/>
      <c r="AH29" s="16"/>
      <c r="AI29" s="16"/>
      <c r="AJ29" s="16"/>
      <c r="AK29" s="16"/>
      <c r="AL29" s="16"/>
      <c r="AM29" s="16"/>
      <c r="AN29" s="16"/>
      <c r="AO29" s="16"/>
      <c r="AP29" s="16"/>
      <c r="AQ29" s="16"/>
      <c r="AR29" s="16"/>
    </row>
    <row r="30" spans="1:44">
      <c r="A30" s="2267">
        <v>9</v>
      </c>
      <c r="B30" s="2267" t="s">
        <v>495</v>
      </c>
      <c r="C30" s="2267" t="s">
        <v>29</v>
      </c>
      <c r="D30" s="2273" t="s">
        <v>490</v>
      </c>
      <c r="E30" s="214" t="s">
        <v>491</v>
      </c>
      <c r="F30" s="215" t="s">
        <v>492</v>
      </c>
      <c r="G30" s="2274" t="s">
        <v>461</v>
      </c>
      <c r="H30" s="218">
        <v>160000</v>
      </c>
      <c r="I30" s="2" t="s">
        <v>34</v>
      </c>
      <c r="J30" s="2" t="s">
        <v>34</v>
      </c>
      <c r="K30" s="2" t="s">
        <v>34</v>
      </c>
      <c r="L30" s="2" t="s">
        <v>35</v>
      </c>
      <c r="M30" s="2" t="s">
        <v>36</v>
      </c>
      <c r="N30" s="16" t="s">
        <v>496</v>
      </c>
      <c r="O30" s="2273" t="s">
        <v>832</v>
      </c>
      <c r="P30" s="2273"/>
      <c r="Q30" s="2269"/>
      <c r="R30" s="2273" t="s">
        <v>460</v>
      </c>
      <c r="S30" s="2273" t="s">
        <v>496</v>
      </c>
      <c r="T30" s="16"/>
      <c r="U30" s="16"/>
      <c r="V30" s="16">
        <v>165.99</v>
      </c>
      <c r="W30" s="16">
        <v>260.63</v>
      </c>
      <c r="X30" s="16"/>
      <c r="Y30" s="16"/>
      <c r="Z30" s="16"/>
      <c r="AA30" s="16">
        <v>178.49</v>
      </c>
      <c r="AB30" s="16">
        <v>15.75</v>
      </c>
      <c r="AC30" s="16">
        <v>16.559999999999999</v>
      </c>
      <c r="AD30" s="16"/>
      <c r="AE30" s="16"/>
      <c r="AF30" s="16"/>
      <c r="AG30" s="16"/>
      <c r="AH30" s="16"/>
      <c r="AI30" s="16"/>
      <c r="AJ30" s="16"/>
      <c r="AK30" s="16"/>
      <c r="AL30" s="16"/>
      <c r="AM30" s="16"/>
      <c r="AN30" s="16"/>
      <c r="AO30" s="16"/>
      <c r="AP30" s="16"/>
      <c r="AQ30" s="16"/>
      <c r="AR30" s="16"/>
    </row>
    <row r="31" spans="1:44">
      <c r="A31" s="2267"/>
      <c r="B31" s="2267"/>
      <c r="C31" s="2267"/>
      <c r="D31" s="2273"/>
      <c r="E31" s="214" t="s">
        <v>493</v>
      </c>
      <c r="F31" s="214" t="s">
        <v>494</v>
      </c>
      <c r="G31" s="2274"/>
      <c r="H31" s="218">
        <v>160000</v>
      </c>
      <c r="I31" s="2" t="s">
        <v>34</v>
      </c>
      <c r="J31" s="2" t="s">
        <v>34</v>
      </c>
      <c r="K31" s="2" t="s">
        <v>34</v>
      </c>
      <c r="L31" s="2" t="s">
        <v>35</v>
      </c>
      <c r="M31" s="2" t="s">
        <v>36</v>
      </c>
      <c r="N31" s="16" t="s">
        <v>496</v>
      </c>
      <c r="O31" s="2273"/>
      <c r="P31" s="2273"/>
      <c r="Q31" s="2243"/>
      <c r="R31" s="2273"/>
      <c r="S31" s="2273"/>
      <c r="T31" s="16"/>
      <c r="U31" s="16"/>
      <c r="V31" s="16">
        <v>165.99</v>
      </c>
      <c r="W31" s="16">
        <v>260.63</v>
      </c>
      <c r="X31" s="16"/>
      <c r="Y31" s="16"/>
      <c r="Z31" s="16"/>
      <c r="AA31" s="16">
        <v>160.97999999999999</v>
      </c>
      <c r="AB31" s="16">
        <v>15.75</v>
      </c>
      <c r="AC31" s="16">
        <v>16.559999999999999</v>
      </c>
      <c r="AD31" s="16"/>
      <c r="AE31" s="16"/>
      <c r="AF31" s="16"/>
      <c r="AG31" s="16"/>
      <c r="AH31" s="16"/>
      <c r="AI31" s="16"/>
      <c r="AJ31" s="16"/>
      <c r="AK31" s="16"/>
      <c r="AL31" s="16"/>
      <c r="AM31" s="16"/>
      <c r="AN31" s="16"/>
      <c r="AO31" s="16"/>
      <c r="AP31" s="16"/>
      <c r="AQ31" s="16"/>
      <c r="AR31" s="16"/>
    </row>
    <row r="32" spans="1:44">
      <c r="A32" s="2">
        <v>10</v>
      </c>
      <c r="B32" s="2" t="s">
        <v>495</v>
      </c>
      <c r="C32" s="2" t="s">
        <v>29</v>
      </c>
      <c r="D32" s="2" t="s">
        <v>507</v>
      </c>
      <c r="E32" s="218" t="s">
        <v>508</v>
      </c>
      <c r="F32" s="218" t="s">
        <v>138</v>
      </c>
      <c r="G32" s="2" t="s">
        <v>452</v>
      </c>
      <c r="H32" s="218">
        <v>160000</v>
      </c>
      <c r="I32" s="2" t="s">
        <v>34</v>
      </c>
      <c r="J32" s="2" t="s">
        <v>34</v>
      </c>
      <c r="K32" s="2" t="s">
        <v>34</v>
      </c>
      <c r="L32" s="2" t="s">
        <v>35</v>
      </c>
      <c r="M32" s="2" t="s">
        <v>36</v>
      </c>
      <c r="N32" s="2" t="s">
        <v>509</v>
      </c>
      <c r="O32" s="2" t="s">
        <v>832</v>
      </c>
      <c r="P32" s="2"/>
      <c r="Q32" s="2"/>
      <c r="R32" s="2" t="s">
        <v>501</v>
      </c>
      <c r="S32" s="2" t="s">
        <v>509</v>
      </c>
      <c r="T32" s="2"/>
      <c r="U32" s="2"/>
      <c r="V32" s="178">
        <v>256.16000000000003</v>
      </c>
      <c r="W32" s="178">
        <v>440.58</v>
      </c>
      <c r="X32" s="178"/>
      <c r="Y32" s="178"/>
      <c r="Z32" s="178"/>
      <c r="AA32" s="178">
        <v>170.07</v>
      </c>
      <c r="AB32" s="178">
        <v>76.5</v>
      </c>
      <c r="AC32" s="178">
        <v>33.340000000000003</v>
      </c>
      <c r="AD32" s="2"/>
      <c r="AE32" s="2"/>
      <c r="AF32" s="2"/>
      <c r="AG32" s="2"/>
      <c r="AH32" s="2"/>
      <c r="AI32" s="2"/>
      <c r="AJ32" s="2"/>
      <c r="AK32" s="2"/>
      <c r="AL32" s="2"/>
      <c r="AM32" s="2"/>
      <c r="AN32" s="2"/>
      <c r="AO32" s="2"/>
      <c r="AP32" s="2"/>
      <c r="AQ32" s="2"/>
      <c r="AR32" s="2"/>
    </row>
    <row r="33" spans="1:44">
      <c r="A33" s="2">
        <v>12</v>
      </c>
      <c r="B33" s="2" t="s">
        <v>495</v>
      </c>
      <c r="C33" s="2" t="s">
        <v>29</v>
      </c>
      <c r="D33" s="2" t="s">
        <v>789</v>
      </c>
      <c r="E33" s="218" t="s">
        <v>790</v>
      </c>
      <c r="F33" s="218" t="s">
        <v>791</v>
      </c>
      <c r="G33" s="2" t="s">
        <v>452</v>
      </c>
      <c r="H33" s="218">
        <v>150000</v>
      </c>
      <c r="I33" s="2" t="s">
        <v>34</v>
      </c>
      <c r="J33" s="2" t="s">
        <v>34</v>
      </c>
      <c r="K33" s="2" t="s">
        <v>34</v>
      </c>
      <c r="L33" s="2" t="s">
        <v>35</v>
      </c>
      <c r="M33" s="2" t="s">
        <v>237</v>
      </c>
      <c r="N33" s="2" t="s">
        <v>808</v>
      </c>
      <c r="O33" s="2" t="s">
        <v>818</v>
      </c>
      <c r="P33" s="2"/>
      <c r="Q33" s="2"/>
      <c r="R33" s="2" t="s">
        <v>804</v>
      </c>
      <c r="S33" s="2" t="s">
        <v>808</v>
      </c>
      <c r="T33" s="2"/>
      <c r="U33" s="2"/>
      <c r="V33" s="178">
        <v>142.63</v>
      </c>
      <c r="W33" s="178">
        <v>203.03</v>
      </c>
      <c r="X33" s="178"/>
      <c r="Y33" s="178"/>
      <c r="Z33" s="178"/>
      <c r="AA33" s="178">
        <v>122.63</v>
      </c>
      <c r="AB33" s="178">
        <v>3.5</v>
      </c>
      <c r="AC33" s="178">
        <v>24.5</v>
      </c>
      <c r="AD33" s="2"/>
      <c r="AE33" s="2"/>
      <c r="AF33" s="2"/>
      <c r="AG33" s="2"/>
      <c r="AH33" s="2"/>
      <c r="AI33" s="2"/>
      <c r="AJ33" s="2"/>
      <c r="AK33" s="2"/>
      <c r="AL33" s="2"/>
      <c r="AM33" s="2"/>
      <c r="AN33" s="2"/>
      <c r="AO33" s="2"/>
      <c r="AP33" s="2"/>
      <c r="AQ33" s="2"/>
      <c r="AR33" s="2"/>
    </row>
    <row r="34" spans="1:44">
      <c r="A34" s="2267">
        <v>13</v>
      </c>
      <c r="B34" s="2267" t="s">
        <v>495</v>
      </c>
      <c r="C34" s="2267" t="s">
        <v>29</v>
      </c>
      <c r="D34" s="2267" t="s">
        <v>793</v>
      </c>
      <c r="E34" s="218" t="s">
        <v>794</v>
      </c>
      <c r="F34" s="218" t="s">
        <v>805</v>
      </c>
      <c r="G34" s="2267" t="s">
        <v>452</v>
      </c>
      <c r="H34" s="218">
        <v>150000</v>
      </c>
      <c r="I34" s="2" t="s">
        <v>34</v>
      </c>
      <c r="J34" s="2" t="s">
        <v>34</v>
      </c>
      <c r="K34" s="2" t="s">
        <v>34</v>
      </c>
      <c r="L34" s="2" t="s">
        <v>35</v>
      </c>
      <c r="M34" s="2" t="s">
        <v>36</v>
      </c>
      <c r="N34" s="2270" t="s">
        <v>808</v>
      </c>
      <c r="O34" s="2270" t="s">
        <v>829</v>
      </c>
      <c r="P34" s="2270"/>
      <c r="Q34" s="2270"/>
      <c r="R34" s="2270" t="s">
        <v>804</v>
      </c>
      <c r="S34" s="2270" t="s">
        <v>808</v>
      </c>
      <c r="T34" s="2"/>
      <c r="U34" s="2"/>
      <c r="V34" s="178">
        <v>57.82</v>
      </c>
      <c r="W34" s="178">
        <v>92.67</v>
      </c>
      <c r="X34" s="178"/>
      <c r="Y34" s="178"/>
      <c r="Z34" s="178"/>
      <c r="AA34" s="178">
        <v>105.49</v>
      </c>
      <c r="AB34" s="178"/>
      <c r="AC34" s="178">
        <v>5.28</v>
      </c>
      <c r="AD34" s="2"/>
      <c r="AE34" s="2"/>
      <c r="AF34" s="2"/>
      <c r="AG34" s="2"/>
      <c r="AH34" s="2"/>
      <c r="AI34" s="2"/>
      <c r="AJ34" s="2"/>
      <c r="AK34" s="2"/>
      <c r="AL34" s="2"/>
      <c r="AM34" s="2"/>
      <c r="AN34" s="2"/>
      <c r="AO34" s="2"/>
      <c r="AP34" s="2"/>
      <c r="AQ34" s="2"/>
      <c r="AR34" s="2"/>
    </row>
    <row r="35" spans="1:44">
      <c r="A35" s="2267"/>
      <c r="B35" s="2267"/>
      <c r="C35" s="2267"/>
      <c r="D35" s="2267"/>
      <c r="E35" s="218" t="s">
        <v>795</v>
      </c>
      <c r="F35" s="218" t="s">
        <v>806</v>
      </c>
      <c r="G35" s="2267"/>
      <c r="H35" s="218">
        <v>150000</v>
      </c>
      <c r="I35" s="2" t="s">
        <v>34</v>
      </c>
      <c r="J35" s="2" t="s">
        <v>34</v>
      </c>
      <c r="K35" s="2" t="s">
        <v>34</v>
      </c>
      <c r="L35" s="2" t="s">
        <v>35</v>
      </c>
      <c r="M35" s="2" t="s">
        <v>36</v>
      </c>
      <c r="N35" s="2271"/>
      <c r="O35" s="2271"/>
      <c r="P35" s="2271"/>
      <c r="Q35" s="2271"/>
      <c r="R35" s="2271"/>
      <c r="S35" s="2271"/>
      <c r="T35" s="2"/>
      <c r="U35" s="2"/>
      <c r="V35" s="178">
        <v>57.82</v>
      </c>
      <c r="W35" s="178">
        <v>92.67</v>
      </c>
      <c r="X35" s="178"/>
      <c r="Y35" s="178"/>
      <c r="Z35" s="178"/>
      <c r="AA35" s="178">
        <v>105.49</v>
      </c>
      <c r="AB35" s="178"/>
      <c r="AC35" s="178">
        <v>5.28</v>
      </c>
      <c r="AD35" s="2"/>
      <c r="AE35" s="2"/>
      <c r="AF35" s="2"/>
      <c r="AG35" s="2"/>
      <c r="AH35" s="2"/>
      <c r="AI35" s="2"/>
      <c r="AJ35" s="2"/>
      <c r="AK35" s="2"/>
      <c r="AL35" s="2"/>
      <c r="AM35" s="2"/>
      <c r="AN35" s="2"/>
      <c r="AO35" s="2"/>
      <c r="AP35" s="2"/>
      <c r="AQ35" s="2"/>
      <c r="AR35" s="2"/>
    </row>
    <row r="36" spans="1:44">
      <c r="A36" s="2267">
        <v>14</v>
      </c>
      <c r="B36" s="2267" t="s">
        <v>495</v>
      </c>
      <c r="C36" s="2267" t="s">
        <v>29</v>
      </c>
      <c r="D36" s="2267" t="s">
        <v>798</v>
      </c>
      <c r="E36" s="218" t="s">
        <v>799</v>
      </c>
      <c r="F36" s="218" t="s">
        <v>807</v>
      </c>
      <c r="G36" s="2267" t="s">
        <v>452</v>
      </c>
      <c r="H36" s="218">
        <v>150000</v>
      </c>
      <c r="I36" s="2" t="s">
        <v>34</v>
      </c>
      <c r="J36" s="2" t="s">
        <v>34</v>
      </c>
      <c r="K36" s="2" t="s">
        <v>34</v>
      </c>
      <c r="L36" s="2" t="s">
        <v>35</v>
      </c>
      <c r="M36" s="2" t="s">
        <v>36</v>
      </c>
      <c r="N36" s="2270" t="s">
        <v>808</v>
      </c>
      <c r="O36" s="2270" t="s">
        <v>830</v>
      </c>
      <c r="P36" s="2270"/>
      <c r="Q36" s="2270"/>
      <c r="R36" s="2270" t="s">
        <v>804</v>
      </c>
      <c r="S36" s="2270" t="s">
        <v>808</v>
      </c>
      <c r="T36" s="2"/>
      <c r="U36" s="2"/>
      <c r="V36" s="178">
        <v>189.69</v>
      </c>
      <c r="W36" s="178">
        <v>257.72000000000003</v>
      </c>
      <c r="X36" s="178"/>
      <c r="Y36" s="178"/>
      <c r="Z36" s="178"/>
      <c r="AA36" s="178">
        <v>100.82</v>
      </c>
      <c r="AB36" s="178"/>
      <c r="AC36" s="178">
        <v>10.199999999999999</v>
      </c>
      <c r="AD36" s="2"/>
      <c r="AE36" s="2"/>
      <c r="AF36" s="2"/>
      <c r="AG36" s="2"/>
      <c r="AH36" s="2"/>
      <c r="AI36" s="2"/>
      <c r="AJ36" s="2"/>
      <c r="AK36" s="2"/>
      <c r="AL36" s="2"/>
      <c r="AM36" s="2"/>
      <c r="AN36" s="2"/>
      <c r="AO36" s="2"/>
      <c r="AP36" s="2"/>
      <c r="AQ36" s="2"/>
      <c r="AR36" s="2"/>
    </row>
    <row r="37" spans="1:44">
      <c r="A37" s="2267"/>
      <c r="B37" s="2267"/>
      <c r="C37" s="2267"/>
      <c r="D37" s="2267"/>
      <c r="E37" s="218" t="s">
        <v>801</v>
      </c>
      <c r="F37" s="218" t="s">
        <v>807</v>
      </c>
      <c r="G37" s="2267"/>
      <c r="H37" s="218">
        <v>150000</v>
      </c>
      <c r="I37" s="2" t="s">
        <v>34</v>
      </c>
      <c r="J37" s="2" t="s">
        <v>34</v>
      </c>
      <c r="K37" s="2" t="s">
        <v>34</v>
      </c>
      <c r="L37" s="2" t="s">
        <v>35</v>
      </c>
      <c r="M37" s="2" t="s">
        <v>36</v>
      </c>
      <c r="N37" s="2271"/>
      <c r="O37" s="2271"/>
      <c r="P37" s="2271"/>
      <c r="Q37" s="2271"/>
      <c r="R37" s="2271"/>
      <c r="S37" s="2271"/>
      <c r="T37" s="2"/>
      <c r="U37" s="2"/>
      <c r="V37" s="178">
        <v>189.69</v>
      </c>
      <c r="W37" s="178">
        <v>257.72000000000003</v>
      </c>
      <c r="X37" s="178"/>
      <c r="Y37" s="178"/>
      <c r="Z37" s="178"/>
      <c r="AA37" s="178">
        <v>100.82</v>
      </c>
      <c r="AB37" s="178"/>
      <c r="AC37" s="178">
        <v>10.199999999999999</v>
      </c>
      <c r="AD37" s="2"/>
      <c r="AE37" s="2"/>
      <c r="AF37" s="2"/>
      <c r="AG37" s="2"/>
      <c r="AH37" s="2"/>
      <c r="AI37" s="2"/>
      <c r="AJ37" s="2"/>
      <c r="AK37" s="2"/>
      <c r="AL37" s="2"/>
      <c r="AM37" s="2"/>
      <c r="AN37" s="2"/>
      <c r="AO37" s="2"/>
      <c r="AP37" s="2"/>
      <c r="AQ37" s="2"/>
      <c r="AR37" s="2"/>
    </row>
    <row r="38" spans="1:44">
      <c r="A38" s="2">
        <v>15</v>
      </c>
      <c r="B38" s="2" t="s">
        <v>495</v>
      </c>
      <c r="C38" s="2" t="s">
        <v>29</v>
      </c>
      <c r="D38" s="355" t="s">
        <v>815</v>
      </c>
      <c r="E38" s="219" t="s">
        <v>816</v>
      </c>
      <c r="F38" s="219" t="s">
        <v>817</v>
      </c>
      <c r="G38" s="2" t="s">
        <v>452</v>
      </c>
      <c r="H38" s="218">
        <v>150000</v>
      </c>
      <c r="I38" s="2" t="s">
        <v>34</v>
      </c>
      <c r="J38" s="2" t="s">
        <v>34</v>
      </c>
      <c r="K38" s="2" t="s">
        <v>34</v>
      </c>
      <c r="L38" s="2" t="s">
        <v>35</v>
      </c>
      <c r="M38" s="2" t="s">
        <v>36</v>
      </c>
      <c r="N38" s="2" t="s">
        <v>814</v>
      </c>
      <c r="O38" s="2" t="s">
        <v>818</v>
      </c>
      <c r="P38" s="2"/>
      <c r="Q38" s="2"/>
      <c r="R38" s="2" t="s">
        <v>827</v>
      </c>
      <c r="S38" s="2" t="s">
        <v>814</v>
      </c>
      <c r="T38" s="2"/>
      <c r="U38" s="2"/>
      <c r="V38" s="178">
        <v>114.48</v>
      </c>
      <c r="W38" s="178">
        <v>204.91</v>
      </c>
      <c r="X38" s="178"/>
      <c r="Y38" s="178"/>
      <c r="Z38" s="178"/>
      <c r="AA38" s="178">
        <v>215.83</v>
      </c>
      <c r="AB38" s="178"/>
      <c r="AC38" s="178">
        <v>11.11</v>
      </c>
      <c r="AD38" s="2"/>
      <c r="AE38" s="2"/>
      <c r="AF38" s="2"/>
      <c r="AG38" s="2"/>
      <c r="AH38" s="2"/>
      <c r="AI38" s="2"/>
      <c r="AJ38" s="2"/>
      <c r="AK38" s="2"/>
      <c r="AL38" s="2"/>
      <c r="AM38" s="2"/>
      <c r="AN38" s="2"/>
      <c r="AO38" s="2"/>
      <c r="AP38" s="2"/>
      <c r="AQ38" s="2"/>
      <c r="AR38" s="2"/>
    </row>
    <row r="39" spans="1:44">
      <c r="A39" s="2267">
        <v>16</v>
      </c>
      <c r="B39" s="2267" t="s">
        <v>495</v>
      </c>
      <c r="C39" s="2267" t="s">
        <v>29</v>
      </c>
      <c r="D39" s="2280" t="s">
        <v>819</v>
      </c>
      <c r="E39" s="219" t="s">
        <v>820</v>
      </c>
      <c r="F39" s="219" t="s">
        <v>310</v>
      </c>
      <c r="G39" s="2267" t="s">
        <v>452</v>
      </c>
      <c r="H39" s="218">
        <v>75000</v>
      </c>
      <c r="I39" s="2" t="s">
        <v>34</v>
      </c>
      <c r="J39" s="2" t="s">
        <v>34</v>
      </c>
      <c r="K39" s="2" t="s">
        <v>34</v>
      </c>
      <c r="L39" s="2" t="s">
        <v>35</v>
      </c>
      <c r="M39" s="2" t="s">
        <v>36</v>
      </c>
      <c r="N39" s="2267" t="s">
        <v>824</v>
      </c>
      <c r="O39" s="2267" t="s">
        <v>818</v>
      </c>
      <c r="P39" s="2"/>
      <c r="Q39" s="2"/>
      <c r="R39" s="2270" t="s">
        <v>827</v>
      </c>
      <c r="S39" s="2270" t="s">
        <v>814</v>
      </c>
      <c r="T39" s="2"/>
      <c r="U39" s="2"/>
      <c r="V39" s="178">
        <v>379.47</v>
      </c>
      <c r="W39" s="178">
        <v>567.23</v>
      </c>
      <c r="X39" s="178"/>
      <c r="Y39" s="178"/>
      <c r="Z39" s="178"/>
      <c r="AA39" s="178">
        <v>318.86</v>
      </c>
      <c r="AB39" s="178"/>
      <c r="AC39" s="178">
        <v>24.33</v>
      </c>
      <c r="AD39" s="2"/>
      <c r="AE39" s="2"/>
      <c r="AF39" s="2"/>
      <c r="AG39" s="2"/>
      <c r="AH39" s="2"/>
      <c r="AI39" s="2"/>
      <c r="AJ39" s="2"/>
      <c r="AK39" s="2"/>
      <c r="AL39" s="2"/>
      <c r="AM39" s="2"/>
      <c r="AN39" s="2"/>
      <c r="AO39" s="2"/>
      <c r="AP39" s="2"/>
      <c r="AQ39" s="2"/>
      <c r="AR39" s="2"/>
    </row>
    <row r="40" spans="1:44">
      <c r="A40" s="2267"/>
      <c r="B40" s="2267"/>
      <c r="C40" s="2267"/>
      <c r="D40" s="2280"/>
      <c r="E40" s="219" t="s">
        <v>821</v>
      </c>
      <c r="F40" s="219" t="s">
        <v>310</v>
      </c>
      <c r="G40" s="2267"/>
      <c r="H40" s="218">
        <v>75000</v>
      </c>
      <c r="I40" s="2" t="s">
        <v>34</v>
      </c>
      <c r="J40" s="2" t="s">
        <v>34</v>
      </c>
      <c r="K40" s="2" t="s">
        <v>34</v>
      </c>
      <c r="L40" s="2" t="s">
        <v>35</v>
      </c>
      <c r="M40" s="2" t="s">
        <v>36</v>
      </c>
      <c r="N40" s="2267"/>
      <c r="O40" s="2267"/>
      <c r="P40" s="2"/>
      <c r="Q40" s="2"/>
      <c r="R40" s="2271"/>
      <c r="S40" s="2271"/>
      <c r="T40" s="2"/>
      <c r="U40" s="2"/>
      <c r="V40" s="178">
        <v>362.02</v>
      </c>
      <c r="W40" s="178">
        <v>544.29999999999995</v>
      </c>
      <c r="X40" s="178"/>
      <c r="Y40" s="178"/>
      <c r="Z40" s="178"/>
      <c r="AA40" s="178">
        <v>136.69999999999999</v>
      </c>
      <c r="AB40" s="178"/>
      <c r="AC40" s="178">
        <v>24.33</v>
      </c>
      <c r="AD40" s="2"/>
      <c r="AE40" s="2"/>
      <c r="AF40" s="2"/>
      <c r="AG40" s="2"/>
      <c r="AH40" s="2"/>
      <c r="AI40" s="2"/>
      <c r="AJ40" s="2"/>
      <c r="AK40" s="2"/>
      <c r="AL40" s="2"/>
      <c r="AM40" s="2"/>
      <c r="AN40" s="2"/>
      <c r="AO40" s="2"/>
      <c r="AP40" s="2"/>
      <c r="AQ40" s="2"/>
      <c r="AR40" s="2"/>
    </row>
    <row r="41" spans="1:44">
      <c r="A41" s="16">
        <v>17</v>
      </c>
      <c r="B41" s="55" t="s">
        <v>495</v>
      </c>
      <c r="C41" s="16"/>
      <c r="D41" s="16" t="s">
        <v>834</v>
      </c>
      <c r="E41" s="219" t="s">
        <v>960</v>
      </c>
      <c r="F41" s="219" t="s">
        <v>844</v>
      </c>
      <c r="G41" s="2" t="s">
        <v>452</v>
      </c>
      <c r="H41" s="218">
        <v>30000</v>
      </c>
      <c r="I41" s="2" t="s">
        <v>34</v>
      </c>
      <c r="J41" s="2" t="s">
        <v>34</v>
      </c>
      <c r="K41" s="2" t="s">
        <v>34</v>
      </c>
      <c r="L41" s="2" t="s">
        <v>35</v>
      </c>
      <c r="M41" s="2" t="s">
        <v>36</v>
      </c>
      <c r="N41" s="16" t="s">
        <v>824</v>
      </c>
      <c r="O41" s="16" t="s">
        <v>961</v>
      </c>
      <c r="P41" s="16"/>
      <c r="Q41" s="16"/>
      <c r="R41" s="16"/>
      <c r="S41" s="16" t="s">
        <v>851</v>
      </c>
      <c r="T41" s="16"/>
      <c r="U41" s="16"/>
      <c r="V41" s="16">
        <v>381.45</v>
      </c>
      <c r="W41" s="16"/>
      <c r="X41" s="16"/>
      <c r="Y41" s="16"/>
      <c r="Z41" s="16"/>
      <c r="AA41" s="16"/>
      <c r="AB41" s="16"/>
      <c r="AC41" s="16"/>
      <c r="AD41" s="16"/>
      <c r="AE41" s="16"/>
      <c r="AF41" s="16"/>
      <c r="AG41" s="16"/>
      <c r="AH41" s="16"/>
      <c r="AI41" s="16"/>
      <c r="AJ41" s="16"/>
      <c r="AK41" s="16"/>
      <c r="AL41" s="16"/>
      <c r="AM41" s="16"/>
      <c r="AN41" s="16"/>
      <c r="AO41" s="16"/>
      <c r="AP41" s="16"/>
      <c r="AQ41" s="16"/>
      <c r="AR41" s="16"/>
    </row>
    <row r="42" spans="1:44">
      <c r="A42" s="2227">
        <v>18</v>
      </c>
      <c r="B42" s="2269" t="s">
        <v>495</v>
      </c>
      <c r="C42" s="16"/>
      <c r="D42" s="2227" t="s">
        <v>835</v>
      </c>
      <c r="E42" s="219" t="s">
        <v>838</v>
      </c>
      <c r="F42" s="219" t="s">
        <v>845</v>
      </c>
      <c r="G42" s="2267" t="s">
        <v>452</v>
      </c>
      <c r="H42" s="218">
        <v>150000</v>
      </c>
      <c r="I42" s="2" t="s">
        <v>34</v>
      </c>
      <c r="J42" s="2" t="s">
        <v>34</v>
      </c>
      <c r="K42" s="2" t="s">
        <v>34</v>
      </c>
      <c r="L42" s="2" t="s">
        <v>35</v>
      </c>
      <c r="M42" s="2" t="s">
        <v>36</v>
      </c>
      <c r="N42" s="2267" t="s">
        <v>824</v>
      </c>
      <c r="O42" s="16" t="s">
        <v>961</v>
      </c>
      <c r="P42" s="16"/>
      <c r="Q42" s="16"/>
      <c r="R42" s="16"/>
      <c r="S42" s="16" t="s">
        <v>851</v>
      </c>
      <c r="T42" s="16"/>
      <c r="U42" s="16"/>
      <c r="V42" s="16">
        <v>387.69</v>
      </c>
      <c r="W42" s="16"/>
      <c r="X42" s="16"/>
      <c r="Y42" s="16"/>
      <c r="Z42" s="16"/>
      <c r="AA42" s="16"/>
      <c r="AB42" s="16"/>
      <c r="AC42" s="16"/>
      <c r="AD42" s="16"/>
      <c r="AE42" s="16"/>
      <c r="AF42" s="16"/>
      <c r="AG42" s="16"/>
      <c r="AH42" s="16"/>
      <c r="AI42" s="16"/>
      <c r="AJ42" s="16"/>
      <c r="AK42" s="16"/>
      <c r="AL42" s="16"/>
      <c r="AM42" s="16"/>
      <c r="AN42" s="16"/>
      <c r="AO42" s="16"/>
      <c r="AP42" s="16"/>
      <c r="AQ42" s="16"/>
      <c r="AR42" s="16"/>
    </row>
    <row r="43" spans="1:44">
      <c r="A43" s="2227"/>
      <c r="B43" s="2243"/>
      <c r="C43" s="16"/>
      <c r="D43" s="2227"/>
      <c r="E43" s="219" t="s">
        <v>839</v>
      </c>
      <c r="F43" s="219" t="s">
        <v>846</v>
      </c>
      <c r="G43" s="2267"/>
      <c r="H43" s="218">
        <v>150000</v>
      </c>
      <c r="I43" s="2" t="s">
        <v>34</v>
      </c>
      <c r="J43" s="2" t="s">
        <v>34</v>
      </c>
      <c r="K43" s="2" t="s">
        <v>34</v>
      </c>
      <c r="L43" s="2" t="s">
        <v>35</v>
      </c>
      <c r="M43" s="2" t="s">
        <v>36</v>
      </c>
      <c r="N43" s="2267"/>
      <c r="O43" s="16"/>
      <c r="P43" s="16"/>
      <c r="Q43" s="16"/>
      <c r="R43" s="16"/>
      <c r="S43" s="16" t="s">
        <v>851</v>
      </c>
      <c r="T43" s="16"/>
      <c r="U43" s="16"/>
      <c r="V43" s="16">
        <v>387.69</v>
      </c>
      <c r="W43" s="16"/>
      <c r="X43" s="16"/>
      <c r="Y43" s="16"/>
      <c r="Z43" s="16"/>
      <c r="AA43" s="16"/>
      <c r="AB43" s="16"/>
      <c r="AC43" s="16"/>
      <c r="AD43" s="16"/>
      <c r="AE43" s="16"/>
      <c r="AF43" s="16"/>
      <c r="AG43" s="16"/>
      <c r="AH43" s="16"/>
      <c r="AI43" s="16"/>
      <c r="AJ43" s="16"/>
      <c r="AK43" s="16"/>
      <c r="AL43" s="16"/>
      <c r="AM43" s="16"/>
      <c r="AN43" s="16"/>
      <c r="AO43" s="16"/>
      <c r="AP43" s="16"/>
      <c r="AQ43" s="16"/>
      <c r="AR43" s="16"/>
    </row>
    <row r="44" spans="1:44">
      <c r="A44" s="2227">
        <v>19</v>
      </c>
      <c r="B44" s="2269" t="s">
        <v>495</v>
      </c>
      <c r="C44" s="16"/>
      <c r="D44" s="2227" t="s">
        <v>836</v>
      </c>
      <c r="E44" s="219" t="s">
        <v>840</v>
      </c>
      <c r="F44" s="219" t="s">
        <v>847</v>
      </c>
      <c r="G44" s="2267" t="s">
        <v>452</v>
      </c>
      <c r="H44" s="218">
        <v>150000</v>
      </c>
      <c r="I44" s="2" t="s">
        <v>34</v>
      </c>
      <c r="J44" s="2" t="s">
        <v>34</v>
      </c>
      <c r="K44" s="2" t="s">
        <v>34</v>
      </c>
      <c r="L44" s="2" t="s">
        <v>35</v>
      </c>
      <c r="M44" s="2" t="s">
        <v>36</v>
      </c>
      <c r="N44" s="2267" t="s">
        <v>824</v>
      </c>
      <c r="O44" s="2272" t="s">
        <v>961</v>
      </c>
      <c r="P44" s="16"/>
      <c r="Q44" s="16"/>
      <c r="R44" s="16"/>
      <c r="S44" s="16" t="s">
        <v>851</v>
      </c>
      <c r="T44" s="16"/>
      <c r="U44" s="16"/>
      <c r="V44" s="16">
        <v>72.680000000000007</v>
      </c>
      <c r="W44" s="16"/>
      <c r="X44" s="16"/>
      <c r="Y44" s="16"/>
      <c r="Z44" s="16"/>
      <c r="AA44" s="16"/>
      <c r="AB44" s="16"/>
      <c r="AC44" s="16"/>
      <c r="AD44" s="16"/>
      <c r="AE44" s="16"/>
      <c r="AF44" s="16"/>
      <c r="AG44" s="16"/>
      <c r="AH44" s="16"/>
      <c r="AI44" s="16"/>
      <c r="AJ44" s="16"/>
      <c r="AK44" s="16"/>
      <c r="AL44" s="16"/>
      <c r="AM44" s="16"/>
      <c r="AN44" s="16"/>
      <c r="AO44" s="16"/>
      <c r="AP44" s="16"/>
      <c r="AQ44" s="16"/>
      <c r="AR44" s="16"/>
    </row>
    <row r="45" spans="1:44">
      <c r="A45" s="2227"/>
      <c r="B45" s="2243"/>
      <c r="C45" s="16"/>
      <c r="D45" s="2227"/>
      <c r="E45" s="219" t="s">
        <v>841</v>
      </c>
      <c r="F45" s="215" t="s">
        <v>848</v>
      </c>
      <c r="G45" s="2267"/>
      <c r="H45" s="218">
        <v>150000</v>
      </c>
      <c r="I45" s="2" t="s">
        <v>34</v>
      </c>
      <c r="J45" s="2" t="s">
        <v>34</v>
      </c>
      <c r="K45" s="2" t="s">
        <v>34</v>
      </c>
      <c r="L45" s="2" t="s">
        <v>35</v>
      </c>
      <c r="M45" s="2" t="s">
        <v>36</v>
      </c>
      <c r="N45" s="2267"/>
      <c r="O45" s="2243"/>
      <c r="P45" s="16"/>
      <c r="Q45" s="16"/>
      <c r="R45" s="16"/>
      <c r="S45" s="16" t="s">
        <v>851</v>
      </c>
      <c r="T45" s="16"/>
      <c r="U45" s="16"/>
      <c r="V45" s="16">
        <v>72.680000000000007</v>
      </c>
      <c r="W45" s="16"/>
      <c r="X45" s="16"/>
      <c r="Y45" s="16"/>
      <c r="Z45" s="16"/>
      <c r="AA45" s="16"/>
      <c r="AB45" s="16"/>
      <c r="AC45" s="16"/>
      <c r="AD45" s="16"/>
      <c r="AE45" s="16"/>
      <c r="AF45" s="16"/>
      <c r="AG45" s="16"/>
      <c r="AH45" s="16"/>
      <c r="AI45" s="16"/>
      <c r="AJ45" s="16"/>
      <c r="AK45" s="16"/>
      <c r="AL45" s="16"/>
      <c r="AM45" s="16"/>
      <c r="AN45" s="16"/>
      <c r="AO45" s="16"/>
      <c r="AP45" s="16"/>
      <c r="AQ45" s="16"/>
      <c r="AR45" s="16"/>
    </row>
    <row r="46" spans="1:44">
      <c r="A46" s="2227">
        <v>20</v>
      </c>
      <c r="B46" s="2269" t="s">
        <v>495</v>
      </c>
      <c r="C46" s="16"/>
      <c r="D46" s="2227" t="s">
        <v>837</v>
      </c>
      <c r="E46" s="219" t="s">
        <v>842</v>
      </c>
      <c r="F46" s="219" t="s">
        <v>849</v>
      </c>
      <c r="G46" s="2267" t="s">
        <v>452</v>
      </c>
      <c r="H46" s="218">
        <v>150000</v>
      </c>
      <c r="I46" s="2" t="s">
        <v>34</v>
      </c>
      <c r="J46" s="2" t="s">
        <v>34</v>
      </c>
      <c r="K46" s="2" t="s">
        <v>34</v>
      </c>
      <c r="L46" s="2" t="s">
        <v>35</v>
      </c>
      <c r="M46" s="2" t="s">
        <v>36</v>
      </c>
      <c r="N46" s="2267" t="s">
        <v>824</v>
      </c>
      <c r="O46" s="2272" t="s">
        <v>961</v>
      </c>
      <c r="P46" s="16"/>
      <c r="Q46" s="16"/>
      <c r="R46" s="16"/>
      <c r="S46" s="16" t="s">
        <v>851</v>
      </c>
      <c r="T46" s="16"/>
      <c r="U46" s="16"/>
      <c r="V46" s="16">
        <v>127.9</v>
      </c>
      <c r="W46" s="16"/>
      <c r="X46" s="16"/>
      <c r="Y46" s="16"/>
      <c r="Z46" s="16"/>
      <c r="AA46" s="16"/>
      <c r="AB46" s="16"/>
      <c r="AC46" s="16"/>
      <c r="AD46" s="16"/>
      <c r="AE46" s="16"/>
      <c r="AF46" s="16"/>
      <c r="AG46" s="16"/>
      <c r="AH46" s="16"/>
      <c r="AI46" s="16"/>
      <c r="AJ46" s="16"/>
      <c r="AK46" s="16"/>
      <c r="AL46" s="16"/>
      <c r="AM46" s="16"/>
      <c r="AN46" s="16"/>
      <c r="AO46" s="16"/>
      <c r="AP46" s="16"/>
      <c r="AQ46" s="16"/>
      <c r="AR46" s="16"/>
    </row>
    <row r="47" spans="1:44">
      <c r="A47" s="2227"/>
      <c r="B47" s="2243"/>
      <c r="C47" s="16"/>
      <c r="D47" s="2227"/>
      <c r="E47" s="219" t="s">
        <v>843</v>
      </c>
      <c r="F47" s="219" t="s">
        <v>850</v>
      </c>
      <c r="G47" s="2267"/>
      <c r="H47" s="218">
        <v>150000</v>
      </c>
      <c r="I47" s="2" t="s">
        <v>34</v>
      </c>
      <c r="J47" s="2" t="s">
        <v>34</v>
      </c>
      <c r="K47" s="2" t="s">
        <v>34</v>
      </c>
      <c r="L47" s="2" t="s">
        <v>35</v>
      </c>
      <c r="M47" s="2" t="s">
        <v>36</v>
      </c>
      <c r="N47" s="2267"/>
      <c r="O47" s="2243"/>
      <c r="P47" s="16"/>
      <c r="Q47" s="16"/>
      <c r="R47" s="16"/>
      <c r="S47" s="16" t="s">
        <v>851</v>
      </c>
      <c r="T47" s="16"/>
      <c r="U47" s="16"/>
      <c r="V47" s="16">
        <v>127.9</v>
      </c>
      <c r="W47" s="16"/>
      <c r="X47" s="16"/>
      <c r="Y47" s="16"/>
      <c r="Z47" s="16"/>
      <c r="AA47" s="16"/>
      <c r="AB47" s="16"/>
      <c r="AC47" s="16"/>
      <c r="AD47" s="16"/>
      <c r="AE47" s="16"/>
      <c r="AF47" s="16"/>
      <c r="AG47" s="16"/>
      <c r="AH47" s="16"/>
      <c r="AI47" s="16"/>
      <c r="AJ47" s="16"/>
      <c r="AK47" s="16"/>
      <c r="AL47" s="16"/>
      <c r="AM47" s="16"/>
      <c r="AN47" s="16"/>
      <c r="AO47" s="16"/>
      <c r="AP47" s="16"/>
      <c r="AQ47" s="16"/>
      <c r="AR47" s="16"/>
    </row>
    <row r="48" spans="1:44">
      <c r="A48" s="2227">
        <v>21</v>
      </c>
      <c r="B48" s="2227" t="s">
        <v>495</v>
      </c>
      <c r="C48" s="16"/>
      <c r="D48" s="2227" t="s">
        <v>948</v>
      </c>
      <c r="E48" s="219" t="s">
        <v>949</v>
      </c>
      <c r="F48" s="219" t="s">
        <v>951</v>
      </c>
      <c r="G48" s="2267" t="s">
        <v>452</v>
      </c>
      <c r="H48" s="218">
        <v>150000</v>
      </c>
      <c r="I48" s="2" t="s">
        <v>34</v>
      </c>
      <c r="J48" s="2" t="s">
        <v>34</v>
      </c>
      <c r="K48" s="2" t="s">
        <v>34</v>
      </c>
      <c r="L48" s="2" t="s">
        <v>35</v>
      </c>
      <c r="M48" s="2" t="s">
        <v>36</v>
      </c>
      <c r="N48" s="2227" t="s">
        <v>954</v>
      </c>
      <c r="O48" s="2227" t="s">
        <v>953</v>
      </c>
      <c r="P48" s="16"/>
      <c r="Q48" s="16"/>
      <c r="R48" s="16"/>
      <c r="S48" s="2227" t="s">
        <v>954</v>
      </c>
      <c r="T48" s="16"/>
      <c r="U48" s="367"/>
      <c r="V48" s="16">
        <v>50.2</v>
      </c>
      <c r="W48" s="16">
        <v>72.41</v>
      </c>
      <c r="X48" s="16"/>
      <c r="Y48" s="16"/>
      <c r="Z48" s="16"/>
      <c r="AA48" s="16">
        <v>23.98</v>
      </c>
      <c r="AB48" s="16"/>
      <c r="AC48" s="69">
        <f>AC49</f>
        <v>5.3155000000000001</v>
      </c>
      <c r="AD48" s="16"/>
      <c r="AE48" s="16"/>
      <c r="AF48" s="16"/>
      <c r="AG48" s="16"/>
      <c r="AH48" s="16"/>
      <c r="AI48" s="16"/>
      <c r="AJ48" s="16"/>
      <c r="AK48" s="16"/>
      <c r="AL48" s="16"/>
      <c r="AM48" s="16"/>
      <c r="AN48" s="16"/>
      <c r="AO48" s="16"/>
      <c r="AP48" s="16"/>
      <c r="AQ48" s="16"/>
      <c r="AR48" s="16"/>
    </row>
    <row r="49" spans="1:44">
      <c r="A49" s="2227"/>
      <c r="B49" s="2227"/>
      <c r="C49" s="16"/>
      <c r="D49" s="2227"/>
      <c r="E49" s="219" t="s">
        <v>950</v>
      </c>
      <c r="F49" s="219" t="s">
        <v>952</v>
      </c>
      <c r="G49" s="2267"/>
      <c r="H49" s="218">
        <v>150000</v>
      </c>
      <c r="I49" s="2" t="s">
        <v>34</v>
      </c>
      <c r="J49" s="2" t="s">
        <v>34</v>
      </c>
      <c r="K49" s="2" t="s">
        <v>34</v>
      </c>
      <c r="L49" s="2" t="s">
        <v>35</v>
      </c>
      <c r="M49" s="2" t="s">
        <v>36</v>
      </c>
      <c r="N49" s="2227"/>
      <c r="O49" s="2227"/>
      <c r="P49" s="16"/>
      <c r="Q49" s="16"/>
      <c r="R49" s="16"/>
      <c r="S49" s="2227"/>
      <c r="V49" s="16">
        <v>50.22</v>
      </c>
      <c r="W49" s="16">
        <v>72.430000000000007</v>
      </c>
      <c r="X49" s="16"/>
      <c r="Y49" s="16"/>
      <c r="Z49" s="16"/>
      <c r="AA49" s="16">
        <v>23.98</v>
      </c>
      <c r="AB49" s="16"/>
      <c r="AC49" s="69">
        <v>5.3155000000000001</v>
      </c>
      <c r="AD49" s="16"/>
      <c r="AE49" s="16"/>
      <c r="AF49" s="16"/>
      <c r="AG49" s="16"/>
      <c r="AH49" s="16"/>
      <c r="AI49" s="16"/>
      <c r="AJ49" s="16"/>
      <c r="AK49" s="16"/>
      <c r="AL49" s="16"/>
      <c r="AM49" s="16"/>
      <c r="AN49" s="16"/>
      <c r="AO49" s="16"/>
      <c r="AP49" s="16"/>
      <c r="AQ49" s="16"/>
      <c r="AR49" s="16"/>
    </row>
    <row r="50" spans="1:44">
      <c r="A50" s="2227">
        <v>22</v>
      </c>
      <c r="B50" s="2227" t="s">
        <v>495</v>
      </c>
      <c r="C50" s="16"/>
      <c r="D50" s="2227" t="s">
        <v>955</v>
      </c>
      <c r="E50" s="219" t="s">
        <v>956</v>
      </c>
      <c r="F50" s="219" t="s">
        <v>958</v>
      </c>
      <c r="G50" s="2267" t="s">
        <v>452</v>
      </c>
      <c r="H50" s="218">
        <v>150000</v>
      </c>
      <c r="I50" s="2" t="s">
        <v>34</v>
      </c>
      <c r="J50" s="2" t="s">
        <v>34</v>
      </c>
      <c r="K50" s="2" t="s">
        <v>34</v>
      </c>
      <c r="L50" s="2" t="s">
        <v>35</v>
      </c>
      <c r="M50" s="2" t="s">
        <v>36</v>
      </c>
      <c r="N50" s="2227" t="s">
        <v>954</v>
      </c>
      <c r="O50" s="2227" t="s">
        <v>953</v>
      </c>
      <c r="P50" s="16"/>
      <c r="Q50" s="16"/>
      <c r="R50" s="16"/>
      <c r="S50" s="2227" t="s">
        <v>954</v>
      </c>
      <c r="V50" s="16">
        <v>50.65</v>
      </c>
      <c r="W50" s="67">
        <v>80.954261291657872</v>
      </c>
      <c r="X50" s="16"/>
      <c r="Y50" s="16"/>
      <c r="Z50" s="16"/>
      <c r="AA50" s="69">
        <v>38.736115317900001</v>
      </c>
      <c r="AB50" s="16"/>
      <c r="AC50" s="69">
        <v>5.0567500000000001</v>
      </c>
      <c r="AD50" s="16"/>
      <c r="AE50" s="16"/>
      <c r="AF50" s="16"/>
      <c r="AG50" s="16"/>
      <c r="AH50" s="16"/>
      <c r="AI50" s="16"/>
      <c r="AJ50" s="16"/>
      <c r="AK50" s="16"/>
      <c r="AL50" s="16"/>
      <c r="AM50" s="16"/>
      <c r="AN50" s="16"/>
      <c r="AO50" s="16"/>
      <c r="AP50" s="16"/>
      <c r="AQ50" s="16"/>
      <c r="AR50" s="16"/>
    </row>
    <row r="51" spans="1:44" ht="15.75" thickBot="1">
      <c r="A51" s="2266"/>
      <c r="B51" s="2266"/>
      <c r="C51" s="368"/>
      <c r="D51" s="2266"/>
      <c r="E51" s="369" t="s">
        <v>957</v>
      </c>
      <c r="F51" s="369" t="s">
        <v>959</v>
      </c>
      <c r="G51" s="2268"/>
      <c r="H51" s="370">
        <v>150000</v>
      </c>
      <c r="I51" s="371" t="s">
        <v>34</v>
      </c>
      <c r="J51" s="371" t="s">
        <v>34</v>
      </c>
      <c r="K51" s="371" t="s">
        <v>34</v>
      </c>
      <c r="L51" s="371" t="s">
        <v>35</v>
      </c>
      <c r="M51" s="371" t="s">
        <v>36</v>
      </c>
      <c r="N51" s="2266"/>
      <c r="O51" s="2266"/>
      <c r="P51" s="368"/>
      <c r="Q51" s="368"/>
      <c r="R51" s="368"/>
      <c r="S51" s="2266"/>
      <c r="V51" s="368">
        <v>50.68</v>
      </c>
      <c r="W51" s="372">
        <v>80.980322591657867</v>
      </c>
      <c r="X51" s="368"/>
      <c r="Y51" s="368"/>
      <c r="Z51" s="489"/>
      <c r="AA51" s="373">
        <v>38.736115317900001</v>
      </c>
      <c r="AB51" s="368"/>
      <c r="AC51" s="373">
        <f>AC50</f>
        <v>5.0567500000000001</v>
      </c>
      <c r="AD51" s="368"/>
      <c r="AE51" s="395"/>
      <c r="AF51" s="368"/>
      <c r="AG51" s="368"/>
      <c r="AH51" s="368"/>
      <c r="AI51" s="368"/>
      <c r="AJ51" s="368"/>
      <c r="AK51" s="368"/>
      <c r="AL51" s="368"/>
      <c r="AM51" s="368"/>
      <c r="AN51" s="368"/>
      <c r="AO51" s="368"/>
      <c r="AP51" s="368"/>
      <c r="AQ51" s="368"/>
      <c r="AR51" s="368"/>
    </row>
    <row r="52" spans="1:44">
      <c r="A52" s="2258">
        <v>23</v>
      </c>
      <c r="B52" s="2254" t="s">
        <v>495</v>
      </c>
      <c r="C52" s="374"/>
      <c r="D52" s="2256" t="s">
        <v>962</v>
      </c>
      <c r="E52" s="385" t="s">
        <v>963</v>
      </c>
      <c r="F52" s="374" t="s">
        <v>288</v>
      </c>
      <c r="G52" s="2254" t="s">
        <v>452</v>
      </c>
      <c r="H52" s="386">
        <v>150000</v>
      </c>
      <c r="I52" s="327" t="s">
        <v>34</v>
      </c>
      <c r="J52" s="327" t="s">
        <v>34</v>
      </c>
      <c r="K52" s="327" t="s">
        <v>34</v>
      </c>
      <c r="L52" s="327" t="s">
        <v>35</v>
      </c>
      <c r="M52" s="327" t="s">
        <v>36</v>
      </c>
      <c r="N52" s="2254" t="s">
        <v>966</v>
      </c>
      <c r="O52" s="2254" t="s">
        <v>967</v>
      </c>
      <c r="P52" s="374"/>
      <c r="Q52" s="374"/>
      <c r="R52" s="374"/>
      <c r="S52" s="2254" t="s">
        <v>966</v>
      </c>
      <c r="T52" s="374"/>
      <c r="U52" s="374"/>
      <c r="V52" s="374">
        <v>118.47</v>
      </c>
      <c r="W52" s="374">
        <v>158.54</v>
      </c>
      <c r="X52" s="374"/>
      <c r="Y52" s="374"/>
      <c r="Z52" s="374"/>
      <c r="AA52" s="374">
        <v>89.69</v>
      </c>
      <c r="AB52" s="374"/>
      <c r="AC52" s="387">
        <v>10.15</v>
      </c>
      <c r="AD52" s="439"/>
      <c r="AE52" s="2284"/>
      <c r="AF52" s="374"/>
      <c r="AG52" s="374"/>
      <c r="AH52" s="374"/>
      <c r="AI52" s="374"/>
      <c r="AJ52" s="374"/>
      <c r="AK52" s="374"/>
      <c r="AL52" s="387"/>
      <c r="AM52" s="383"/>
      <c r="AN52" s="217"/>
      <c r="AO52" s="217"/>
      <c r="AP52" s="217"/>
      <c r="AQ52" s="217"/>
      <c r="AR52" s="217"/>
    </row>
    <row r="53" spans="1:44" ht="15.75" thickBot="1">
      <c r="A53" s="2259"/>
      <c r="B53" s="2255"/>
      <c r="C53" s="377"/>
      <c r="D53" s="2257"/>
      <c r="E53" s="388" t="s">
        <v>964</v>
      </c>
      <c r="F53" s="377" t="s">
        <v>965</v>
      </c>
      <c r="G53" s="2255"/>
      <c r="H53" s="389">
        <v>150000</v>
      </c>
      <c r="I53" s="332" t="s">
        <v>34</v>
      </c>
      <c r="J53" s="332" t="s">
        <v>34</v>
      </c>
      <c r="K53" s="332" t="s">
        <v>34</v>
      </c>
      <c r="L53" s="332" t="s">
        <v>35</v>
      </c>
      <c r="M53" s="332" t="s">
        <v>36</v>
      </c>
      <c r="N53" s="2255"/>
      <c r="O53" s="2255"/>
      <c r="P53" s="377"/>
      <c r="Q53" s="377"/>
      <c r="R53" s="377"/>
      <c r="S53" s="2255"/>
      <c r="T53" s="377"/>
      <c r="U53" s="377"/>
      <c r="V53" s="377">
        <v>151.85</v>
      </c>
      <c r="W53" s="377">
        <v>197.93</v>
      </c>
      <c r="X53" s="377"/>
      <c r="Y53" s="377"/>
      <c r="Z53" s="377"/>
      <c r="AA53" s="377">
        <v>142.78</v>
      </c>
      <c r="AB53" s="377"/>
      <c r="AC53" s="390">
        <v>10.15</v>
      </c>
      <c r="AD53" s="440"/>
      <c r="AE53" s="2285"/>
      <c r="AF53" s="377"/>
      <c r="AG53" s="377"/>
      <c r="AH53" s="377"/>
      <c r="AI53" s="377"/>
      <c r="AJ53" s="377"/>
      <c r="AK53" s="377"/>
      <c r="AL53" s="390"/>
      <c r="AM53" s="383"/>
      <c r="AN53" s="217"/>
      <c r="AO53" s="217"/>
      <c r="AP53" s="217"/>
      <c r="AQ53" s="217"/>
      <c r="AR53" s="217"/>
    </row>
    <row r="54" spans="1:44" ht="15.75" thickBot="1">
      <c r="A54" s="404">
        <v>24</v>
      </c>
      <c r="B54" s="405" t="s">
        <v>495</v>
      </c>
      <c r="C54" s="405"/>
      <c r="D54" s="405" t="s">
        <v>968</v>
      </c>
      <c r="E54" s="406" t="s">
        <v>969</v>
      </c>
      <c r="F54" s="406" t="s">
        <v>970</v>
      </c>
      <c r="G54" s="405" t="s">
        <v>452</v>
      </c>
      <c r="H54" s="407">
        <v>150000</v>
      </c>
      <c r="I54" s="408" t="s">
        <v>34</v>
      </c>
      <c r="J54" s="408" t="s">
        <v>34</v>
      </c>
      <c r="K54" s="408" t="s">
        <v>34</v>
      </c>
      <c r="L54" s="408" t="s">
        <v>35</v>
      </c>
      <c r="M54" s="408" t="s">
        <v>36</v>
      </c>
      <c r="N54" s="406" t="s">
        <v>997</v>
      </c>
      <c r="O54" s="406" t="s">
        <v>1001</v>
      </c>
      <c r="P54" s="406"/>
      <c r="Q54" s="406"/>
      <c r="R54" s="406"/>
      <c r="S54" s="406" t="s">
        <v>997</v>
      </c>
      <c r="T54" s="405"/>
      <c r="U54" s="405"/>
      <c r="V54" s="405">
        <v>1421.38</v>
      </c>
      <c r="W54" s="405">
        <v>2077.77</v>
      </c>
      <c r="X54" s="405"/>
      <c r="Y54" s="405"/>
      <c r="Z54" s="405"/>
      <c r="AA54" s="405">
        <v>871.38</v>
      </c>
      <c r="AB54" s="405">
        <v>193.55</v>
      </c>
      <c r="AC54" s="409">
        <v>82.5</v>
      </c>
      <c r="AD54" s="410">
        <f t="shared" ref="AD54:AD74" si="0">H54*W54</f>
        <v>311665500</v>
      </c>
      <c r="AE54" s="410">
        <f>W54</f>
        <v>2077.77</v>
      </c>
      <c r="AF54" s="380"/>
      <c r="AG54" s="380"/>
      <c r="AH54" s="380"/>
      <c r="AI54" s="380"/>
      <c r="AJ54" s="380"/>
      <c r="AK54" s="380"/>
      <c r="AL54" s="382"/>
      <c r="AM54" s="384"/>
      <c r="AN54" s="16"/>
      <c r="AO54" s="16"/>
      <c r="AP54" s="16"/>
      <c r="AQ54" s="16"/>
      <c r="AR54" s="16"/>
    </row>
    <row r="55" spans="1:44" ht="15.75" thickBot="1">
      <c r="A55" s="404">
        <v>25</v>
      </c>
      <c r="B55" s="405" t="s">
        <v>495</v>
      </c>
      <c r="C55" s="405"/>
      <c r="D55" s="405" t="s">
        <v>971</v>
      </c>
      <c r="E55" s="406" t="s">
        <v>972</v>
      </c>
      <c r="F55" s="406" t="s">
        <v>970</v>
      </c>
      <c r="G55" s="405" t="s">
        <v>452</v>
      </c>
      <c r="H55" s="407">
        <v>150000</v>
      </c>
      <c r="I55" s="408" t="s">
        <v>34</v>
      </c>
      <c r="J55" s="408" t="s">
        <v>34</v>
      </c>
      <c r="K55" s="408" t="s">
        <v>34</v>
      </c>
      <c r="L55" s="408" t="s">
        <v>35</v>
      </c>
      <c r="M55" s="408" t="s">
        <v>36</v>
      </c>
      <c r="N55" s="406" t="s">
        <v>998</v>
      </c>
      <c r="O55" s="406" t="s">
        <v>1001</v>
      </c>
      <c r="P55" s="406"/>
      <c r="Q55" s="406"/>
      <c r="R55" s="406"/>
      <c r="S55" s="406" t="s">
        <v>998</v>
      </c>
      <c r="T55" s="405"/>
      <c r="U55" s="405"/>
      <c r="V55" s="405">
        <v>1538.86</v>
      </c>
      <c r="W55" s="405">
        <v>2264.79</v>
      </c>
      <c r="X55" s="405"/>
      <c r="Y55" s="405"/>
      <c r="Z55" s="405"/>
      <c r="AA55" s="405">
        <v>731.81</v>
      </c>
      <c r="AB55" s="405">
        <v>197.95</v>
      </c>
      <c r="AC55" s="409">
        <v>82.5</v>
      </c>
      <c r="AD55" s="410">
        <f t="shared" si="0"/>
        <v>339718500</v>
      </c>
      <c r="AE55" s="410">
        <f>W55</f>
        <v>2264.79</v>
      </c>
      <c r="AF55" s="380"/>
      <c r="AG55" s="380"/>
      <c r="AH55" s="380"/>
      <c r="AI55" s="380"/>
      <c r="AJ55" s="380"/>
      <c r="AK55" s="380"/>
      <c r="AL55" s="382"/>
      <c r="AM55" s="384"/>
      <c r="AN55" s="16"/>
      <c r="AO55" s="16"/>
      <c r="AP55" s="16"/>
      <c r="AQ55" s="16"/>
      <c r="AR55" s="16"/>
    </row>
    <row r="56" spans="1:44">
      <c r="A56" s="2251">
        <v>26</v>
      </c>
      <c r="B56" s="2260" t="s">
        <v>973</v>
      </c>
      <c r="C56" s="398"/>
      <c r="D56" s="2260" t="s">
        <v>974</v>
      </c>
      <c r="E56" s="396" t="s">
        <v>975</v>
      </c>
      <c r="F56" s="396" t="s">
        <v>978</v>
      </c>
      <c r="G56" s="2260" t="s">
        <v>979</v>
      </c>
      <c r="H56" s="397">
        <v>82022</v>
      </c>
      <c r="I56" s="398" t="s">
        <v>34</v>
      </c>
      <c r="J56" s="398" t="s">
        <v>34</v>
      </c>
      <c r="K56" s="398" t="s">
        <v>34</v>
      </c>
      <c r="L56" s="398" t="s">
        <v>35</v>
      </c>
      <c r="M56" s="398" t="s">
        <v>36</v>
      </c>
      <c r="N56" s="2263" t="s">
        <v>1000</v>
      </c>
      <c r="O56" s="2263" t="s">
        <v>1002</v>
      </c>
      <c r="P56" s="396"/>
      <c r="Q56" s="396"/>
      <c r="R56" s="396"/>
      <c r="S56" s="2263" t="s">
        <v>1000</v>
      </c>
      <c r="T56" s="411"/>
      <c r="U56" s="411"/>
      <c r="V56" s="411">
        <v>252.52728720205445</v>
      </c>
      <c r="W56" s="412">
        <v>384.35810351895867</v>
      </c>
      <c r="X56" s="412"/>
      <c r="Y56" s="412"/>
      <c r="Z56" s="412">
        <v>29.69</v>
      </c>
      <c r="AA56" s="412">
        <v>240.77</v>
      </c>
      <c r="AB56" s="411">
        <v>88.75</v>
      </c>
      <c r="AC56" s="413">
        <v>34.799999999999997</v>
      </c>
      <c r="AD56" s="399">
        <f t="shared" si="0"/>
        <v>31525820.366832029</v>
      </c>
      <c r="AE56" s="485">
        <f>V56</f>
        <v>252.52728720205445</v>
      </c>
      <c r="AF56" s="329"/>
      <c r="AG56" s="329"/>
      <c r="AH56" s="329"/>
      <c r="AI56" s="329"/>
      <c r="AJ56" s="329"/>
      <c r="AK56" s="329"/>
      <c r="AL56" s="375"/>
      <c r="AM56" s="384"/>
      <c r="AN56" s="16"/>
      <c r="AO56" s="16"/>
      <c r="AP56" s="16"/>
      <c r="AQ56" s="16"/>
      <c r="AR56" s="16"/>
    </row>
    <row r="57" spans="1:44">
      <c r="A57" s="2253"/>
      <c r="B57" s="2261"/>
      <c r="C57" s="414"/>
      <c r="D57" s="2261"/>
      <c r="E57" s="415" t="s">
        <v>976</v>
      </c>
      <c r="F57" s="415" t="s">
        <v>978</v>
      </c>
      <c r="G57" s="2261"/>
      <c r="H57" s="416">
        <v>21365</v>
      </c>
      <c r="I57" s="414" t="s">
        <v>34</v>
      </c>
      <c r="J57" s="414" t="s">
        <v>34</v>
      </c>
      <c r="K57" s="414" t="s">
        <v>34</v>
      </c>
      <c r="L57" s="414" t="s">
        <v>35</v>
      </c>
      <c r="M57" s="414" t="s">
        <v>36</v>
      </c>
      <c r="N57" s="2264"/>
      <c r="O57" s="2264"/>
      <c r="P57" s="415"/>
      <c r="Q57" s="415"/>
      <c r="R57" s="415"/>
      <c r="S57" s="2264"/>
      <c r="T57" s="417"/>
      <c r="U57" s="417"/>
      <c r="V57" s="417">
        <v>288.9643578727426</v>
      </c>
      <c r="W57" s="418">
        <v>422.00897166312097</v>
      </c>
      <c r="X57" s="418"/>
      <c r="Y57" s="418"/>
      <c r="Z57" s="418"/>
      <c r="AA57" s="418">
        <v>223.42</v>
      </c>
      <c r="AB57" s="417"/>
      <c r="AC57" s="419"/>
      <c r="AD57" s="420">
        <f t="shared" si="0"/>
        <v>9016221.6795825791</v>
      </c>
      <c r="AE57" s="486"/>
      <c r="AF57" s="16"/>
      <c r="AG57" s="16"/>
      <c r="AH57" s="16"/>
      <c r="AI57" s="16"/>
      <c r="AJ57" s="16"/>
      <c r="AK57" s="16"/>
      <c r="AL57" s="376"/>
      <c r="AM57" s="384"/>
      <c r="AN57" s="16"/>
      <c r="AO57" s="16"/>
      <c r="AP57" s="16"/>
      <c r="AQ57" s="16"/>
      <c r="AR57" s="16"/>
    </row>
    <row r="58" spans="1:44" ht="15.75" thickBot="1">
      <c r="A58" s="2252"/>
      <c r="B58" s="2262"/>
      <c r="C58" s="402"/>
      <c r="D58" s="2262"/>
      <c r="E58" s="400" t="s">
        <v>977</v>
      </c>
      <c r="F58" s="400" t="s">
        <v>978</v>
      </c>
      <c r="G58" s="2262"/>
      <c r="H58" s="401">
        <v>18530</v>
      </c>
      <c r="I58" s="402" t="s">
        <v>34</v>
      </c>
      <c r="J58" s="402" t="s">
        <v>34</v>
      </c>
      <c r="K58" s="402" t="s">
        <v>34</v>
      </c>
      <c r="L58" s="402" t="s">
        <v>35</v>
      </c>
      <c r="M58" s="402" t="s">
        <v>36</v>
      </c>
      <c r="N58" s="2265"/>
      <c r="O58" s="2265"/>
      <c r="P58" s="400"/>
      <c r="Q58" s="400"/>
      <c r="R58" s="400"/>
      <c r="S58" s="2265"/>
      <c r="T58" s="421"/>
      <c r="U58" s="421"/>
      <c r="V58" s="421">
        <v>255.64728720205446</v>
      </c>
      <c r="W58" s="422">
        <v>388.31110351895865</v>
      </c>
      <c r="X58" s="422"/>
      <c r="Y58" s="422"/>
      <c r="Z58" s="422"/>
      <c r="AA58" s="422">
        <v>0</v>
      </c>
      <c r="AB58" s="421"/>
      <c r="AC58" s="423"/>
      <c r="AD58" s="403">
        <f t="shared" si="0"/>
        <v>7195404.7482063035</v>
      </c>
      <c r="AE58" s="487"/>
      <c r="AF58" s="334"/>
      <c r="AG58" s="334"/>
      <c r="AH58" s="334"/>
      <c r="AI58" s="334"/>
      <c r="AJ58" s="334"/>
      <c r="AK58" s="334"/>
      <c r="AL58" s="378"/>
      <c r="AM58" s="384"/>
      <c r="AN58" s="16"/>
      <c r="AO58" s="16"/>
      <c r="AP58" s="16"/>
      <c r="AQ58" s="16"/>
      <c r="AR58" s="16"/>
    </row>
    <row r="59" spans="1:44">
      <c r="A59" s="2251">
        <v>27</v>
      </c>
      <c r="B59" s="2260" t="s">
        <v>973</v>
      </c>
      <c r="C59" s="398"/>
      <c r="D59" s="2260" t="s">
        <v>980</v>
      </c>
      <c r="E59" s="396" t="s">
        <v>981</v>
      </c>
      <c r="F59" s="2263" t="s">
        <v>988</v>
      </c>
      <c r="G59" s="2260" t="s">
        <v>979</v>
      </c>
      <c r="H59" s="397">
        <v>76790</v>
      </c>
      <c r="I59" s="398" t="s">
        <v>34</v>
      </c>
      <c r="J59" s="398" t="s">
        <v>34</v>
      </c>
      <c r="K59" s="398" t="s">
        <v>34</v>
      </c>
      <c r="L59" s="398" t="s">
        <v>35</v>
      </c>
      <c r="M59" s="398" t="s">
        <v>36</v>
      </c>
      <c r="N59" s="2263" t="s">
        <v>999</v>
      </c>
      <c r="O59" s="2263" t="s">
        <v>1003</v>
      </c>
      <c r="P59" s="2263"/>
      <c r="Q59" s="2263"/>
      <c r="R59" s="2263"/>
      <c r="S59" s="2263" t="s">
        <v>999</v>
      </c>
      <c r="T59" s="411"/>
      <c r="U59" s="411"/>
      <c r="V59" s="411">
        <v>484.1025865382399</v>
      </c>
      <c r="W59" s="412">
        <v>706.92881463776678</v>
      </c>
      <c r="X59" s="411"/>
      <c r="Y59" s="411"/>
      <c r="Z59" s="411">
        <v>49.64</v>
      </c>
      <c r="AA59" s="412">
        <v>344.83358777434876</v>
      </c>
      <c r="AB59" s="411">
        <v>118</v>
      </c>
      <c r="AC59" s="413">
        <v>44.79</v>
      </c>
      <c r="AD59" s="399">
        <f t="shared" si="0"/>
        <v>54285063.676034108</v>
      </c>
      <c r="AE59" s="2281">
        <f>SUM(W59:W65)</f>
        <v>5067.2806294027641</v>
      </c>
      <c r="AF59" s="329"/>
      <c r="AG59" s="329"/>
      <c r="AH59" s="329"/>
      <c r="AI59" s="329"/>
      <c r="AJ59" s="329"/>
      <c r="AK59" s="329"/>
      <c r="AL59" s="375"/>
      <c r="AM59" s="384"/>
      <c r="AN59" s="16"/>
      <c r="AO59" s="16"/>
      <c r="AP59" s="16"/>
      <c r="AQ59" s="16"/>
      <c r="AR59" s="16"/>
    </row>
    <row r="60" spans="1:44">
      <c r="A60" s="2253"/>
      <c r="B60" s="2261"/>
      <c r="C60" s="414"/>
      <c r="D60" s="2261"/>
      <c r="E60" s="415" t="s">
        <v>983</v>
      </c>
      <c r="F60" s="2264"/>
      <c r="G60" s="2261"/>
      <c r="H60" s="414">
        <v>16637</v>
      </c>
      <c r="I60" s="414" t="s">
        <v>34</v>
      </c>
      <c r="J60" s="414" t="s">
        <v>34</v>
      </c>
      <c r="K60" s="414" t="s">
        <v>34</v>
      </c>
      <c r="L60" s="414" t="s">
        <v>35</v>
      </c>
      <c r="M60" s="414" t="s">
        <v>36</v>
      </c>
      <c r="N60" s="2264"/>
      <c r="O60" s="2264"/>
      <c r="P60" s="2264"/>
      <c r="Q60" s="2264"/>
      <c r="R60" s="2264"/>
      <c r="S60" s="2264"/>
      <c r="T60" s="417"/>
      <c r="U60" s="417"/>
      <c r="V60" s="417">
        <v>481.58458653823988</v>
      </c>
      <c r="W60" s="418">
        <v>707.49787149063877</v>
      </c>
      <c r="X60" s="417"/>
      <c r="Y60" s="417"/>
      <c r="Z60" s="417"/>
      <c r="AA60" s="418">
        <v>296.65408376142</v>
      </c>
      <c r="AB60" s="417">
        <v>7</v>
      </c>
      <c r="AC60" s="419"/>
      <c r="AD60" s="420">
        <f t="shared" si="0"/>
        <v>11770642.087989757</v>
      </c>
      <c r="AE60" s="2282"/>
      <c r="AF60" s="16"/>
      <c r="AG60" s="16"/>
      <c r="AH60" s="16"/>
      <c r="AI60" s="16"/>
      <c r="AJ60" s="16"/>
      <c r="AK60" s="16"/>
      <c r="AL60" s="376"/>
      <c r="AM60" s="384"/>
      <c r="AN60" s="16"/>
      <c r="AO60" s="16"/>
      <c r="AP60" s="16"/>
      <c r="AQ60" s="16"/>
      <c r="AR60" s="16"/>
    </row>
    <row r="61" spans="1:44">
      <c r="A61" s="2253"/>
      <c r="B61" s="2261"/>
      <c r="C61" s="414"/>
      <c r="D61" s="2261"/>
      <c r="E61" s="415" t="s">
        <v>984</v>
      </c>
      <c r="F61" s="2264"/>
      <c r="G61" s="2261"/>
      <c r="H61" s="414">
        <v>16670</v>
      </c>
      <c r="I61" s="414" t="s">
        <v>34</v>
      </c>
      <c r="J61" s="414" t="s">
        <v>34</v>
      </c>
      <c r="K61" s="414" t="s">
        <v>34</v>
      </c>
      <c r="L61" s="414" t="s">
        <v>35</v>
      </c>
      <c r="M61" s="414" t="s">
        <v>36</v>
      </c>
      <c r="N61" s="2264"/>
      <c r="O61" s="2264"/>
      <c r="P61" s="2264"/>
      <c r="Q61" s="2264"/>
      <c r="R61" s="2264"/>
      <c r="S61" s="2264"/>
      <c r="T61" s="417"/>
      <c r="U61" s="417"/>
      <c r="V61" s="417">
        <v>489.39734508823989</v>
      </c>
      <c r="W61" s="418">
        <v>740.43685467800913</v>
      </c>
      <c r="X61" s="417"/>
      <c r="Y61" s="417"/>
      <c r="Z61" s="417"/>
      <c r="AA61" s="418">
        <v>3.2926085217506245</v>
      </c>
      <c r="AB61" s="417">
        <v>1</v>
      </c>
      <c r="AC61" s="419"/>
      <c r="AD61" s="420">
        <f t="shared" si="0"/>
        <v>12343082.367482413</v>
      </c>
      <c r="AE61" s="2282"/>
      <c r="AF61" s="16"/>
      <c r="AG61" s="16"/>
      <c r="AH61" s="16"/>
      <c r="AI61" s="16"/>
      <c r="AJ61" s="16"/>
      <c r="AK61" s="16"/>
      <c r="AL61" s="376"/>
      <c r="AM61" s="384"/>
      <c r="AN61" s="16"/>
      <c r="AO61" s="16"/>
      <c r="AP61" s="16"/>
      <c r="AQ61" s="16"/>
      <c r="AR61" s="16"/>
    </row>
    <row r="62" spans="1:44">
      <c r="A62" s="2253"/>
      <c r="B62" s="2261"/>
      <c r="C62" s="414"/>
      <c r="D62" s="2261"/>
      <c r="E62" s="415" t="s">
        <v>985</v>
      </c>
      <c r="F62" s="2264"/>
      <c r="G62" s="2261"/>
      <c r="H62" s="416">
        <v>4728</v>
      </c>
      <c r="I62" s="414" t="s">
        <v>34</v>
      </c>
      <c r="J62" s="414" t="s">
        <v>34</v>
      </c>
      <c r="K62" s="414" t="s">
        <v>34</v>
      </c>
      <c r="L62" s="414" t="s">
        <v>35</v>
      </c>
      <c r="M62" s="414" t="s">
        <v>36</v>
      </c>
      <c r="N62" s="2264"/>
      <c r="O62" s="2264"/>
      <c r="P62" s="2264"/>
      <c r="Q62" s="2264"/>
      <c r="R62" s="2264"/>
      <c r="S62" s="2264"/>
      <c r="T62" s="417"/>
      <c r="U62" s="417"/>
      <c r="V62" s="417">
        <v>481.58458653823988</v>
      </c>
      <c r="W62" s="418">
        <v>707.49089649063876</v>
      </c>
      <c r="X62" s="417"/>
      <c r="Y62" s="417"/>
      <c r="Z62" s="417"/>
      <c r="AA62" s="418">
        <v>0</v>
      </c>
      <c r="AB62" s="417"/>
      <c r="AC62" s="419"/>
      <c r="AD62" s="420">
        <f t="shared" si="0"/>
        <v>3345016.9586077402</v>
      </c>
      <c r="AE62" s="2282"/>
      <c r="AF62" s="16"/>
      <c r="AG62" s="16"/>
      <c r="AH62" s="16"/>
      <c r="AI62" s="16"/>
      <c r="AJ62" s="16"/>
      <c r="AK62" s="16"/>
      <c r="AL62" s="376"/>
      <c r="AM62" s="384"/>
      <c r="AN62" s="16"/>
      <c r="AO62" s="16"/>
      <c r="AP62" s="16"/>
      <c r="AQ62" s="16"/>
      <c r="AR62" s="16"/>
    </row>
    <row r="63" spans="1:44">
      <c r="A63" s="2253"/>
      <c r="B63" s="2261"/>
      <c r="C63" s="414"/>
      <c r="D63" s="2261"/>
      <c r="E63" s="415" t="s">
        <v>986</v>
      </c>
      <c r="F63" s="2264"/>
      <c r="G63" s="2261"/>
      <c r="H63" s="416">
        <v>3740</v>
      </c>
      <c r="I63" s="414" t="s">
        <v>34</v>
      </c>
      <c r="J63" s="414" t="s">
        <v>34</v>
      </c>
      <c r="K63" s="414" t="s">
        <v>34</v>
      </c>
      <c r="L63" s="414" t="s">
        <v>35</v>
      </c>
      <c r="M63" s="414" t="s">
        <v>36</v>
      </c>
      <c r="N63" s="2264"/>
      <c r="O63" s="2264"/>
      <c r="P63" s="2264"/>
      <c r="Q63" s="2264"/>
      <c r="R63" s="2264"/>
      <c r="S63" s="2264"/>
      <c r="T63" s="417"/>
      <c r="U63" s="417"/>
      <c r="V63" s="417">
        <v>499.8955461910399</v>
      </c>
      <c r="W63" s="418">
        <v>733.01936034891116</v>
      </c>
      <c r="X63" s="417"/>
      <c r="Y63" s="417"/>
      <c r="Z63" s="417"/>
      <c r="AA63" s="418">
        <v>11.923263586080003</v>
      </c>
      <c r="AB63" s="417">
        <v>1.5</v>
      </c>
      <c r="AC63" s="419"/>
      <c r="AD63" s="420">
        <f t="shared" si="0"/>
        <v>2741492.407704928</v>
      </c>
      <c r="AE63" s="2282"/>
      <c r="AF63" s="16"/>
      <c r="AG63" s="16"/>
      <c r="AH63" s="16"/>
      <c r="AI63" s="16"/>
      <c r="AJ63" s="16"/>
      <c r="AK63" s="16"/>
      <c r="AL63" s="376"/>
      <c r="AM63" s="384"/>
      <c r="AN63" s="16"/>
      <c r="AO63" s="16"/>
      <c r="AP63" s="16"/>
      <c r="AQ63" s="16"/>
      <c r="AR63" s="16"/>
    </row>
    <row r="64" spans="1:44">
      <c r="A64" s="2253"/>
      <c r="B64" s="2261"/>
      <c r="C64" s="414"/>
      <c r="D64" s="2261"/>
      <c r="E64" s="415" t="s">
        <v>987</v>
      </c>
      <c r="F64" s="2264"/>
      <c r="G64" s="2261"/>
      <c r="H64" s="416">
        <v>1492</v>
      </c>
      <c r="I64" s="414" t="s">
        <v>34</v>
      </c>
      <c r="J64" s="414" t="s">
        <v>34</v>
      </c>
      <c r="K64" s="414" t="s">
        <v>34</v>
      </c>
      <c r="L64" s="414" t="s">
        <v>35</v>
      </c>
      <c r="M64" s="414" t="s">
        <v>36</v>
      </c>
      <c r="N64" s="2264"/>
      <c r="O64" s="2264"/>
      <c r="P64" s="2264"/>
      <c r="Q64" s="2264"/>
      <c r="R64" s="2264"/>
      <c r="S64" s="2264"/>
      <c r="T64" s="417"/>
      <c r="U64" s="417"/>
      <c r="V64" s="417">
        <v>484.1025865382399</v>
      </c>
      <c r="W64" s="418">
        <v>716.71931463776673</v>
      </c>
      <c r="X64" s="417"/>
      <c r="Y64" s="417"/>
      <c r="Z64" s="417"/>
      <c r="AA64" s="418">
        <v>0</v>
      </c>
      <c r="AB64" s="417"/>
      <c r="AC64" s="419"/>
      <c r="AD64" s="420">
        <f t="shared" si="0"/>
        <v>1069345.2174395479</v>
      </c>
      <c r="AE64" s="2282"/>
      <c r="AF64" s="16"/>
      <c r="AG64" s="16"/>
      <c r="AH64" s="16"/>
      <c r="AI64" s="16"/>
      <c r="AJ64" s="16"/>
      <c r="AK64" s="16"/>
      <c r="AL64" s="376"/>
      <c r="AM64" s="384"/>
      <c r="AN64" s="16"/>
      <c r="AO64" s="16"/>
      <c r="AP64" s="16"/>
      <c r="AQ64" s="16"/>
      <c r="AR64" s="16"/>
    </row>
    <row r="65" spans="1:44" ht="15.75" thickBot="1">
      <c r="A65" s="2252"/>
      <c r="B65" s="2262"/>
      <c r="C65" s="402"/>
      <c r="D65" s="2262"/>
      <c r="E65" s="400" t="s">
        <v>982</v>
      </c>
      <c r="F65" s="2265"/>
      <c r="G65" s="2262"/>
      <c r="H65" s="401">
        <v>1860</v>
      </c>
      <c r="I65" s="402" t="s">
        <v>34</v>
      </c>
      <c r="J65" s="402" t="s">
        <v>34</v>
      </c>
      <c r="K65" s="402" t="s">
        <v>34</v>
      </c>
      <c r="L65" s="402" t="s">
        <v>35</v>
      </c>
      <c r="M65" s="402" t="s">
        <v>36</v>
      </c>
      <c r="N65" s="2265"/>
      <c r="O65" s="2265"/>
      <c r="P65" s="2265"/>
      <c r="Q65" s="2265"/>
      <c r="R65" s="2265"/>
      <c r="S65" s="2265"/>
      <c r="T65" s="421"/>
      <c r="U65" s="421"/>
      <c r="V65" s="421">
        <v>502.79397546603991</v>
      </c>
      <c r="W65" s="422">
        <v>755.18751711903224</v>
      </c>
      <c r="X65" s="421"/>
      <c r="Y65" s="421"/>
      <c r="Z65" s="421"/>
      <c r="AA65" s="422">
        <v>0</v>
      </c>
      <c r="AB65" s="421"/>
      <c r="AC65" s="423"/>
      <c r="AD65" s="403">
        <f t="shared" si="0"/>
        <v>1404648.7818413998</v>
      </c>
      <c r="AE65" s="2283"/>
      <c r="AF65" s="334"/>
      <c r="AG65" s="334"/>
      <c r="AH65" s="334"/>
      <c r="AI65" s="334"/>
      <c r="AJ65" s="334"/>
      <c r="AK65" s="334"/>
      <c r="AL65" s="378"/>
      <c r="AM65" s="384"/>
      <c r="AN65" s="16"/>
      <c r="AO65" s="16"/>
      <c r="AP65" s="16"/>
      <c r="AQ65" s="16"/>
      <c r="AR65" s="16"/>
    </row>
    <row r="66" spans="1:44">
      <c r="A66" s="2251">
        <v>28</v>
      </c>
      <c r="B66" s="2260" t="s">
        <v>973</v>
      </c>
      <c r="C66" s="398"/>
      <c r="D66" s="2260" t="s">
        <v>989</v>
      </c>
      <c r="E66" s="396" t="s">
        <v>990</v>
      </c>
      <c r="F66" s="398" t="s">
        <v>225</v>
      </c>
      <c r="G66" s="2260" t="s">
        <v>979</v>
      </c>
      <c r="H66" s="397">
        <v>6306</v>
      </c>
      <c r="I66" s="398" t="s">
        <v>34</v>
      </c>
      <c r="J66" s="398" t="s">
        <v>34</v>
      </c>
      <c r="K66" s="398" t="s">
        <v>34</v>
      </c>
      <c r="L66" s="398" t="s">
        <v>35</v>
      </c>
      <c r="M66" s="398" t="s">
        <v>36</v>
      </c>
      <c r="N66" s="2260" t="s">
        <v>999</v>
      </c>
      <c r="O66" s="2260" t="s">
        <v>1003</v>
      </c>
      <c r="P66" s="398"/>
      <c r="Q66" s="398"/>
      <c r="R66" s="398"/>
      <c r="S66" s="2260" t="s">
        <v>999</v>
      </c>
      <c r="T66" s="411"/>
      <c r="U66" s="411"/>
      <c r="V66" s="411">
        <v>902.35599855312228</v>
      </c>
      <c r="W66" s="412">
        <v>1499.3469949282171</v>
      </c>
      <c r="X66" s="411"/>
      <c r="Y66" s="411"/>
      <c r="Z66" s="411">
        <v>126.34</v>
      </c>
      <c r="AA66" s="411">
        <v>597.70000000000005</v>
      </c>
      <c r="AB66" s="411">
        <v>93.8</v>
      </c>
      <c r="AC66" s="413">
        <v>43.67</v>
      </c>
      <c r="AD66" s="399">
        <f t="shared" si="0"/>
        <v>9454882.1500173379</v>
      </c>
      <c r="AE66" s="2281">
        <f>W66+W67</f>
        <v>2980.6551780244858</v>
      </c>
      <c r="AF66" s="329"/>
      <c r="AG66" s="329"/>
      <c r="AH66" s="329"/>
      <c r="AI66" s="329"/>
      <c r="AJ66" s="329"/>
      <c r="AK66" s="329"/>
      <c r="AL66" s="375"/>
      <c r="AM66" s="384"/>
      <c r="AN66" s="16"/>
      <c r="AO66" s="16"/>
      <c r="AP66" s="16"/>
      <c r="AQ66" s="16"/>
      <c r="AR66" s="16"/>
    </row>
    <row r="67" spans="1:44" ht="15.75" thickBot="1">
      <c r="A67" s="2252"/>
      <c r="B67" s="2262"/>
      <c r="C67" s="402"/>
      <c r="D67" s="2262"/>
      <c r="E67" s="400" t="s">
        <v>991</v>
      </c>
      <c r="F67" s="402" t="s">
        <v>225</v>
      </c>
      <c r="G67" s="2262"/>
      <c r="H67" s="401">
        <v>15059</v>
      </c>
      <c r="I67" s="402" t="s">
        <v>34</v>
      </c>
      <c r="J67" s="402" t="s">
        <v>34</v>
      </c>
      <c r="K67" s="402" t="s">
        <v>34</v>
      </c>
      <c r="L67" s="402" t="s">
        <v>35</v>
      </c>
      <c r="M67" s="402" t="s">
        <v>36</v>
      </c>
      <c r="N67" s="2262"/>
      <c r="O67" s="2262"/>
      <c r="P67" s="402"/>
      <c r="Q67" s="402"/>
      <c r="R67" s="402"/>
      <c r="S67" s="2262"/>
      <c r="T67" s="421"/>
      <c r="U67" s="421"/>
      <c r="V67" s="421">
        <v>897.69555051312227</v>
      </c>
      <c r="W67" s="422">
        <v>1481.3081830962687</v>
      </c>
      <c r="X67" s="421"/>
      <c r="Y67" s="421"/>
      <c r="Z67" s="421"/>
      <c r="AA67" s="421"/>
      <c r="AB67" s="421"/>
      <c r="AC67" s="423"/>
      <c r="AD67" s="403">
        <f t="shared" si="0"/>
        <v>22307019.929246712</v>
      </c>
      <c r="AE67" s="2283"/>
      <c r="AF67" s="334"/>
      <c r="AG67" s="334"/>
      <c r="AH67" s="334"/>
      <c r="AI67" s="334"/>
      <c r="AJ67" s="334"/>
      <c r="AK67" s="334"/>
      <c r="AL67" s="378"/>
      <c r="AM67" s="384"/>
      <c r="AN67" s="16"/>
      <c r="AO67" s="16"/>
      <c r="AP67" s="16"/>
      <c r="AQ67" s="16"/>
      <c r="AR67" s="16"/>
    </row>
    <row r="68" spans="1:44">
      <c r="A68" s="2251">
        <v>29</v>
      </c>
      <c r="B68" s="2260" t="s">
        <v>495</v>
      </c>
      <c r="C68" s="398"/>
      <c r="D68" s="2260" t="s">
        <v>992</v>
      </c>
      <c r="E68" s="396" t="s">
        <v>994</v>
      </c>
      <c r="F68" s="398" t="s">
        <v>1017</v>
      </c>
      <c r="G68" s="2260" t="s">
        <v>996</v>
      </c>
      <c r="H68" s="397">
        <v>82500</v>
      </c>
      <c r="I68" s="398" t="s">
        <v>34</v>
      </c>
      <c r="J68" s="398" t="s">
        <v>34</v>
      </c>
      <c r="K68" s="398" t="s">
        <v>34</v>
      </c>
      <c r="L68" s="398" t="s">
        <v>35</v>
      </c>
      <c r="M68" s="398" t="s">
        <v>36</v>
      </c>
      <c r="N68" s="2260" t="s">
        <v>999</v>
      </c>
      <c r="O68" s="2260" t="s">
        <v>1001</v>
      </c>
      <c r="P68" s="398"/>
      <c r="Q68" s="398"/>
      <c r="R68" s="398"/>
      <c r="S68" s="2260" t="s">
        <v>999</v>
      </c>
      <c r="T68" s="411"/>
      <c r="U68" s="411"/>
      <c r="V68" s="424">
        <v>141.87598190942398</v>
      </c>
      <c r="W68" s="424">
        <v>230.23395672038026</v>
      </c>
      <c r="X68" s="424"/>
      <c r="Y68" s="424"/>
      <c r="Z68" s="424"/>
      <c r="AA68" s="424">
        <v>102.19321030842002</v>
      </c>
      <c r="AB68" s="424">
        <v>33.5</v>
      </c>
      <c r="AC68" s="425">
        <v>17.809125000000002</v>
      </c>
      <c r="AD68" s="399">
        <f t="shared" si="0"/>
        <v>18994301.429431371</v>
      </c>
      <c r="AE68" s="2281">
        <f>SUM(W68:W70)</f>
        <v>790.26107942699832</v>
      </c>
      <c r="AF68" s="391"/>
      <c r="AG68" s="391"/>
      <c r="AH68" s="391"/>
      <c r="AI68" s="391"/>
      <c r="AJ68" s="391"/>
      <c r="AK68" s="329"/>
      <c r="AL68" s="375"/>
      <c r="AM68" s="384"/>
      <c r="AN68" s="16"/>
      <c r="AO68" s="16"/>
      <c r="AP68" s="16"/>
      <c r="AQ68" s="16"/>
      <c r="AR68" s="16"/>
    </row>
    <row r="69" spans="1:44">
      <c r="A69" s="2253"/>
      <c r="B69" s="2261"/>
      <c r="C69" s="414"/>
      <c r="D69" s="2261"/>
      <c r="E69" s="415" t="s">
        <v>995</v>
      </c>
      <c r="F69" s="414" t="s">
        <v>1018</v>
      </c>
      <c r="G69" s="2261"/>
      <c r="H69" s="416">
        <v>150000</v>
      </c>
      <c r="I69" s="414" t="s">
        <v>34</v>
      </c>
      <c r="J69" s="414" t="s">
        <v>34</v>
      </c>
      <c r="K69" s="414" t="s">
        <v>34</v>
      </c>
      <c r="L69" s="414" t="s">
        <v>35</v>
      </c>
      <c r="M69" s="414" t="s">
        <v>36</v>
      </c>
      <c r="N69" s="2261"/>
      <c r="O69" s="2261"/>
      <c r="P69" s="414"/>
      <c r="Q69" s="414"/>
      <c r="R69" s="414"/>
      <c r="S69" s="2261"/>
      <c r="T69" s="417"/>
      <c r="U69" s="417"/>
      <c r="V69" s="426">
        <v>180.79477642282399</v>
      </c>
      <c r="W69" s="426">
        <v>317.99818740874031</v>
      </c>
      <c r="X69" s="426"/>
      <c r="Y69" s="426"/>
      <c r="Z69" s="426"/>
      <c r="AA69" s="426">
        <v>204.12606992691374</v>
      </c>
      <c r="AB69" s="426">
        <v>35</v>
      </c>
      <c r="AC69" s="427">
        <v>17.809125000000002</v>
      </c>
      <c r="AD69" s="420">
        <f t="shared" si="0"/>
        <v>47699728.111311048</v>
      </c>
      <c r="AE69" s="2282"/>
      <c r="AF69" s="69"/>
      <c r="AG69" s="69"/>
      <c r="AH69" s="69"/>
      <c r="AI69" s="69"/>
      <c r="AJ69" s="69"/>
      <c r="AK69" s="16"/>
      <c r="AL69" s="376"/>
      <c r="AM69" s="384"/>
      <c r="AN69" s="16"/>
      <c r="AO69" s="16"/>
      <c r="AP69" s="16"/>
      <c r="AQ69" s="16"/>
      <c r="AR69" s="16"/>
    </row>
    <row r="70" spans="1:44" ht="15.75" thickBot="1">
      <c r="A70" s="2252"/>
      <c r="B70" s="2262"/>
      <c r="C70" s="402"/>
      <c r="D70" s="2262"/>
      <c r="E70" s="400" t="s">
        <v>993</v>
      </c>
      <c r="F70" s="402" t="s">
        <v>1018</v>
      </c>
      <c r="G70" s="2262"/>
      <c r="H70" s="401">
        <v>67500</v>
      </c>
      <c r="I70" s="402" t="s">
        <v>34</v>
      </c>
      <c r="J70" s="402" t="s">
        <v>34</v>
      </c>
      <c r="K70" s="402" t="s">
        <v>34</v>
      </c>
      <c r="L70" s="402" t="s">
        <v>35</v>
      </c>
      <c r="M70" s="402" t="s">
        <v>36</v>
      </c>
      <c r="N70" s="2262"/>
      <c r="O70" s="2262"/>
      <c r="P70" s="402"/>
      <c r="Q70" s="402"/>
      <c r="R70" s="402"/>
      <c r="S70" s="2262"/>
      <c r="T70" s="421"/>
      <c r="U70" s="421"/>
      <c r="V70" s="428">
        <v>149.01791863442398</v>
      </c>
      <c r="W70" s="428">
        <v>242.02893529787775</v>
      </c>
      <c r="X70" s="428"/>
      <c r="Y70" s="428"/>
      <c r="Z70" s="428"/>
      <c r="AA70" s="428"/>
      <c r="AB70" s="428"/>
      <c r="AC70" s="429"/>
      <c r="AD70" s="403">
        <f t="shared" si="0"/>
        <v>16336953.132606748</v>
      </c>
      <c r="AE70" s="2283"/>
      <c r="AF70" s="392"/>
      <c r="AG70" s="392"/>
      <c r="AH70" s="392"/>
      <c r="AI70" s="392"/>
      <c r="AJ70" s="392"/>
      <c r="AK70" s="334"/>
      <c r="AL70" s="378"/>
      <c r="AM70" s="384"/>
      <c r="AN70" s="16"/>
      <c r="AO70" s="16"/>
      <c r="AP70" s="16"/>
      <c r="AQ70" s="16"/>
      <c r="AR70" s="16"/>
    </row>
    <row r="71" spans="1:44" ht="15.75" thickBot="1">
      <c r="A71" s="430">
        <v>30</v>
      </c>
      <c r="B71" s="431" t="s">
        <v>973</v>
      </c>
      <c r="C71" s="431"/>
      <c r="D71" s="431" t="s">
        <v>1008</v>
      </c>
      <c r="E71" s="431" t="s">
        <v>1009</v>
      </c>
      <c r="F71" s="431" t="s">
        <v>1011</v>
      </c>
      <c r="G71" s="431" t="s">
        <v>979</v>
      </c>
      <c r="H71" s="431">
        <v>6220</v>
      </c>
      <c r="I71" s="431" t="s">
        <v>34</v>
      </c>
      <c r="J71" s="431" t="s">
        <v>34</v>
      </c>
      <c r="K71" s="431" t="s">
        <v>34</v>
      </c>
      <c r="L71" s="431" t="s">
        <v>35</v>
      </c>
      <c r="M71" s="431" t="s">
        <v>36</v>
      </c>
      <c r="N71" s="431" t="s">
        <v>1013</v>
      </c>
      <c r="O71" s="431" t="s">
        <v>1014</v>
      </c>
      <c r="P71" s="431"/>
      <c r="Q71" s="431"/>
      <c r="R71" s="431"/>
      <c r="S71" s="431" t="s">
        <v>1013</v>
      </c>
      <c r="T71" s="432"/>
      <c r="U71" s="432"/>
      <c r="V71" s="433">
        <v>536.99</v>
      </c>
      <c r="W71" s="433">
        <v>1065.6400000000001</v>
      </c>
      <c r="X71" s="433"/>
      <c r="Y71" s="433"/>
      <c r="Z71" s="433">
        <v>111.07</v>
      </c>
      <c r="AA71" s="433">
        <v>329.8</v>
      </c>
      <c r="AB71" s="433">
        <v>38.200000000000003</v>
      </c>
      <c r="AC71" s="434">
        <v>33.89</v>
      </c>
      <c r="AD71" s="435">
        <f t="shared" si="0"/>
        <v>6628280.8000000007</v>
      </c>
      <c r="AE71" s="435">
        <f>W71*H71</f>
        <v>6628280.8000000007</v>
      </c>
      <c r="AF71" s="393"/>
      <c r="AG71" s="393"/>
      <c r="AH71" s="393"/>
      <c r="AI71" s="393"/>
      <c r="AJ71" s="393"/>
      <c r="AK71" s="379"/>
      <c r="AL71" s="379"/>
      <c r="AM71" s="16"/>
      <c r="AN71" s="16"/>
      <c r="AO71" s="16"/>
      <c r="AP71" s="16"/>
      <c r="AQ71" s="16"/>
      <c r="AR71" s="16"/>
    </row>
    <row r="72" spans="1:44" ht="15.75" thickBot="1">
      <c r="A72" s="436">
        <v>31</v>
      </c>
      <c r="B72" s="408" t="s">
        <v>495</v>
      </c>
      <c r="C72" s="408"/>
      <c r="D72" s="408" t="s">
        <v>1022</v>
      </c>
      <c r="E72" s="408" t="s">
        <v>1020</v>
      </c>
      <c r="F72" s="408" t="s">
        <v>1019</v>
      </c>
      <c r="G72" s="408" t="s">
        <v>452</v>
      </c>
      <c r="H72" s="408">
        <v>67500</v>
      </c>
      <c r="I72" s="408" t="s">
        <v>34</v>
      </c>
      <c r="J72" s="408" t="s">
        <v>34</v>
      </c>
      <c r="K72" s="408" t="s">
        <v>34</v>
      </c>
      <c r="L72" s="408" t="s">
        <v>35</v>
      </c>
      <c r="M72" s="408" t="s">
        <v>36</v>
      </c>
      <c r="N72" s="408" t="s">
        <v>1021</v>
      </c>
      <c r="O72" s="408" t="s">
        <v>1001</v>
      </c>
      <c r="P72" s="408"/>
      <c r="Q72" s="408"/>
      <c r="R72" s="408"/>
      <c r="S72" s="408" t="s">
        <v>1021</v>
      </c>
      <c r="T72" s="405"/>
      <c r="U72" s="405"/>
      <c r="V72" s="437">
        <v>38.380000000000003</v>
      </c>
      <c r="W72" s="437">
        <v>65.17</v>
      </c>
      <c r="X72" s="437"/>
      <c r="Y72" s="437"/>
      <c r="Z72" s="437"/>
      <c r="AA72" s="437">
        <v>43.47</v>
      </c>
      <c r="AB72" s="437">
        <v>1.5</v>
      </c>
      <c r="AC72" s="438">
        <v>11.07</v>
      </c>
      <c r="AD72" s="410">
        <f t="shared" si="0"/>
        <v>4398975</v>
      </c>
      <c r="AE72" s="410">
        <f t="shared" ref="AE72:AE74" si="1">W72</f>
        <v>65.17</v>
      </c>
      <c r="AF72" s="381"/>
      <c r="AG72" s="381"/>
      <c r="AH72" s="381"/>
      <c r="AI72" s="381"/>
      <c r="AJ72" s="381"/>
      <c r="AK72" s="380"/>
      <c r="AL72" s="382"/>
      <c r="AM72" s="384"/>
      <c r="AN72" s="16"/>
      <c r="AO72" s="16"/>
      <c r="AP72" s="16"/>
      <c r="AQ72" s="16"/>
      <c r="AR72" s="16"/>
    </row>
    <row r="73" spans="1:44" ht="15.75" thickBot="1">
      <c r="A73" s="436">
        <v>32</v>
      </c>
      <c r="B73" s="408" t="s">
        <v>495</v>
      </c>
      <c r="C73" s="408"/>
      <c r="D73" s="408" t="s">
        <v>1023</v>
      </c>
      <c r="E73" s="408" t="s">
        <v>1025</v>
      </c>
      <c r="F73" s="408" t="s">
        <v>1027</v>
      </c>
      <c r="G73" s="408" t="str">
        <f>G72</f>
        <v>ANKIT GUPTA</v>
      </c>
      <c r="H73" s="408">
        <v>150000</v>
      </c>
      <c r="I73" s="408" t="s">
        <v>34</v>
      </c>
      <c r="J73" s="408" t="s">
        <v>34</v>
      </c>
      <c r="K73" s="408" t="s">
        <v>34</v>
      </c>
      <c r="L73" s="408" t="s">
        <v>35</v>
      </c>
      <c r="M73" s="408" t="s">
        <v>36</v>
      </c>
      <c r="N73" s="408" t="s">
        <v>1029</v>
      </c>
      <c r="O73" s="408" t="str">
        <f>O72</f>
        <v>05.04.2020</v>
      </c>
      <c r="P73" s="408"/>
      <c r="Q73" s="408"/>
      <c r="R73" s="408"/>
      <c r="S73" s="408" t="str">
        <f>N73</f>
        <v>06.03.2020</v>
      </c>
      <c r="T73" s="405"/>
      <c r="U73" s="405"/>
      <c r="V73" s="437">
        <v>276.06503246440002</v>
      </c>
      <c r="W73" s="437">
        <v>389.41159860240117</v>
      </c>
      <c r="X73" s="437"/>
      <c r="Y73" s="437"/>
      <c r="Z73" s="437"/>
      <c r="AA73" s="437">
        <v>59.596590343079995</v>
      </c>
      <c r="AB73" s="437">
        <v>23.5</v>
      </c>
      <c r="AC73" s="438">
        <v>12.36</v>
      </c>
      <c r="AD73" s="410">
        <f t="shared" si="0"/>
        <v>58411739.790360175</v>
      </c>
      <c r="AE73" s="410">
        <f t="shared" si="1"/>
        <v>389.41159860240117</v>
      </c>
      <c r="AF73" s="381"/>
      <c r="AG73" s="381"/>
      <c r="AH73" s="381"/>
      <c r="AI73" s="381"/>
      <c r="AJ73" s="381"/>
      <c r="AK73" s="380"/>
      <c r="AL73" s="382"/>
      <c r="AM73" s="384"/>
      <c r="AN73" s="16"/>
      <c r="AO73" s="16"/>
      <c r="AP73" s="16"/>
      <c r="AQ73" s="16"/>
      <c r="AR73" s="16"/>
    </row>
    <row r="74" spans="1:44">
      <c r="A74" s="430">
        <v>33</v>
      </c>
      <c r="B74" s="431" t="s">
        <v>495</v>
      </c>
      <c r="C74" s="431"/>
      <c r="D74" s="431" t="s">
        <v>1024</v>
      </c>
      <c r="E74" s="431" t="s">
        <v>1026</v>
      </c>
      <c r="F74" s="431" t="s">
        <v>1028</v>
      </c>
      <c r="G74" s="431" t="str">
        <f>G72</f>
        <v>ANKIT GUPTA</v>
      </c>
      <c r="H74" s="431">
        <v>150000</v>
      </c>
      <c r="I74" s="431" t="s">
        <v>34</v>
      </c>
      <c r="J74" s="431" t="s">
        <v>34</v>
      </c>
      <c r="K74" s="431" t="s">
        <v>34</v>
      </c>
      <c r="L74" s="431" t="s">
        <v>35</v>
      </c>
      <c r="M74" s="431" t="s">
        <v>36</v>
      </c>
      <c r="N74" s="431" t="str">
        <f>N73</f>
        <v>06.03.2020</v>
      </c>
      <c r="O74" s="431" t="str">
        <f>O73</f>
        <v>05.04.2020</v>
      </c>
      <c r="P74" s="431"/>
      <c r="Q74" s="431"/>
      <c r="R74" s="431"/>
      <c r="S74" s="431" t="str">
        <f>S73</f>
        <v>06.03.2020</v>
      </c>
      <c r="T74" s="432"/>
      <c r="U74" s="432"/>
      <c r="V74" s="433">
        <v>276.06503246440002</v>
      </c>
      <c r="W74" s="433">
        <v>389.41159860240117</v>
      </c>
      <c r="X74" s="433"/>
      <c r="Y74" s="433"/>
      <c r="Z74" s="433"/>
      <c r="AA74" s="433">
        <v>59.596590343079995</v>
      </c>
      <c r="AB74" s="433">
        <v>23.5</v>
      </c>
      <c r="AC74" s="434">
        <v>12.36</v>
      </c>
      <c r="AD74" s="435">
        <f t="shared" si="0"/>
        <v>58411739.790360175</v>
      </c>
      <c r="AE74" s="435">
        <f t="shared" si="1"/>
        <v>389.41159860240117</v>
      </c>
      <c r="AF74" s="393"/>
      <c r="AG74" s="393"/>
      <c r="AH74" s="393"/>
      <c r="AI74" s="393"/>
      <c r="AJ74" s="393"/>
      <c r="AK74" s="379"/>
      <c r="AL74" s="379"/>
      <c r="AM74" s="16"/>
      <c r="AN74" s="16"/>
      <c r="AO74" s="16"/>
      <c r="AP74" s="16"/>
      <c r="AQ74" s="16"/>
      <c r="AR74" s="16"/>
    </row>
    <row r="75" spans="1:44">
      <c r="A75" s="15"/>
    </row>
  </sheetData>
  <autoFilter ref="A1:AR75">
    <filterColumn colId="22" showButton="0"/>
    <filterColumn colId="23" showButton="0"/>
    <filterColumn colId="24" showButton="0"/>
    <filterColumn colId="25" showButton="0"/>
    <filterColumn colId="26" showButton="0"/>
    <filterColumn colId="27" showButton="0"/>
    <filterColumn colId="32" showButton="0"/>
    <filterColumn colId="33" showButton="0"/>
    <filterColumn colId="34" showButton="0"/>
    <filterColumn colId="35" showButton="0"/>
  </autoFilter>
  <mergeCells count="219">
    <mergeCell ref="AE52:AE53"/>
    <mergeCell ref="P59:P65"/>
    <mergeCell ref="Q59:Q65"/>
    <mergeCell ref="R59:R65"/>
    <mergeCell ref="S59:S65"/>
    <mergeCell ref="S52:S53"/>
    <mergeCell ref="N56:N58"/>
    <mergeCell ref="O56:O58"/>
    <mergeCell ref="S56:S58"/>
    <mergeCell ref="N52:N53"/>
    <mergeCell ref="O52:O53"/>
    <mergeCell ref="S66:S67"/>
    <mergeCell ref="S68:S70"/>
    <mergeCell ref="AE59:AE65"/>
    <mergeCell ref="AE66:AE67"/>
    <mergeCell ref="AE68:AE70"/>
    <mergeCell ref="N59:N65"/>
    <mergeCell ref="O59:O65"/>
    <mergeCell ref="D68:D70"/>
    <mergeCell ref="N68:N70"/>
    <mergeCell ref="O68:O70"/>
    <mergeCell ref="N66:N67"/>
    <mergeCell ref="O66:O67"/>
    <mergeCell ref="A1:A2"/>
    <mergeCell ref="B1:B2"/>
    <mergeCell ref="C1:C2"/>
    <mergeCell ref="D1:D2"/>
    <mergeCell ref="E1:E2"/>
    <mergeCell ref="F1:F2"/>
    <mergeCell ref="A39:A40"/>
    <mergeCell ref="B39:B40"/>
    <mergeCell ref="C39:C40"/>
    <mergeCell ref="D39:D40"/>
    <mergeCell ref="A36:A37"/>
    <mergeCell ref="B36:B37"/>
    <mergeCell ref="C36:C37"/>
    <mergeCell ref="D36:D37"/>
    <mergeCell ref="M1:M2"/>
    <mergeCell ref="N1:N2"/>
    <mergeCell ref="O1:O2"/>
    <mergeCell ref="P1:P2"/>
    <mergeCell ref="Q1:Q2"/>
    <mergeCell ref="R1:R2"/>
    <mergeCell ref="G1:G2"/>
    <mergeCell ref="H1:H2"/>
    <mergeCell ref="I1:I2"/>
    <mergeCell ref="J1:J2"/>
    <mergeCell ref="K1:K2"/>
    <mergeCell ref="L1:L2"/>
    <mergeCell ref="AM1:AM2"/>
    <mergeCell ref="AN1:AN2"/>
    <mergeCell ref="AO1:AO2"/>
    <mergeCell ref="AP1:AP2"/>
    <mergeCell ref="AQ1:AQ2"/>
    <mergeCell ref="AR1:AR2"/>
    <mergeCell ref="S1:S2"/>
    <mergeCell ref="T1:T2"/>
    <mergeCell ref="U1:U2"/>
    <mergeCell ref="W1:AC1"/>
    <mergeCell ref="AG1:AK1"/>
    <mergeCell ref="S4:S5"/>
    <mergeCell ref="A7:A8"/>
    <mergeCell ref="B7:B8"/>
    <mergeCell ref="C7:C8"/>
    <mergeCell ref="D7:D8"/>
    <mergeCell ref="A4:A5"/>
    <mergeCell ref="B4:B5"/>
    <mergeCell ref="C4:C5"/>
    <mergeCell ref="D4:D5"/>
    <mergeCell ref="G4:G5"/>
    <mergeCell ref="N4:N5"/>
    <mergeCell ref="O4:O5"/>
    <mergeCell ref="P4:P5"/>
    <mergeCell ref="Q4:Q5"/>
    <mergeCell ref="R4:R5"/>
    <mergeCell ref="S14:S17"/>
    <mergeCell ref="A18:A19"/>
    <mergeCell ref="B18:B19"/>
    <mergeCell ref="C18:C19"/>
    <mergeCell ref="D18:D19"/>
    <mergeCell ref="G18:G19"/>
    <mergeCell ref="O18:O19"/>
    <mergeCell ref="A14:A17"/>
    <mergeCell ref="B14:B17"/>
    <mergeCell ref="C14:C17"/>
    <mergeCell ref="D14:D17"/>
    <mergeCell ref="G14:G17"/>
    <mergeCell ref="O14:O17"/>
    <mergeCell ref="P18:P19"/>
    <mergeCell ref="Q18:Q19"/>
    <mergeCell ref="R18:R19"/>
    <mergeCell ref="S18:S19"/>
    <mergeCell ref="P14:P17"/>
    <mergeCell ref="Q14:Q17"/>
    <mergeCell ref="R14:R17"/>
    <mergeCell ref="S20:S21"/>
    <mergeCell ref="A22:A23"/>
    <mergeCell ref="B22:B23"/>
    <mergeCell ref="C22:C23"/>
    <mergeCell ref="D22:D23"/>
    <mergeCell ref="G22:G23"/>
    <mergeCell ref="O22:O23"/>
    <mergeCell ref="P22:P23"/>
    <mergeCell ref="Q22:Q23"/>
    <mergeCell ref="R22:R23"/>
    <mergeCell ref="S22:S23"/>
    <mergeCell ref="A20:A21"/>
    <mergeCell ref="B20:B21"/>
    <mergeCell ref="C20:C21"/>
    <mergeCell ref="D20:D21"/>
    <mergeCell ref="G20:G21"/>
    <mergeCell ref="O20:O21"/>
    <mergeCell ref="P20:P21"/>
    <mergeCell ref="Q20:Q21"/>
    <mergeCell ref="R20:R21"/>
    <mergeCell ref="S24:S25"/>
    <mergeCell ref="A28:A29"/>
    <mergeCell ref="B28:B29"/>
    <mergeCell ref="C28:C29"/>
    <mergeCell ref="D28:D29"/>
    <mergeCell ref="G28:G29"/>
    <mergeCell ref="O28:O29"/>
    <mergeCell ref="P28:P29"/>
    <mergeCell ref="Q28:Q29"/>
    <mergeCell ref="R28:R29"/>
    <mergeCell ref="S28:S29"/>
    <mergeCell ref="A24:A25"/>
    <mergeCell ref="B24:B25"/>
    <mergeCell ref="C24:C25"/>
    <mergeCell ref="D24:D25"/>
    <mergeCell ref="G24:G25"/>
    <mergeCell ref="O24:O25"/>
    <mergeCell ref="P24:P25"/>
    <mergeCell ref="Q24:Q25"/>
    <mergeCell ref="R24:R25"/>
    <mergeCell ref="S30:S31"/>
    <mergeCell ref="A34:A35"/>
    <mergeCell ref="B34:B35"/>
    <mergeCell ref="C34:C35"/>
    <mergeCell ref="D34:D35"/>
    <mergeCell ref="G34:G35"/>
    <mergeCell ref="N34:N35"/>
    <mergeCell ref="A30:A31"/>
    <mergeCell ref="B30:B31"/>
    <mergeCell ref="C30:C31"/>
    <mergeCell ref="D30:D31"/>
    <mergeCell ref="G30:G31"/>
    <mergeCell ref="O30:O31"/>
    <mergeCell ref="P30:P31"/>
    <mergeCell ref="Q30:Q31"/>
    <mergeCell ref="R30:R31"/>
    <mergeCell ref="R36:R37"/>
    <mergeCell ref="S36:S37"/>
    <mergeCell ref="O34:O35"/>
    <mergeCell ref="P34:P35"/>
    <mergeCell ref="Q34:Q35"/>
    <mergeCell ref="R34:R35"/>
    <mergeCell ref="S34:S35"/>
    <mergeCell ref="O39:O40"/>
    <mergeCell ref="R39:R40"/>
    <mergeCell ref="S39:S40"/>
    <mergeCell ref="O36:O37"/>
    <mergeCell ref="A42:A43"/>
    <mergeCell ref="B42:B43"/>
    <mergeCell ref="D42:D43"/>
    <mergeCell ref="G42:G43"/>
    <mergeCell ref="G39:G40"/>
    <mergeCell ref="N44:N45"/>
    <mergeCell ref="N46:N47"/>
    <mergeCell ref="P36:P37"/>
    <mergeCell ref="Q36:Q37"/>
    <mergeCell ref="N39:N40"/>
    <mergeCell ref="N42:N43"/>
    <mergeCell ref="O44:O45"/>
    <mergeCell ref="O46:O47"/>
    <mergeCell ref="G36:G37"/>
    <mergeCell ref="N36:N37"/>
    <mergeCell ref="A44:A45"/>
    <mergeCell ref="B44:B45"/>
    <mergeCell ref="D44:D45"/>
    <mergeCell ref="A46:A47"/>
    <mergeCell ref="B46:B47"/>
    <mergeCell ref="D46:D47"/>
    <mergeCell ref="G44:G45"/>
    <mergeCell ref="G46:G47"/>
    <mergeCell ref="N48:N49"/>
    <mergeCell ref="O48:O49"/>
    <mergeCell ref="S48:S49"/>
    <mergeCell ref="N50:N51"/>
    <mergeCell ref="O50:O51"/>
    <mergeCell ref="S50:S51"/>
    <mergeCell ref="A48:A49"/>
    <mergeCell ref="G48:G49"/>
    <mergeCell ref="A50:A51"/>
    <mergeCell ref="B50:B51"/>
    <mergeCell ref="D50:D51"/>
    <mergeCell ref="G50:G51"/>
    <mergeCell ref="B48:B49"/>
    <mergeCell ref="D48:D49"/>
    <mergeCell ref="A66:A67"/>
    <mergeCell ref="A68:A70"/>
    <mergeCell ref="G52:G53"/>
    <mergeCell ref="D52:D53"/>
    <mergeCell ref="B52:B53"/>
    <mergeCell ref="A52:A53"/>
    <mergeCell ref="G56:G58"/>
    <mergeCell ref="D56:D58"/>
    <mergeCell ref="B56:B58"/>
    <mergeCell ref="A56:A58"/>
    <mergeCell ref="A59:A65"/>
    <mergeCell ref="B68:B70"/>
    <mergeCell ref="B66:B67"/>
    <mergeCell ref="D66:D67"/>
    <mergeCell ref="B59:B65"/>
    <mergeCell ref="D59:D65"/>
    <mergeCell ref="F59:F65"/>
    <mergeCell ref="G59:G65"/>
    <mergeCell ref="G66:G67"/>
    <mergeCell ref="G68:G70"/>
  </mergeCells>
  <conditionalFormatting sqref="AF1:AF1048576">
    <cfRule type="beginsWith" dxfId="4" priority="1" operator="beginsWith" text="W">
      <formula>LEFT(AF1,LEN("W"))="W"</formula>
    </cfRule>
  </conditionalFormatting>
  <pageMargins left="0.7" right="0.7" top="0.75" bottom="0.75" header="0.3" footer="0.3"/>
  <pageSetup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Q61"/>
  <sheetViews>
    <sheetView zoomScale="90" zoomScaleNormal="90" workbookViewId="0">
      <pane ySplit="2" topLeftCell="A35" activePane="bottomLeft" state="frozen"/>
      <selection pane="bottomLeft" activeCell="A52" sqref="A52:S53"/>
    </sheetView>
  </sheetViews>
  <sheetFormatPr defaultRowHeight="15"/>
  <cols>
    <col min="1" max="1" width="5.7109375" bestFit="1" customWidth="1"/>
    <col min="2" max="2" width="14.140625" bestFit="1" customWidth="1"/>
    <col min="3" max="3" width="9.85546875" hidden="1" customWidth="1"/>
    <col min="4" max="4" width="25.85546875" bestFit="1" customWidth="1"/>
    <col min="5" max="5" width="12.85546875" bestFit="1" customWidth="1"/>
    <col min="6" max="6" width="34.140625" bestFit="1" customWidth="1"/>
    <col min="7" max="7" width="16.85546875" customWidth="1"/>
    <col min="8" max="8" width="8" bestFit="1" customWidth="1"/>
    <col min="9" max="9" width="9.140625" customWidth="1"/>
    <col min="10" max="10" width="7.5703125" customWidth="1"/>
    <col min="11" max="11" width="9" customWidth="1"/>
    <col min="12" max="12" width="8.85546875" customWidth="1"/>
    <col min="13" max="13" width="8.42578125" customWidth="1"/>
    <col min="14" max="14" width="11" customWidth="1"/>
    <col min="15" max="15" width="14.85546875" customWidth="1"/>
    <col min="16" max="16" width="11.5703125" hidden="1" customWidth="1"/>
    <col min="17" max="17" width="9.28515625" hidden="1" customWidth="1"/>
    <col min="18" max="18" width="12.85546875" hidden="1" customWidth="1"/>
    <col min="19" max="19" width="11.140625" customWidth="1"/>
    <col min="20" max="21" width="11.140625" hidden="1" customWidth="1"/>
    <col min="22" max="22" width="11.140625" customWidth="1"/>
    <col min="23" max="23" width="16.7109375" customWidth="1"/>
    <col min="24" max="24" width="6.42578125" customWidth="1"/>
    <col min="25" max="25" width="16.7109375" customWidth="1"/>
    <col min="26" max="28" width="11.5703125" customWidth="1"/>
    <col min="29" max="29" width="13.85546875" customWidth="1"/>
    <col min="30" max="30" width="11" customWidth="1"/>
    <col min="31" max="31" width="16.7109375" customWidth="1"/>
    <col min="32" max="32" width="11.85546875" customWidth="1"/>
    <col min="33" max="33" width="12.140625" customWidth="1"/>
    <col min="34" max="34" width="12" customWidth="1"/>
    <col min="35" max="37" width="16.7109375" customWidth="1"/>
    <col min="38" max="38" width="7.28515625" customWidth="1"/>
    <col min="39" max="39" width="7" customWidth="1"/>
    <col min="40" max="41" width="8" customWidth="1"/>
    <col min="42" max="42" width="8.28515625" customWidth="1"/>
    <col min="43" max="43" width="29.28515625" customWidth="1"/>
  </cols>
  <sheetData>
    <row r="1" spans="1:43" ht="25.5" customHeight="1">
      <c r="A1" s="2277" t="s">
        <v>0</v>
      </c>
      <c r="B1" s="2277" t="s">
        <v>1</v>
      </c>
      <c r="C1" s="2277" t="s">
        <v>2</v>
      </c>
      <c r="D1" s="2277" t="s">
        <v>5</v>
      </c>
      <c r="E1" s="2277" t="s">
        <v>3</v>
      </c>
      <c r="F1" s="2277" t="s">
        <v>4</v>
      </c>
      <c r="G1" s="2277" t="s">
        <v>6</v>
      </c>
      <c r="H1" s="2277" t="s">
        <v>7</v>
      </c>
      <c r="I1" s="2277" t="s">
        <v>8</v>
      </c>
      <c r="J1" s="2277" t="s">
        <v>9</v>
      </c>
      <c r="K1" s="2277" t="s">
        <v>10</v>
      </c>
      <c r="L1" s="2277" t="s">
        <v>11</v>
      </c>
      <c r="M1" s="2277" t="s">
        <v>12</v>
      </c>
      <c r="N1" s="2277" t="s">
        <v>55</v>
      </c>
      <c r="O1" s="2277" t="s">
        <v>116</v>
      </c>
      <c r="P1" s="2277" t="s">
        <v>13</v>
      </c>
      <c r="Q1" s="2277" t="s">
        <v>14</v>
      </c>
      <c r="R1" s="2277" t="s">
        <v>110</v>
      </c>
      <c r="S1" s="2277" t="s">
        <v>15</v>
      </c>
      <c r="T1" s="2277" t="s">
        <v>16</v>
      </c>
      <c r="U1" s="2277" t="s">
        <v>302</v>
      </c>
      <c r="V1" s="12"/>
      <c r="W1" s="2278" t="s">
        <v>349</v>
      </c>
      <c r="X1" s="2278"/>
      <c r="Y1" s="2278"/>
      <c r="Z1" s="2278"/>
      <c r="AA1" s="2278"/>
      <c r="AB1" s="2278"/>
      <c r="AC1" s="2278"/>
      <c r="AD1" s="168"/>
      <c r="AE1" s="167"/>
      <c r="AF1" s="2279" t="s">
        <v>21</v>
      </c>
      <c r="AG1" s="2279"/>
      <c r="AH1" s="2279"/>
      <c r="AI1" s="2279"/>
      <c r="AJ1" s="2279"/>
      <c r="AK1" s="169"/>
      <c r="AL1" s="2277" t="s">
        <v>22</v>
      </c>
      <c r="AM1" s="2277" t="s">
        <v>23</v>
      </c>
      <c r="AN1" s="2277" t="s">
        <v>24</v>
      </c>
      <c r="AO1" s="2277" t="s">
        <v>25</v>
      </c>
      <c r="AP1" s="2277" t="s">
        <v>26</v>
      </c>
      <c r="AQ1" s="2277" t="s">
        <v>27</v>
      </c>
    </row>
    <row r="2" spans="1:43" s="8" customFormat="1" ht="66" customHeight="1">
      <c r="A2" s="2277"/>
      <c r="B2" s="2277"/>
      <c r="C2" s="2277"/>
      <c r="D2" s="2277"/>
      <c r="E2" s="2277"/>
      <c r="F2" s="2277"/>
      <c r="G2" s="2277"/>
      <c r="H2" s="2277"/>
      <c r="I2" s="2277"/>
      <c r="J2" s="2277"/>
      <c r="K2" s="2277"/>
      <c r="L2" s="2277"/>
      <c r="M2" s="2277"/>
      <c r="N2" s="2277"/>
      <c r="O2" s="2277"/>
      <c r="P2" s="2277"/>
      <c r="Q2" s="2277"/>
      <c r="R2" s="2277"/>
      <c r="S2" s="2277"/>
      <c r="T2" s="2277"/>
      <c r="U2" s="2277"/>
      <c r="V2" s="12" t="s">
        <v>856</v>
      </c>
      <c r="W2" s="33" t="s">
        <v>347</v>
      </c>
      <c r="X2" s="33" t="s">
        <v>857</v>
      </c>
      <c r="Y2" s="153" t="s">
        <v>166</v>
      </c>
      <c r="Z2" s="12" t="s">
        <v>348</v>
      </c>
      <c r="AA2" s="33" t="s">
        <v>168</v>
      </c>
      <c r="AB2" s="33" t="s">
        <v>169</v>
      </c>
      <c r="AC2" s="33" t="s">
        <v>350</v>
      </c>
      <c r="AD2" s="168" t="s">
        <v>19</v>
      </c>
      <c r="AE2" s="167" t="s">
        <v>351</v>
      </c>
      <c r="AF2" s="33" t="s">
        <v>343</v>
      </c>
      <c r="AG2" s="12" t="s">
        <v>344</v>
      </c>
      <c r="AH2" s="12" t="s">
        <v>345</v>
      </c>
      <c r="AI2" s="33" t="s">
        <v>168</v>
      </c>
      <c r="AJ2" s="33" t="s">
        <v>169</v>
      </c>
      <c r="AK2" s="33" t="s">
        <v>350</v>
      </c>
      <c r="AL2" s="2277"/>
      <c r="AM2" s="2277"/>
      <c r="AN2" s="2277"/>
      <c r="AO2" s="2277"/>
      <c r="AP2" s="2277"/>
      <c r="AQ2" s="2277"/>
    </row>
    <row r="3" spans="1:43" hidden="1">
      <c r="A3" s="2">
        <v>1</v>
      </c>
      <c r="B3" s="2" t="s">
        <v>197</v>
      </c>
      <c r="C3" s="2" t="s">
        <v>29</v>
      </c>
      <c r="D3" s="2" t="s">
        <v>393</v>
      </c>
      <c r="E3" s="172" t="s">
        <v>394</v>
      </c>
      <c r="F3" s="2" t="s">
        <v>395</v>
      </c>
      <c r="G3" s="2" t="s">
        <v>299</v>
      </c>
      <c r="H3" s="2">
        <v>30000</v>
      </c>
      <c r="I3" s="2" t="s">
        <v>34</v>
      </c>
      <c r="J3" s="2" t="s">
        <v>34</v>
      </c>
      <c r="K3" s="2" t="s">
        <v>34</v>
      </c>
      <c r="L3" s="2" t="s">
        <v>35</v>
      </c>
      <c r="M3" s="2" t="s">
        <v>36</v>
      </c>
      <c r="N3" s="2" t="s">
        <v>396</v>
      </c>
      <c r="O3" s="2" t="s">
        <v>424</v>
      </c>
      <c r="P3" s="2" t="s">
        <v>427</v>
      </c>
      <c r="Q3" s="2"/>
      <c r="R3" s="2" t="s">
        <v>397</v>
      </c>
      <c r="S3" s="2" t="s">
        <v>396</v>
      </c>
      <c r="T3" s="2"/>
      <c r="U3" s="2"/>
      <c r="V3" s="2"/>
      <c r="W3" s="178">
        <v>1135.5</v>
      </c>
      <c r="X3" s="178"/>
      <c r="Y3" s="178">
        <v>14.17</v>
      </c>
      <c r="Z3" s="178">
        <v>1149.67</v>
      </c>
      <c r="AA3" s="178">
        <v>19.12</v>
      </c>
      <c r="AB3" s="178">
        <v>21.8</v>
      </c>
      <c r="AC3" s="178">
        <v>11.4</v>
      </c>
      <c r="AD3" s="2"/>
      <c r="AE3" s="2"/>
      <c r="AF3" s="2"/>
      <c r="AG3" s="2"/>
      <c r="AH3" s="2"/>
      <c r="AI3" s="2"/>
      <c r="AJ3" s="2"/>
      <c r="AK3" s="2"/>
      <c r="AL3" s="2"/>
      <c r="AM3" s="2"/>
      <c r="AN3" s="2"/>
      <c r="AO3" s="2"/>
      <c r="AP3" s="2"/>
      <c r="AQ3" s="2"/>
    </row>
    <row r="4" spans="1:43" hidden="1">
      <c r="A4" s="2267">
        <v>2</v>
      </c>
      <c r="B4" s="2267" t="s">
        <v>197</v>
      </c>
      <c r="C4" s="2267" t="s">
        <v>29</v>
      </c>
      <c r="D4" s="2267" t="s">
        <v>399</v>
      </c>
      <c r="E4" s="198" t="s">
        <v>400</v>
      </c>
      <c r="F4" s="198" t="s">
        <v>225</v>
      </c>
      <c r="G4" s="2267" t="s">
        <v>299</v>
      </c>
      <c r="H4" s="2">
        <v>30000</v>
      </c>
      <c r="I4" s="187" t="s">
        <v>34</v>
      </c>
      <c r="J4" s="2" t="s">
        <v>34</v>
      </c>
      <c r="K4" s="2" t="s">
        <v>34</v>
      </c>
      <c r="L4" s="2" t="s">
        <v>35</v>
      </c>
      <c r="M4" s="2" t="s">
        <v>36</v>
      </c>
      <c r="N4" s="2267" t="s">
        <v>402</v>
      </c>
      <c r="O4" s="2267" t="s">
        <v>425</v>
      </c>
      <c r="P4" s="2290" t="s">
        <v>425</v>
      </c>
      <c r="Q4" s="2290"/>
      <c r="R4" s="2267" t="s">
        <v>403</v>
      </c>
      <c r="S4" s="2267" t="s">
        <v>402</v>
      </c>
      <c r="T4" s="2"/>
      <c r="U4" s="2"/>
      <c r="V4" s="2"/>
      <c r="W4" s="200">
        <v>85.572325000000006</v>
      </c>
      <c r="X4" s="200"/>
      <c r="Y4" s="178">
        <v>34.68</v>
      </c>
      <c r="Z4" s="178">
        <v>120.26</v>
      </c>
      <c r="AA4" s="178">
        <v>5.12</v>
      </c>
      <c r="AB4" s="178">
        <v>15.5</v>
      </c>
      <c r="AC4" s="178">
        <v>8.5</v>
      </c>
      <c r="AD4" s="2"/>
      <c r="AE4" s="2"/>
      <c r="AF4" s="2"/>
      <c r="AG4" s="2"/>
      <c r="AH4" s="2"/>
      <c r="AI4" s="2"/>
      <c r="AJ4" s="2"/>
      <c r="AK4" s="2"/>
      <c r="AL4" s="2"/>
      <c r="AM4" s="2"/>
      <c r="AN4" s="2"/>
      <c r="AO4" s="2"/>
      <c r="AP4" s="2"/>
      <c r="AQ4" s="2"/>
    </row>
    <row r="5" spans="1:43" ht="15.75" hidden="1" thickBot="1">
      <c r="A5" s="2291"/>
      <c r="B5" s="2291"/>
      <c r="C5" s="2291"/>
      <c r="D5" s="2291"/>
      <c r="E5" s="199" t="s">
        <v>401</v>
      </c>
      <c r="F5" s="199" t="s">
        <v>225</v>
      </c>
      <c r="G5" s="2291"/>
      <c r="H5" s="196">
        <v>30000</v>
      </c>
      <c r="I5" s="204" t="s">
        <v>34</v>
      </c>
      <c r="J5" s="196" t="s">
        <v>34</v>
      </c>
      <c r="K5" s="196" t="s">
        <v>34</v>
      </c>
      <c r="L5" s="196" t="s">
        <v>35</v>
      </c>
      <c r="M5" s="196" t="s">
        <v>36</v>
      </c>
      <c r="N5" s="2291"/>
      <c r="O5" s="2291"/>
      <c r="P5" s="2276"/>
      <c r="Q5" s="2276"/>
      <c r="R5" s="2291"/>
      <c r="S5" s="2291"/>
      <c r="T5" s="201"/>
      <c r="U5" s="201"/>
      <c r="V5" s="335"/>
      <c r="W5" s="202">
        <v>86.962188766216897</v>
      </c>
      <c r="X5" s="338"/>
      <c r="Y5" s="203">
        <v>34.68</v>
      </c>
      <c r="Z5" s="203">
        <v>121.65</v>
      </c>
      <c r="AA5" s="203">
        <v>5.12</v>
      </c>
      <c r="AB5" s="203">
        <v>15.5</v>
      </c>
      <c r="AC5" s="203">
        <v>8.5</v>
      </c>
      <c r="AD5" s="201"/>
      <c r="AE5" s="201"/>
      <c r="AF5" s="201"/>
      <c r="AG5" s="201"/>
      <c r="AH5" s="201"/>
      <c r="AI5" s="201"/>
      <c r="AJ5" s="201"/>
      <c r="AK5" s="201"/>
      <c r="AL5" s="201"/>
      <c r="AM5" s="201"/>
      <c r="AN5" s="201"/>
      <c r="AO5" s="201"/>
      <c r="AP5" s="201"/>
      <c r="AQ5" s="201"/>
    </row>
    <row r="6" spans="1:43" ht="15" hidden="1" customHeight="1">
      <c r="A6" s="326">
        <v>3</v>
      </c>
      <c r="B6" s="327" t="s">
        <v>197</v>
      </c>
      <c r="C6" s="327" t="s">
        <v>29</v>
      </c>
      <c r="D6" s="328" t="s">
        <v>404</v>
      </c>
      <c r="E6" s="328" t="s">
        <v>409</v>
      </c>
      <c r="F6" s="328" t="s">
        <v>217</v>
      </c>
      <c r="G6" s="327" t="s">
        <v>299</v>
      </c>
      <c r="H6" s="327">
        <v>300</v>
      </c>
      <c r="I6" s="327" t="s">
        <v>34</v>
      </c>
      <c r="J6" s="327" t="s">
        <v>34</v>
      </c>
      <c r="K6" s="327" t="s">
        <v>34</v>
      </c>
      <c r="L6" s="327" t="s">
        <v>35</v>
      </c>
      <c r="M6" s="327" t="s">
        <v>36</v>
      </c>
      <c r="N6" s="329" t="s">
        <v>403</v>
      </c>
      <c r="O6" s="327" t="s">
        <v>434</v>
      </c>
      <c r="P6" s="329"/>
      <c r="Q6" s="329"/>
      <c r="R6" s="327" t="s">
        <v>416</v>
      </c>
      <c r="S6" s="327" t="s">
        <v>403</v>
      </c>
      <c r="T6" s="329"/>
      <c r="U6" s="329"/>
      <c r="V6" s="336"/>
      <c r="W6" s="2302" t="s">
        <v>853</v>
      </c>
      <c r="X6" s="2303"/>
      <c r="Y6" s="2303"/>
      <c r="Z6" s="2303"/>
      <c r="AA6" s="2303"/>
      <c r="AB6" s="2303"/>
      <c r="AC6" s="2303"/>
      <c r="AD6" s="2303"/>
      <c r="AE6" s="2303"/>
      <c r="AF6" s="2303"/>
      <c r="AG6" s="2303"/>
      <c r="AH6" s="2303"/>
      <c r="AI6" s="2303"/>
      <c r="AJ6" s="2303"/>
      <c r="AK6" s="2303"/>
      <c r="AL6" s="2303"/>
      <c r="AM6" s="2303"/>
      <c r="AN6" s="2303"/>
      <c r="AO6" s="2303"/>
      <c r="AP6" s="2303"/>
      <c r="AQ6" s="2304"/>
    </row>
    <row r="7" spans="1:43" ht="15" hidden="1" customHeight="1">
      <c r="A7" s="2289">
        <v>4</v>
      </c>
      <c r="B7" s="2267" t="s">
        <v>197</v>
      </c>
      <c r="C7" s="2267" t="s">
        <v>29</v>
      </c>
      <c r="D7" s="2275" t="s">
        <v>405</v>
      </c>
      <c r="E7" s="198" t="s">
        <v>410</v>
      </c>
      <c r="F7" s="198" t="s">
        <v>330</v>
      </c>
      <c r="G7" s="2" t="s">
        <v>299</v>
      </c>
      <c r="H7" s="2">
        <v>300</v>
      </c>
      <c r="I7" s="2" t="s">
        <v>34</v>
      </c>
      <c r="J7" s="2" t="s">
        <v>34</v>
      </c>
      <c r="K7" s="2" t="s">
        <v>34</v>
      </c>
      <c r="L7" s="2" t="s">
        <v>35</v>
      </c>
      <c r="M7" s="2" t="s">
        <v>36</v>
      </c>
      <c r="N7" s="16" t="s">
        <v>403</v>
      </c>
      <c r="O7" s="2" t="s">
        <v>435</v>
      </c>
      <c r="P7" s="16"/>
      <c r="Q7" s="16"/>
      <c r="R7" s="2" t="s">
        <v>416</v>
      </c>
      <c r="S7" s="2" t="s">
        <v>403</v>
      </c>
      <c r="T7" s="16"/>
      <c r="U7" s="16"/>
      <c r="W7" s="2305"/>
      <c r="X7" s="2306"/>
      <c r="Y7" s="2306"/>
      <c r="Z7" s="2306"/>
      <c r="AA7" s="2306"/>
      <c r="AB7" s="2306"/>
      <c r="AC7" s="2306"/>
      <c r="AD7" s="2306"/>
      <c r="AE7" s="2306"/>
      <c r="AF7" s="2306"/>
      <c r="AG7" s="2306"/>
      <c r="AH7" s="2306"/>
      <c r="AI7" s="2306"/>
      <c r="AJ7" s="2306"/>
      <c r="AK7" s="2306"/>
      <c r="AL7" s="2306"/>
      <c r="AM7" s="2306"/>
      <c r="AN7" s="2306"/>
      <c r="AO7" s="2306"/>
      <c r="AP7" s="2306"/>
      <c r="AQ7" s="2307"/>
    </row>
    <row r="8" spans="1:43" ht="15" hidden="1" customHeight="1">
      <c r="A8" s="2289"/>
      <c r="B8" s="2267"/>
      <c r="C8" s="2267"/>
      <c r="D8" s="2275"/>
      <c r="E8" s="198" t="s">
        <v>411</v>
      </c>
      <c r="F8" s="198" t="s">
        <v>330</v>
      </c>
      <c r="G8" s="2" t="s">
        <v>299</v>
      </c>
      <c r="H8" s="2">
        <v>300</v>
      </c>
      <c r="I8" s="2" t="s">
        <v>34</v>
      </c>
      <c r="J8" s="2" t="s">
        <v>34</v>
      </c>
      <c r="K8" s="2" t="s">
        <v>34</v>
      </c>
      <c r="L8" s="2" t="s">
        <v>35</v>
      </c>
      <c r="M8" s="2" t="s">
        <v>36</v>
      </c>
      <c r="N8" s="16" t="s">
        <v>403</v>
      </c>
      <c r="O8" s="2" t="s">
        <v>433</v>
      </c>
      <c r="P8" s="16"/>
      <c r="Q8" s="16"/>
      <c r="R8" s="2" t="s">
        <v>416</v>
      </c>
      <c r="S8" s="2" t="s">
        <v>403</v>
      </c>
      <c r="T8" s="16"/>
      <c r="U8" s="16"/>
      <c r="W8" s="2305"/>
      <c r="X8" s="2306"/>
      <c r="Y8" s="2306"/>
      <c r="Z8" s="2306"/>
      <c r="AA8" s="2306"/>
      <c r="AB8" s="2306"/>
      <c r="AC8" s="2306"/>
      <c r="AD8" s="2306"/>
      <c r="AE8" s="2306"/>
      <c r="AF8" s="2306"/>
      <c r="AG8" s="2306"/>
      <c r="AH8" s="2306"/>
      <c r="AI8" s="2306"/>
      <c r="AJ8" s="2306"/>
      <c r="AK8" s="2306"/>
      <c r="AL8" s="2306"/>
      <c r="AM8" s="2306"/>
      <c r="AN8" s="2306"/>
      <c r="AO8" s="2306"/>
      <c r="AP8" s="2306"/>
      <c r="AQ8" s="2307"/>
    </row>
    <row r="9" spans="1:43" ht="15" hidden="1" customHeight="1">
      <c r="A9" s="330">
        <v>5</v>
      </c>
      <c r="B9" s="2" t="s">
        <v>197</v>
      </c>
      <c r="C9" s="2" t="s">
        <v>29</v>
      </c>
      <c r="D9" s="198" t="s">
        <v>406</v>
      </c>
      <c r="E9" s="198" t="s">
        <v>412</v>
      </c>
      <c r="F9" s="198" t="s">
        <v>415</v>
      </c>
      <c r="G9" s="2" t="s">
        <v>299</v>
      </c>
      <c r="H9" s="2">
        <v>300</v>
      </c>
      <c r="I9" s="2" t="s">
        <v>34</v>
      </c>
      <c r="J9" s="2" t="s">
        <v>34</v>
      </c>
      <c r="K9" s="2" t="s">
        <v>34</v>
      </c>
      <c r="L9" s="2" t="s">
        <v>35</v>
      </c>
      <c r="M9" s="2" t="s">
        <v>36</v>
      </c>
      <c r="N9" s="16" t="s">
        <v>403</v>
      </c>
      <c r="O9" s="2" t="s">
        <v>435</v>
      </c>
      <c r="P9" s="16"/>
      <c r="Q9" s="16"/>
      <c r="R9" s="2" t="s">
        <v>416</v>
      </c>
      <c r="S9" s="2" t="s">
        <v>403</v>
      </c>
      <c r="T9" s="16"/>
      <c r="U9" s="16"/>
      <c r="W9" s="2305"/>
      <c r="X9" s="2306"/>
      <c r="Y9" s="2306"/>
      <c r="Z9" s="2306"/>
      <c r="AA9" s="2306"/>
      <c r="AB9" s="2306"/>
      <c r="AC9" s="2306"/>
      <c r="AD9" s="2306"/>
      <c r="AE9" s="2306"/>
      <c r="AF9" s="2306"/>
      <c r="AG9" s="2306"/>
      <c r="AH9" s="2306"/>
      <c r="AI9" s="2306"/>
      <c r="AJ9" s="2306"/>
      <c r="AK9" s="2306"/>
      <c r="AL9" s="2306"/>
      <c r="AM9" s="2306"/>
      <c r="AN9" s="2306"/>
      <c r="AO9" s="2306"/>
      <c r="AP9" s="2306"/>
      <c r="AQ9" s="2307"/>
    </row>
    <row r="10" spans="1:43" ht="15.75" hidden="1" customHeight="1">
      <c r="A10" s="330">
        <v>6</v>
      </c>
      <c r="B10" s="2" t="s">
        <v>197</v>
      </c>
      <c r="C10" s="2" t="s">
        <v>29</v>
      </c>
      <c r="D10" s="198" t="s">
        <v>407</v>
      </c>
      <c r="E10" s="198" t="s">
        <v>413</v>
      </c>
      <c r="F10" s="198" t="s">
        <v>42</v>
      </c>
      <c r="G10" s="2" t="s">
        <v>299</v>
      </c>
      <c r="H10" s="2">
        <v>300</v>
      </c>
      <c r="I10" s="2" t="s">
        <v>34</v>
      </c>
      <c r="J10" s="2" t="s">
        <v>34</v>
      </c>
      <c r="K10" s="2" t="s">
        <v>34</v>
      </c>
      <c r="L10" s="2" t="s">
        <v>35</v>
      </c>
      <c r="M10" s="2" t="s">
        <v>36</v>
      </c>
      <c r="N10" s="16" t="s">
        <v>403</v>
      </c>
      <c r="O10" s="2" t="s">
        <v>433</v>
      </c>
      <c r="P10" s="16"/>
      <c r="Q10" s="16"/>
      <c r="R10" s="2" t="s">
        <v>416</v>
      </c>
      <c r="S10" s="2" t="s">
        <v>403</v>
      </c>
      <c r="T10" s="16"/>
      <c r="U10" s="16"/>
      <c r="W10" s="2305"/>
      <c r="X10" s="2306"/>
      <c r="Y10" s="2306"/>
      <c r="Z10" s="2306"/>
      <c r="AA10" s="2306"/>
      <c r="AB10" s="2306"/>
      <c r="AC10" s="2306"/>
      <c r="AD10" s="2306"/>
      <c r="AE10" s="2306"/>
      <c r="AF10" s="2306"/>
      <c r="AG10" s="2306"/>
      <c r="AH10" s="2306"/>
      <c r="AI10" s="2306"/>
      <c r="AJ10" s="2306"/>
      <c r="AK10" s="2306"/>
      <c r="AL10" s="2306"/>
      <c r="AM10" s="2306"/>
      <c r="AN10" s="2306"/>
      <c r="AO10" s="2306"/>
      <c r="AP10" s="2306"/>
      <c r="AQ10" s="2307"/>
    </row>
    <row r="11" spans="1:43" ht="15" hidden="1" customHeight="1" thickBot="1">
      <c r="A11" s="331">
        <v>7</v>
      </c>
      <c r="B11" s="332" t="s">
        <v>197</v>
      </c>
      <c r="C11" s="332" t="s">
        <v>29</v>
      </c>
      <c r="D11" s="333" t="s">
        <v>408</v>
      </c>
      <c r="E11" s="333" t="s">
        <v>414</v>
      </c>
      <c r="F11" s="333" t="s">
        <v>42</v>
      </c>
      <c r="G11" s="332" t="s">
        <v>299</v>
      </c>
      <c r="H11" s="332">
        <v>300</v>
      </c>
      <c r="I11" s="332" t="s">
        <v>34</v>
      </c>
      <c r="J11" s="332" t="s">
        <v>34</v>
      </c>
      <c r="K11" s="332" t="s">
        <v>34</v>
      </c>
      <c r="L11" s="332" t="s">
        <v>35</v>
      </c>
      <c r="M11" s="332" t="s">
        <v>36</v>
      </c>
      <c r="N11" s="334" t="s">
        <v>403</v>
      </c>
      <c r="O11" s="332" t="s">
        <v>433</v>
      </c>
      <c r="P11" s="334"/>
      <c r="Q11" s="334"/>
      <c r="R11" s="332" t="s">
        <v>416</v>
      </c>
      <c r="S11" s="332" t="s">
        <v>403</v>
      </c>
      <c r="T11" s="334"/>
      <c r="U11" s="334"/>
      <c r="V11" s="337"/>
      <c r="W11" s="2308"/>
      <c r="X11" s="2309"/>
      <c r="Y11" s="2309"/>
      <c r="Z11" s="2309"/>
      <c r="AA11" s="2309"/>
      <c r="AB11" s="2309"/>
      <c r="AC11" s="2309"/>
      <c r="AD11" s="2309"/>
      <c r="AE11" s="2309"/>
      <c r="AF11" s="2309"/>
      <c r="AG11" s="2309"/>
      <c r="AH11" s="2309"/>
      <c r="AI11" s="2309"/>
      <c r="AJ11" s="2309"/>
      <c r="AK11" s="2309"/>
      <c r="AL11" s="2309"/>
      <c r="AM11" s="2309"/>
      <c r="AN11" s="2309"/>
      <c r="AO11" s="2309"/>
      <c r="AP11" s="2309"/>
      <c r="AQ11" s="2310"/>
    </row>
    <row r="12" spans="1:43" ht="15" hidden="1" customHeight="1">
      <c r="A12" s="324">
        <v>8</v>
      </c>
      <c r="B12" s="324" t="s">
        <v>197</v>
      </c>
      <c r="C12" s="324" t="s">
        <v>29</v>
      </c>
      <c r="D12" s="325" t="s">
        <v>428</v>
      </c>
      <c r="E12" s="325" t="s">
        <v>429</v>
      </c>
      <c r="F12" s="325" t="s">
        <v>42</v>
      </c>
      <c r="G12" s="324" t="s">
        <v>430</v>
      </c>
      <c r="H12" s="324">
        <v>30000</v>
      </c>
      <c r="I12" s="324" t="s">
        <v>34</v>
      </c>
      <c r="J12" s="324" t="s">
        <v>34</v>
      </c>
      <c r="K12" s="324" t="s">
        <v>34</v>
      </c>
      <c r="L12" s="324" t="s">
        <v>35</v>
      </c>
      <c r="M12" s="324" t="s">
        <v>36</v>
      </c>
      <c r="N12" s="133" t="s">
        <v>431</v>
      </c>
      <c r="O12" s="324" t="s">
        <v>426</v>
      </c>
      <c r="P12" s="133" t="s">
        <v>426</v>
      </c>
      <c r="Q12" s="133"/>
      <c r="R12" s="324" t="s">
        <v>432</v>
      </c>
      <c r="S12" s="324" t="s">
        <v>431</v>
      </c>
      <c r="T12" s="133"/>
      <c r="U12" s="133"/>
      <c r="V12" s="133"/>
      <c r="W12" s="133">
        <v>225.69</v>
      </c>
      <c r="X12" s="133"/>
      <c r="Y12" s="133">
        <v>46.68</v>
      </c>
      <c r="Z12" s="133">
        <v>274.37</v>
      </c>
      <c r="AA12" s="133">
        <v>187.28</v>
      </c>
      <c r="AB12" s="133">
        <v>50.25</v>
      </c>
      <c r="AC12" s="133">
        <v>15.36</v>
      </c>
      <c r="AD12" s="133"/>
      <c r="AE12" s="133"/>
      <c r="AF12" s="133"/>
      <c r="AG12" s="133"/>
      <c r="AH12" s="133"/>
      <c r="AI12" s="133"/>
      <c r="AJ12" s="133"/>
      <c r="AK12" s="133"/>
      <c r="AL12" s="133"/>
      <c r="AM12" s="133"/>
      <c r="AN12" s="133"/>
      <c r="AO12" s="133"/>
      <c r="AP12" s="133"/>
      <c r="AQ12" s="133"/>
    </row>
    <row r="13" spans="1:43" ht="15" hidden="1" customHeight="1">
      <c r="A13" s="2">
        <v>9</v>
      </c>
      <c r="B13" s="2" t="s">
        <v>439</v>
      </c>
      <c r="C13" s="2" t="s">
        <v>29</v>
      </c>
      <c r="D13" s="198" t="s">
        <v>440</v>
      </c>
      <c r="E13" s="198" t="s">
        <v>854</v>
      </c>
      <c r="F13" s="198" t="s">
        <v>217</v>
      </c>
      <c r="G13" s="2" t="s">
        <v>430</v>
      </c>
      <c r="H13" s="2">
        <v>168000</v>
      </c>
      <c r="I13" s="2" t="s">
        <v>34</v>
      </c>
      <c r="J13" s="2" t="s">
        <v>34</v>
      </c>
      <c r="K13" s="2" t="s">
        <v>48</v>
      </c>
      <c r="L13" s="2" t="s">
        <v>35</v>
      </c>
      <c r="M13" s="2" t="s">
        <v>36</v>
      </c>
      <c r="N13" s="16" t="s">
        <v>442</v>
      </c>
      <c r="O13" s="2" t="s">
        <v>443</v>
      </c>
      <c r="P13" s="16"/>
      <c r="Q13" s="16"/>
      <c r="R13" s="2" t="s">
        <v>444</v>
      </c>
      <c r="S13" s="2" t="s">
        <v>442</v>
      </c>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row>
    <row r="14" spans="1:43" ht="15" customHeight="1">
      <c r="A14" s="2267">
        <v>10</v>
      </c>
      <c r="B14" s="2267" t="s">
        <v>495</v>
      </c>
      <c r="C14" s="2267" t="s">
        <v>29</v>
      </c>
      <c r="D14" s="2292" t="s">
        <v>448</v>
      </c>
      <c r="E14" s="214" t="s">
        <v>449</v>
      </c>
      <c r="F14" s="215" t="s">
        <v>450</v>
      </c>
      <c r="G14" s="2274" t="s">
        <v>452</v>
      </c>
      <c r="H14" s="218">
        <v>24000</v>
      </c>
      <c r="I14" s="2" t="s">
        <v>34</v>
      </c>
      <c r="J14" s="2" t="s">
        <v>34</v>
      </c>
      <c r="K14" s="2" t="s">
        <v>34</v>
      </c>
      <c r="L14" s="2" t="s">
        <v>35</v>
      </c>
      <c r="M14" s="2" t="s">
        <v>36</v>
      </c>
      <c r="N14" s="16" t="s">
        <v>496</v>
      </c>
      <c r="O14" s="2273" t="s">
        <v>832</v>
      </c>
      <c r="P14" s="2273"/>
      <c r="Q14" s="2293"/>
      <c r="R14" s="2273" t="s">
        <v>451</v>
      </c>
      <c r="S14" s="2273" t="s">
        <v>496</v>
      </c>
      <c r="T14" s="16"/>
      <c r="U14" s="16"/>
      <c r="V14" s="16">
        <v>162.71</v>
      </c>
      <c r="W14" s="16">
        <v>162.71</v>
      </c>
      <c r="X14" s="16">
        <v>162.71</v>
      </c>
      <c r="Y14" s="16">
        <v>162.71</v>
      </c>
      <c r="Z14" s="16">
        <v>162.71</v>
      </c>
      <c r="AA14" s="16">
        <v>162.71</v>
      </c>
      <c r="AB14" s="16">
        <v>162.71</v>
      </c>
      <c r="AC14" s="16">
        <v>162.71</v>
      </c>
      <c r="AD14" s="16">
        <v>162.71</v>
      </c>
      <c r="AE14" s="16"/>
      <c r="AF14" s="16"/>
      <c r="AG14" s="16"/>
      <c r="AH14" s="16"/>
      <c r="AI14" s="16"/>
      <c r="AJ14" s="16"/>
      <c r="AK14" s="16"/>
      <c r="AL14" s="16"/>
      <c r="AM14" s="16"/>
      <c r="AN14" s="16"/>
      <c r="AO14" s="16"/>
      <c r="AP14" s="16"/>
      <c r="AQ14" s="16"/>
    </row>
    <row r="15" spans="1:43" ht="15.75" customHeight="1">
      <c r="A15" s="2267"/>
      <c r="B15" s="2267"/>
      <c r="C15" s="2267"/>
      <c r="D15" s="2273"/>
      <c r="E15" s="214" t="s">
        <v>453</v>
      </c>
      <c r="F15" s="215" t="s">
        <v>454</v>
      </c>
      <c r="G15" s="2274"/>
      <c r="H15" s="218">
        <v>24000</v>
      </c>
      <c r="I15" s="2" t="s">
        <v>34</v>
      </c>
      <c r="J15" s="2" t="s">
        <v>34</v>
      </c>
      <c r="K15" s="2" t="s">
        <v>34</v>
      </c>
      <c r="L15" s="2" t="s">
        <v>35</v>
      </c>
      <c r="M15" s="2" t="s">
        <v>36</v>
      </c>
      <c r="N15" s="16" t="s">
        <v>496</v>
      </c>
      <c r="O15" s="2273"/>
      <c r="P15" s="2273"/>
      <c r="Q15" s="2221"/>
      <c r="R15" s="2273"/>
      <c r="S15" s="2273"/>
      <c r="T15" s="16"/>
      <c r="U15" s="16"/>
      <c r="V15" s="16">
        <v>162.71</v>
      </c>
      <c r="W15" s="16">
        <v>162.71</v>
      </c>
      <c r="X15" s="16">
        <v>162.71</v>
      </c>
      <c r="Y15" s="16">
        <v>162.71</v>
      </c>
      <c r="Z15" s="16">
        <v>162.71</v>
      </c>
      <c r="AA15" s="16">
        <v>162.71</v>
      </c>
      <c r="AB15" s="16">
        <v>162.71</v>
      </c>
      <c r="AC15" s="16">
        <v>162.71</v>
      </c>
      <c r="AD15" s="16">
        <v>162.71</v>
      </c>
      <c r="AE15" s="16"/>
      <c r="AF15" s="16"/>
      <c r="AG15" s="16"/>
      <c r="AH15" s="16"/>
      <c r="AI15" s="16"/>
      <c r="AJ15" s="16"/>
      <c r="AK15" s="16"/>
      <c r="AL15" s="16"/>
      <c r="AM15" s="16"/>
      <c r="AN15" s="16"/>
      <c r="AO15" s="16"/>
      <c r="AP15" s="16"/>
      <c r="AQ15" s="16"/>
    </row>
    <row r="16" spans="1:43">
      <c r="A16" s="2267"/>
      <c r="B16" s="2267"/>
      <c r="C16" s="2267"/>
      <c r="D16" s="2273"/>
      <c r="E16" s="214" t="s">
        <v>455</v>
      </c>
      <c r="F16" s="215" t="s">
        <v>450</v>
      </c>
      <c r="G16" s="2274"/>
      <c r="H16" s="218">
        <v>136000</v>
      </c>
      <c r="I16" s="2" t="s">
        <v>34</v>
      </c>
      <c r="J16" s="2" t="s">
        <v>34</v>
      </c>
      <c r="K16" s="2" t="s">
        <v>34</v>
      </c>
      <c r="L16" s="2" t="s">
        <v>35</v>
      </c>
      <c r="M16" s="2" t="s">
        <v>36</v>
      </c>
      <c r="N16" s="16" t="s">
        <v>496</v>
      </c>
      <c r="O16" s="2273"/>
      <c r="P16" s="2273"/>
      <c r="Q16" s="2221"/>
      <c r="R16" s="2273"/>
      <c r="S16" s="2273"/>
      <c r="T16" s="16"/>
      <c r="U16" s="16"/>
      <c r="V16" s="16">
        <v>156.19</v>
      </c>
      <c r="W16" s="16">
        <v>156.19</v>
      </c>
      <c r="X16" s="16">
        <v>156.19</v>
      </c>
      <c r="Y16" s="16">
        <v>156.19</v>
      </c>
      <c r="Z16" s="16">
        <v>156.19</v>
      </c>
      <c r="AA16" s="16">
        <v>156.19</v>
      </c>
      <c r="AB16" s="16">
        <v>156.19</v>
      </c>
      <c r="AC16" s="16">
        <v>156.19</v>
      </c>
      <c r="AD16" s="16">
        <v>156.19</v>
      </c>
      <c r="AE16" s="16"/>
      <c r="AF16" s="16"/>
      <c r="AG16" s="16"/>
      <c r="AH16" s="16"/>
      <c r="AI16" s="16"/>
      <c r="AJ16" s="16"/>
      <c r="AK16" s="16"/>
      <c r="AL16" s="16"/>
      <c r="AM16" s="16"/>
      <c r="AN16" s="16"/>
      <c r="AO16" s="16"/>
      <c r="AP16" s="16"/>
      <c r="AQ16" s="16"/>
    </row>
    <row r="17" spans="1:43">
      <c r="A17" s="2267"/>
      <c r="B17" s="2267"/>
      <c r="C17" s="2267"/>
      <c r="D17" s="2273"/>
      <c r="E17" s="214" t="s">
        <v>456</v>
      </c>
      <c r="F17" s="215" t="s">
        <v>454</v>
      </c>
      <c r="G17" s="2274"/>
      <c r="H17" s="218">
        <v>136000</v>
      </c>
      <c r="I17" s="2" t="s">
        <v>34</v>
      </c>
      <c r="J17" s="2" t="s">
        <v>34</v>
      </c>
      <c r="K17" s="2" t="s">
        <v>34</v>
      </c>
      <c r="L17" s="2" t="s">
        <v>35</v>
      </c>
      <c r="M17" s="2" t="s">
        <v>36</v>
      </c>
      <c r="N17" s="16" t="s">
        <v>496</v>
      </c>
      <c r="O17" s="2273"/>
      <c r="P17" s="2273"/>
      <c r="Q17" s="2243"/>
      <c r="R17" s="2273"/>
      <c r="S17" s="2273"/>
      <c r="T17" s="16"/>
      <c r="U17" s="16"/>
      <c r="V17" s="16">
        <v>156.19</v>
      </c>
      <c r="W17" s="16">
        <v>156.19</v>
      </c>
      <c r="X17" s="16">
        <v>156.19</v>
      </c>
      <c r="Y17" s="16">
        <v>156.19</v>
      </c>
      <c r="Z17" s="16">
        <v>156.19</v>
      </c>
      <c r="AA17" s="16">
        <v>156.19</v>
      </c>
      <c r="AB17" s="16">
        <v>156.19</v>
      </c>
      <c r="AC17" s="16">
        <v>156.19</v>
      </c>
      <c r="AD17" s="16">
        <v>156.19</v>
      </c>
      <c r="AE17" s="16"/>
      <c r="AF17" s="16"/>
      <c r="AG17" s="16"/>
      <c r="AH17" s="16"/>
      <c r="AI17" s="16"/>
      <c r="AJ17" s="16"/>
      <c r="AK17" s="16"/>
      <c r="AL17" s="16"/>
      <c r="AM17" s="16"/>
      <c r="AN17" s="16"/>
      <c r="AO17" s="16"/>
      <c r="AP17" s="16"/>
      <c r="AQ17" s="16"/>
    </row>
    <row r="18" spans="1:43">
      <c r="A18" s="2267">
        <v>11</v>
      </c>
      <c r="B18" s="2267" t="s">
        <v>495</v>
      </c>
      <c r="C18" s="2267" t="s">
        <v>29</v>
      </c>
      <c r="D18" s="2292" t="s">
        <v>457</v>
      </c>
      <c r="E18" s="214" t="s">
        <v>458</v>
      </c>
      <c r="F18" s="215" t="s">
        <v>459</v>
      </c>
      <c r="G18" s="2274" t="s">
        <v>461</v>
      </c>
      <c r="H18" s="218">
        <v>160000</v>
      </c>
      <c r="I18" s="2" t="s">
        <v>34</v>
      </c>
      <c r="J18" s="2" t="s">
        <v>34</v>
      </c>
      <c r="K18" s="2" t="s">
        <v>34</v>
      </c>
      <c r="L18" s="2" t="s">
        <v>35</v>
      </c>
      <c r="M18" s="2" t="s">
        <v>36</v>
      </c>
      <c r="N18" s="16" t="s">
        <v>496</v>
      </c>
      <c r="O18" s="2273" t="s">
        <v>832</v>
      </c>
      <c r="P18" s="2273"/>
      <c r="Q18" s="2293"/>
      <c r="R18" s="2273" t="s">
        <v>460</v>
      </c>
      <c r="S18" s="2273" t="s">
        <v>496</v>
      </c>
      <c r="T18" s="16"/>
      <c r="U18" s="16"/>
      <c r="V18" s="16">
        <v>83.63</v>
      </c>
      <c r="W18" s="16">
        <v>83.63</v>
      </c>
      <c r="X18" s="16">
        <v>83.63</v>
      </c>
      <c r="Y18" s="16">
        <v>83.63</v>
      </c>
      <c r="Z18" s="16">
        <v>83.63</v>
      </c>
      <c r="AA18" s="16">
        <v>83.63</v>
      </c>
      <c r="AB18" s="16">
        <v>83.63</v>
      </c>
      <c r="AC18" s="16">
        <v>83.63</v>
      </c>
      <c r="AD18" s="16">
        <v>83.63</v>
      </c>
      <c r="AE18" s="16"/>
      <c r="AF18" s="16"/>
      <c r="AG18" s="16"/>
      <c r="AH18" s="16"/>
      <c r="AI18" s="16"/>
      <c r="AJ18" s="16"/>
      <c r="AK18" s="16"/>
      <c r="AL18" s="16"/>
      <c r="AM18" s="16"/>
      <c r="AN18" s="16"/>
      <c r="AO18" s="16"/>
      <c r="AP18" s="16"/>
      <c r="AQ18" s="16"/>
    </row>
    <row r="19" spans="1:43">
      <c r="A19" s="2267"/>
      <c r="B19" s="2267"/>
      <c r="C19" s="2267"/>
      <c r="D19" s="2273"/>
      <c r="E19" s="214" t="s">
        <v>462</v>
      </c>
      <c r="F19" s="215" t="s">
        <v>463</v>
      </c>
      <c r="G19" s="2274"/>
      <c r="H19" s="218">
        <v>160000</v>
      </c>
      <c r="I19" s="2" t="s">
        <v>34</v>
      </c>
      <c r="J19" s="2" t="s">
        <v>34</v>
      </c>
      <c r="K19" s="2" t="s">
        <v>34</v>
      </c>
      <c r="L19" s="2" t="s">
        <v>35</v>
      </c>
      <c r="M19" s="2" t="s">
        <v>36</v>
      </c>
      <c r="N19" s="16" t="s">
        <v>496</v>
      </c>
      <c r="O19" s="2273"/>
      <c r="P19" s="2273"/>
      <c r="Q19" s="2243"/>
      <c r="R19" s="2273"/>
      <c r="S19" s="2273"/>
      <c r="T19" s="16"/>
      <c r="U19" s="16"/>
      <c r="V19" s="16">
        <v>83.63</v>
      </c>
      <c r="W19" s="16">
        <v>83.63</v>
      </c>
      <c r="X19" s="16">
        <v>83.63</v>
      </c>
      <c r="Y19" s="16">
        <v>83.63</v>
      </c>
      <c r="Z19" s="16">
        <v>83.63</v>
      </c>
      <c r="AA19" s="16">
        <v>83.63</v>
      </c>
      <c r="AB19" s="16">
        <v>83.63</v>
      </c>
      <c r="AC19" s="16">
        <v>83.63</v>
      </c>
      <c r="AD19" s="16">
        <v>83.63</v>
      </c>
      <c r="AE19" s="16"/>
      <c r="AF19" s="16"/>
      <c r="AG19" s="16"/>
      <c r="AH19" s="16"/>
      <c r="AI19" s="16"/>
      <c r="AJ19" s="16"/>
      <c r="AK19" s="16"/>
      <c r="AL19" s="16"/>
      <c r="AM19" s="16"/>
      <c r="AN19" s="16"/>
      <c r="AO19" s="16"/>
      <c r="AP19" s="16"/>
      <c r="AQ19" s="16"/>
    </row>
    <row r="20" spans="1:43">
      <c r="A20" s="2267">
        <v>12</v>
      </c>
      <c r="B20" s="2267" t="s">
        <v>495</v>
      </c>
      <c r="C20" s="2267" t="s">
        <v>29</v>
      </c>
      <c r="D20" s="2292" t="s">
        <v>464</v>
      </c>
      <c r="E20" s="214" t="s">
        <v>465</v>
      </c>
      <c r="F20" s="356" t="s">
        <v>466</v>
      </c>
      <c r="G20" s="2274" t="s">
        <v>452</v>
      </c>
      <c r="H20" s="218">
        <v>160000</v>
      </c>
      <c r="I20" s="2" t="s">
        <v>34</v>
      </c>
      <c r="J20" s="2" t="s">
        <v>34</v>
      </c>
      <c r="K20" s="2" t="s">
        <v>34</v>
      </c>
      <c r="L20" s="2" t="s">
        <v>35</v>
      </c>
      <c r="M20" s="2" t="s">
        <v>36</v>
      </c>
      <c r="N20" s="16" t="s">
        <v>496</v>
      </c>
      <c r="O20" s="2273" t="s">
        <v>832</v>
      </c>
      <c r="P20" s="2273"/>
      <c r="Q20" s="2293"/>
      <c r="R20" s="2273" t="s">
        <v>451</v>
      </c>
      <c r="S20" s="2273" t="s">
        <v>496</v>
      </c>
      <c r="T20" s="16"/>
      <c r="U20" s="16"/>
      <c r="V20" s="16">
        <v>236.11</v>
      </c>
      <c r="W20" s="16">
        <v>236.11</v>
      </c>
      <c r="X20" s="16">
        <v>236.11</v>
      </c>
      <c r="Y20" s="16">
        <v>236.11</v>
      </c>
      <c r="Z20" s="16">
        <v>236.11</v>
      </c>
      <c r="AA20" s="16">
        <v>236.11</v>
      </c>
      <c r="AB20" s="16">
        <v>236.11</v>
      </c>
      <c r="AC20" s="16">
        <v>236.11</v>
      </c>
      <c r="AD20" s="16">
        <v>236.11</v>
      </c>
      <c r="AE20" s="16"/>
      <c r="AF20" s="16"/>
      <c r="AG20" s="16"/>
      <c r="AH20" s="16"/>
      <c r="AI20" s="16"/>
      <c r="AJ20" s="16"/>
      <c r="AK20" s="16"/>
      <c r="AL20" s="16"/>
      <c r="AM20" s="16"/>
      <c r="AN20" s="16"/>
      <c r="AO20" s="16"/>
      <c r="AP20" s="16"/>
      <c r="AQ20" s="16"/>
    </row>
    <row r="21" spans="1:43">
      <c r="A21" s="2267"/>
      <c r="B21" s="2267"/>
      <c r="C21" s="2267"/>
      <c r="D21" s="2273"/>
      <c r="E21" s="214" t="s">
        <v>467</v>
      </c>
      <c r="F21" s="356" t="s">
        <v>468</v>
      </c>
      <c r="G21" s="2274"/>
      <c r="H21" s="218">
        <v>160000</v>
      </c>
      <c r="I21" s="2" t="s">
        <v>34</v>
      </c>
      <c r="J21" s="2" t="s">
        <v>34</v>
      </c>
      <c r="K21" s="2" t="s">
        <v>34</v>
      </c>
      <c r="L21" s="2" t="s">
        <v>35</v>
      </c>
      <c r="M21" s="2" t="s">
        <v>36</v>
      </c>
      <c r="N21" s="16" t="s">
        <v>496</v>
      </c>
      <c r="O21" s="2273"/>
      <c r="P21" s="2273"/>
      <c r="Q21" s="2243"/>
      <c r="R21" s="2273"/>
      <c r="S21" s="2273"/>
      <c r="T21" s="16"/>
      <c r="U21" s="16"/>
      <c r="V21" s="16">
        <v>231.26</v>
      </c>
      <c r="W21" s="16">
        <v>231.26</v>
      </c>
      <c r="X21" s="16">
        <v>231.26</v>
      </c>
      <c r="Y21" s="16">
        <v>231.26</v>
      </c>
      <c r="Z21" s="16">
        <v>231.26</v>
      </c>
      <c r="AA21" s="16">
        <v>231.26</v>
      </c>
      <c r="AB21" s="16">
        <v>231.26</v>
      </c>
      <c r="AC21" s="16">
        <v>231.26</v>
      </c>
      <c r="AD21" s="16">
        <v>231.26</v>
      </c>
      <c r="AE21" s="16"/>
      <c r="AF21" s="16"/>
      <c r="AG21" s="16"/>
      <c r="AH21" s="16"/>
      <c r="AI21" s="16"/>
      <c r="AJ21" s="16"/>
      <c r="AK21" s="16"/>
      <c r="AL21" s="16"/>
      <c r="AM21" s="16"/>
      <c r="AN21" s="16"/>
      <c r="AO21" s="16"/>
      <c r="AP21" s="16"/>
      <c r="AQ21" s="16"/>
    </row>
    <row r="22" spans="1:43">
      <c r="A22" s="2267">
        <v>13</v>
      </c>
      <c r="B22" s="2267" t="s">
        <v>495</v>
      </c>
      <c r="C22" s="2267" t="s">
        <v>29</v>
      </c>
      <c r="D22" s="2292" t="s">
        <v>469</v>
      </c>
      <c r="E22" s="214" t="s">
        <v>470</v>
      </c>
      <c r="F22" s="356" t="s">
        <v>471</v>
      </c>
      <c r="G22" s="2274" t="s">
        <v>461</v>
      </c>
      <c r="H22" s="218">
        <v>160000</v>
      </c>
      <c r="I22" s="2" t="s">
        <v>34</v>
      </c>
      <c r="J22" s="2" t="s">
        <v>34</v>
      </c>
      <c r="K22" s="2" t="s">
        <v>34</v>
      </c>
      <c r="L22" s="2" t="s">
        <v>35</v>
      </c>
      <c r="M22" s="2" t="s">
        <v>36</v>
      </c>
      <c r="N22" s="16" t="s">
        <v>496</v>
      </c>
      <c r="O22" s="2273" t="s">
        <v>832</v>
      </c>
      <c r="P22" s="2273"/>
      <c r="Q22" s="2293"/>
      <c r="R22" s="2273" t="s">
        <v>460</v>
      </c>
      <c r="S22" s="2273" t="s">
        <v>496</v>
      </c>
      <c r="T22" s="16"/>
      <c r="U22" s="16"/>
      <c r="V22" s="16">
        <v>295.35000000000002</v>
      </c>
      <c r="W22" s="16">
        <v>295.35000000000002</v>
      </c>
      <c r="X22" s="16">
        <v>295.35000000000002</v>
      </c>
      <c r="Y22" s="16">
        <v>295.35000000000002</v>
      </c>
      <c r="Z22" s="16">
        <v>295.35000000000002</v>
      </c>
      <c r="AA22" s="16">
        <v>295.35000000000002</v>
      </c>
      <c r="AB22" s="16">
        <v>295.35000000000002</v>
      </c>
      <c r="AC22" s="16">
        <v>295.35000000000002</v>
      </c>
      <c r="AD22" s="16">
        <v>295.35000000000002</v>
      </c>
      <c r="AE22" s="16"/>
      <c r="AF22" s="16"/>
      <c r="AG22" s="16"/>
      <c r="AH22" s="16"/>
      <c r="AI22" s="16"/>
      <c r="AJ22" s="16"/>
      <c r="AK22" s="16"/>
      <c r="AL22" s="16"/>
      <c r="AM22" s="16"/>
      <c r="AN22" s="16"/>
      <c r="AO22" s="16"/>
      <c r="AP22" s="16"/>
      <c r="AQ22" s="16"/>
    </row>
    <row r="23" spans="1:43">
      <c r="A23" s="2267"/>
      <c r="B23" s="2267"/>
      <c r="C23" s="2267"/>
      <c r="D23" s="2273"/>
      <c r="E23" s="214" t="s">
        <v>472</v>
      </c>
      <c r="F23" s="356" t="s">
        <v>473</v>
      </c>
      <c r="G23" s="2274"/>
      <c r="H23" s="218">
        <v>160000</v>
      </c>
      <c r="I23" s="2" t="s">
        <v>34</v>
      </c>
      <c r="J23" s="2" t="s">
        <v>34</v>
      </c>
      <c r="K23" s="2" t="s">
        <v>34</v>
      </c>
      <c r="L23" s="2" t="s">
        <v>35</v>
      </c>
      <c r="M23" s="2" t="s">
        <v>36</v>
      </c>
      <c r="N23" s="16" t="s">
        <v>496</v>
      </c>
      <c r="O23" s="2273"/>
      <c r="P23" s="2273"/>
      <c r="Q23" s="2243"/>
      <c r="R23" s="2273"/>
      <c r="S23" s="2273"/>
      <c r="T23" s="16"/>
      <c r="U23" s="16"/>
      <c r="V23" s="16">
        <v>295.35000000000002</v>
      </c>
      <c r="W23" s="16">
        <v>295.35000000000002</v>
      </c>
      <c r="X23" s="16">
        <v>295.35000000000002</v>
      </c>
      <c r="Y23" s="16">
        <v>295.35000000000002</v>
      </c>
      <c r="Z23" s="16">
        <v>295.35000000000002</v>
      </c>
      <c r="AA23" s="16">
        <v>295.35000000000002</v>
      </c>
      <c r="AB23" s="16">
        <v>295.35000000000002</v>
      </c>
      <c r="AC23" s="16">
        <v>295.35000000000002</v>
      </c>
      <c r="AD23" s="16">
        <v>295.35000000000002</v>
      </c>
      <c r="AE23" s="16"/>
      <c r="AF23" s="16"/>
      <c r="AG23" s="16"/>
      <c r="AH23" s="16"/>
      <c r="AI23" s="16"/>
      <c r="AJ23" s="16"/>
      <c r="AK23" s="16"/>
      <c r="AL23" s="16"/>
      <c r="AM23" s="16"/>
      <c r="AN23" s="16"/>
      <c r="AO23" s="16"/>
      <c r="AP23" s="16"/>
      <c r="AQ23" s="16"/>
    </row>
    <row r="24" spans="1:43">
      <c r="A24" s="2267">
        <v>14</v>
      </c>
      <c r="B24" s="2267" t="s">
        <v>495</v>
      </c>
      <c r="C24" s="2267" t="s">
        <v>29</v>
      </c>
      <c r="D24" s="2292" t="s">
        <v>474</v>
      </c>
      <c r="E24" s="214" t="s">
        <v>475</v>
      </c>
      <c r="F24" s="215" t="s">
        <v>476</v>
      </c>
      <c r="G24" s="2274" t="s">
        <v>452</v>
      </c>
      <c r="H24" s="218">
        <v>160000</v>
      </c>
      <c r="I24" s="2" t="s">
        <v>34</v>
      </c>
      <c r="J24" s="2" t="s">
        <v>34</v>
      </c>
      <c r="K24" s="2" t="s">
        <v>34</v>
      </c>
      <c r="L24" s="2" t="s">
        <v>35</v>
      </c>
      <c r="M24" s="2" t="s">
        <v>36</v>
      </c>
      <c r="N24" s="16" t="s">
        <v>496</v>
      </c>
      <c r="O24" s="2273" t="s">
        <v>832</v>
      </c>
      <c r="P24" s="2273"/>
      <c r="Q24" s="2293"/>
      <c r="R24" s="2273" t="s">
        <v>451</v>
      </c>
      <c r="S24" s="2273" t="s">
        <v>496</v>
      </c>
      <c r="T24" s="16"/>
      <c r="U24" s="16"/>
      <c r="V24" s="16">
        <v>79.78</v>
      </c>
      <c r="W24" s="16">
        <v>79.78</v>
      </c>
      <c r="X24" s="16">
        <v>79.78</v>
      </c>
      <c r="Y24" s="16">
        <v>79.78</v>
      </c>
      <c r="Z24" s="16">
        <v>79.78</v>
      </c>
      <c r="AA24" s="16">
        <v>79.78</v>
      </c>
      <c r="AB24" s="16">
        <v>79.78</v>
      </c>
      <c r="AC24" s="16">
        <v>79.78</v>
      </c>
      <c r="AD24" s="16">
        <v>79.78</v>
      </c>
      <c r="AE24" s="16"/>
      <c r="AF24" s="16"/>
      <c r="AG24" s="16"/>
      <c r="AH24" s="16"/>
      <c r="AI24" s="16"/>
      <c r="AJ24" s="16"/>
      <c r="AK24" s="16"/>
      <c r="AL24" s="16"/>
      <c r="AM24" s="16"/>
      <c r="AN24" s="16"/>
      <c r="AO24" s="16"/>
      <c r="AP24" s="16"/>
      <c r="AQ24" s="16"/>
    </row>
    <row r="25" spans="1:43">
      <c r="A25" s="2267"/>
      <c r="B25" s="2267"/>
      <c r="C25" s="2267"/>
      <c r="D25" s="2273"/>
      <c r="E25" s="214" t="s">
        <v>477</v>
      </c>
      <c r="F25" s="215" t="s">
        <v>478</v>
      </c>
      <c r="G25" s="2274"/>
      <c r="H25" s="218">
        <v>160000</v>
      </c>
      <c r="I25" s="2" t="s">
        <v>34</v>
      </c>
      <c r="J25" s="2" t="s">
        <v>34</v>
      </c>
      <c r="K25" s="2" t="s">
        <v>34</v>
      </c>
      <c r="L25" s="2" t="s">
        <v>35</v>
      </c>
      <c r="M25" s="2" t="s">
        <v>36</v>
      </c>
      <c r="N25" s="16" t="s">
        <v>496</v>
      </c>
      <c r="O25" s="2273"/>
      <c r="P25" s="2273"/>
      <c r="Q25" s="2243"/>
      <c r="R25" s="2273"/>
      <c r="S25" s="2273"/>
      <c r="T25" s="16"/>
      <c r="U25" s="16"/>
      <c r="V25" s="16">
        <v>79.78</v>
      </c>
      <c r="W25" s="16">
        <v>79.78</v>
      </c>
      <c r="X25" s="16">
        <v>79.78</v>
      </c>
      <c r="Y25" s="16">
        <v>79.78</v>
      </c>
      <c r="Z25" s="16">
        <v>79.78</v>
      </c>
      <c r="AA25" s="16">
        <v>79.78</v>
      </c>
      <c r="AB25" s="16">
        <v>79.78</v>
      </c>
      <c r="AC25" s="16">
        <v>79.78</v>
      </c>
      <c r="AD25" s="16">
        <v>79.78</v>
      </c>
      <c r="AE25" s="16"/>
      <c r="AF25" s="16"/>
      <c r="AG25" s="16"/>
      <c r="AH25" s="16"/>
      <c r="AI25" s="16"/>
      <c r="AJ25" s="16"/>
      <c r="AK25" s="16"/>
      <c r="AL25" s="16"/>
      <c r="AM25" s="16"/>
      <c r="AN25" s="16"/>
      <c r="AO25" s="16"/>
      <c r="AP25" s="16"/>
      <c r="AQ25" s="16"/>
    </row>
    <row r="26" spans="1:43">
      <c r="A26" s="2">
        <v>15</v>
      </c>
      <c r="B26" s="2" t="s">
        <v>495</v>
      </c>
      <c r="C26" s="2" t="s">
        <v>29</v>
      </c>
      <c r="D26" s="339" t="s">
        <v>479</v>
      </c>
      <c r="E26" s="214" t="s">
        <v>480</v>
      </c>
      <c r="F26" s="215" t="s">
        <v>481</v>
      </c>
      <c r="G26" s="219" t="s">
        <v>452</v>
      </c>
      <c r="H26" s="218">
        <v>160000</v>
      </c>
      <c r="I26" s="2" t="s">
        <v>34</v>
      </c>
      <c r="J26" s="2" t="s">
        <v>34</v>
      </c>
      <c r="K26" s="2" t="s">
        <v>34</v>
      </c>
      <c r="L26" s="2" t="s">
        <v>35</v>
      </c>
      <c r="M26" s="2" t="s">
        <v>36</v>
      </c>
      <c r="N26" s="16" t="s">
        <v>496</v>
      </c>
      <c r="O26" s="218" t="s">
        <v>832</v>
      </c>
      <c r="P26" s="218"/>
      <c r="Q26" s="16"/>
      <c r="R26" s="218" t="s">
        <v>451</v>
      </c>
      <c r="S26" s="218" t="s">
        <v>496</v>
      </c>
      <c r="T26" s="16"/>
      <c r="U26" s="16"/>
      <c r="V26" s="16">
        <v>380.14</v>
      </c>
      <c r="W26" s="16">
        <v>380.14</v>
      </c>
      <c r="X26" s="16">
        <v>380.14</v>
      </c>
      <c r="Y26" s="16">
        <v>380.14</v>
      </c>
      <c r="Z26" s="16">
        <v>380.14</v>
      </c>
      <c r="AA26" s="16">
        <v>380.14</v>
      </c>
      <c r="AB26" s="16">
        <v>380.14</v>
      </c>
      <c r="AC26" s="16">
        <v>380.14</v>
      </c>
      <c r="AD26" s="16">
        <v>380.14</v>
      </c>
      <c r="AE26" s="16"/>
      <c r="AF26" s="16"/>
      <c r="AG26" s="16"/>
      <c r="AH26" s="16"/>
      <c r="AI26" s="16"/>
      <c r="AJ26" s="16"/>
      <c r="AK26" s="16"/>
      <c r="AL26" s="16"/>
      <c r="AM26" s="16"/>
      <c r="AN26" s="16"/>
      <c r="AO26" s="16"/>
      <c r="AP26" s="16"/>
      <c r="AQ26" s="16"/>
    </row>
    <row r="27" spans="1:43">
      <c r="A27" s="2">
        <v>16</v>
      </c>
      <c r="B27" s="2" t="s">
        <v>495</v>
      </c>
      <c r="C27" s="2" t="s">
        <v>29</v>
      </c>
      <c r="D27" s="218" t="s">
        <v>482</v>
      </c>
      <c r="E27" s="214" t="s">
        <v>483</v>
      </c>
      <c r="F27" s="215" t="s">
        <v>484</v>
      </c>
      <c r="G27" s="219" t="s">
        <v>452</v>
      </c>
      <c r="H27" s="218">
        <v>160000</v>
      </c>
      <c r="I27" s="302" t="s">
        <v>34</v>
      </c>
      <c r="J27" s="2" t="s">
        <v>34</v>
      </c>
      <c r="K27" s="302" t="s">
        <v>34</v>
      </c>
      <c r="L27" s="302" t="s">
        <v>35</v>
      </c>
      <c r="M27" s="302" t="s">
        <v>36</v>
      </c>
      <c r="N27" s="279" t="s">
        <v>496</v>
      </c>
      <c r="O27" s="323" t="s">
        <v>833</v>
      </c>
      <c r="P27" s="278"/>
      <c r="Q27" s="279"/>
      <c r="R27" s="278" t="s">
        <v>451</v>
      </c>
      <c r="S27" s="218" t="s">
        <v>496</v>
      </c>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row>
    <row r="28" spans="1:43">
      <c r="A28" s="2267">
        <v>17</v>
      </c>
      <c r="B28" s="2267" t="s">
        <v>495</v>
      </c>
      <c r="C28" s="2267" t="s">
        <v>29</v>
      </c>
      <c r="D28" s="2292" t="s">
        <v>485</v>
      </c>
      <c r="E28" s="214" t="s">
        <v>486</v>
      </c>
      <c r="F28" s="215" t="s">
        <v>487</v>
      </c>
      <c r="G28" s="2274" t="s">
        <v>461</v>
      </c>
      <c r="H28" s="218">
        <v>160000</v>
      </c>
      <c r="I28" s="2" t="s">
        <v>34</v>
      </c>
      <c r="J28" s="2" t="s">
        <v>34</v>
      </c>
      <c r="K28" s="2" t="s">
        <v>34</v>
      </c>
      <c r="L28" s="2" t="s">
        <v>35</v>
      </c>
      <c r="M28" s="2" t="s">
        <v>36</v>
      </c>
      <c r="N28" s="16" t="s">
        <v>496</v>
      </c>
      <c r="O28" s="2273" t="s">
        <v>832</v>
      </c>
      <c r="P28" s="2273"/>
      <c r="Q28" s="2293"/>
      <c r="R28" s="2273" t="s">
        <v>460</v>
      </c>
      <c r="S28" s="2273" t="s">
        <v>496</v>
      </c>
      <c r="T28" s="16"/>
      <c r="U28" s="16"/>
      <c r="V28" s="16">
        <v>47.08</v>
      </c>
      <c r="W28" s="16">
        <v>47.08</v>
      </c>
      <c r="X28" s="16">
        <v>47.08</v>
      </c>
      <c r="Y28" s="16">
        <v>47.08</v>
      </c>
      <c r="Z28" s="16">
        <v>47.08</v>
      </c>
      <c r="AA28" s="16">
        <v>47.08</v>
      </c>
      <c r="AB28" s="16">
        <v>47.08</v>
      </c>
      <c r="AC28" s="16">
        <v>47.08</v>
      </c>
      <c r="AD28" s="16">
        <v>47.08</v>
      </c>
      <c r="AE28" s="16"/>
      <c r="AF28" s="16"/>
      <c r="AG28" s="16"/>
      <c r="AH28" s="16"/>
      <c r="AI28" s="16"/>
      <c r="AJ28" s="16"/>
      <c r="AK28" s="16"/>
      <c r="AL28" s="16"/>
      <c r="AM28" s="16"/>
      <c r="AN28" s="16"/>
      <c r="AO28" s="16"/>
      <c r="AP28" s="16"/>
      <c r="AQ28" s="16"/>
    </row>
    <row r="29" spans="1:43">
      <c r="A29" s="2267"/>
      <c r="B29" s="2267"/>
      <c r="C29" s="2267"/>
      <c r="D29" s="2273"/>
      <c r="E29" s="214" t="s">
        <v>488</v>
      </c>
      <c r="F29" s="215" t="s">
        <v>489</v>
      </c>
      <c r="G29" s="2274"/>
      <c r="H29" s="218">
        <v>160000</v>
      </c>
      <c r="I29" s="2" t="s">
        <v>34</v>
      </c>
      <c r="J29" s="2" t="s">
        <v>34</v>
      </c>
      <c r="K29" s="2" t="s">
        <v>34</v>
      </c>
      <c r="L29" s="2" t="s">
        <v>35</v>
      </c>
      <c r="M29" s="2" t="s">
        <v>36</v>
      </c>
      <c r="N29" s="16" t="s">
        <v>496</v>
      </c>
      <c r="O29" s="2273"/>
      <c r="P29" s="2273"/>
      <c r="Q29" s="2243"/>
      <c r="R29" s="2273"/>
      <c r="S29" s="2273"/>
      <c r="T29" s="16"/>
      <c r="U29" s="16"/>
      <c r="V29" s="16">
        <v>47.08</v>
      </c>
      <c r="W29" s="16">
        <v>47.08</v>
      </c>
      <c r="X29" s="16">
        <v>47.08</v>
      </c>
      <c r="Y29" s="16">
        <v>47.08</v>
      </c>
      <c r="Z29" s="16">
        <v>47.08</v>
      </c>
      <c r="AA29" s="16">
        <v>47.08</v>
      </c>
      <c r="AB29" s="16">
        <v>47.08</v>
      </c>
      <c r="AC29" s="16">
        <v>47.08</v>
      </c>
      <c r="AD29" s="16">
        <v>47.08</v>
      </c>
      <c r="AE29" s="16"/>
      <c r="AF29" s="16"/>
      <c r="AG29" s="16"/>
      <c r="AH29" s="16"/>
      <c r="AI29" s="16"/>
      <c r="AJ29" s="16"/>
      <c r="AK29" s="16"/>
      <c r="AL29" s="16"/>
      <c r="AM29" s="16"/>
      <c r="AN29" s="16"/>
      <c r="AO29" s="16"/>
      <c r="AP29" s="16"/>
      <c r="AQ29" s="16"/>
    </row>
    <row r="30" spans="1:43">
      <c r="A30" s="2267">
        <v>18</v>
      </c>
      <c r="B30" s="2267" t="s">
        <v>495</v>
      </c>
      <c r="C30" s="2267" t="s">
        <v>29</v>
      </c>
      <c r="D30" s="2292" t="s">
        <v>490</v>
      </c>
      <c r="E30" s="214" t="s">
        <v>491</v>
      </c>
      <c r="F30" s="215" t="s">
        <v>492</v>
      </c>
      <c r="G30" s="2274" t="s">
        <v>461</v>
      </c>
      <c r="H30" s="218">
        <v>160000</v>
      </c>
      <c r="I30" s="2" t="s">
        <v>34</v>
      </c>
      <c r="J30" s="2" t="s">
        <v>34</v>
      </c>
      <c r="K30" s="2" t="s">
        <v>34</v>
      </c>
      <c r="L30" s="2" t="s">
        <v>35</v>
      </c>
      <c r="M30" s="2" t="s">
        <v>36</v>
      </c>
      <c r="N30" s="16" t="s">
        <v>496</v>
      </c>
      <c r="O30" s="2273" t="s">
        <v>832</v>
      </c>
      <c r="P30" s="2273"/>
      <c r="Q30" s="2293"/>
      <c r="R30" s="2273" t="s">
        <v>460</v>
      </c>
      <c r="S30" s="2273" t="s">
        <v>496</v>
      </c>
      <c r="T30" s="16"/>
      <c r="U30" s="16"/>
      <c r="V30" s="16">
        <v>165.99</v>
      </c>
      <c r="W30" s="16">
        <v>165.99</v>
      </c>
      <c r="X30" s="16">
        <v>165.99</v>
      </c>
      <c r="Y30" s="16">
        <v>165.99</v>
      </c>
      <c r="Z30" s="16">
        <v>165.99</v>
      </c>
      <c r="AA30" s="16">
        <v>165.99</v>
      </c>
      <c r="AB30" s="16">
        <v>165.99</v>
      </c>
      <c r="AC30" s="16">
        <v>165.99</v>
      </c>
      <c r="AD30" s="16">
        <v>165.99</v>
      </c>
      <c r="AE30" s="16"/>
      <c r="AF30" s="16"/>
      <c r="AG30" s="16"/>
      <c r="AH30" s="16"/>
      <c r="AI30" s="16"/>
      <c r="AJ30" s="16"/>
      <c r="AK30" s="16"/>
      <c r="AL30" s="16"/>
      <c r="AM30" s="16"/>
      <c r="AN30" s="16"/>
      <c r="AO30" s="16"/>
      <c r="AP30" s="16"/>
      <c r="AQ30" s="16"/>
    </row>
    <row r="31" spans="1:43">
      <c r="A31" s="2267"/>
      <c r="B31" s="2267"/>
      <c r="C31" s="2267"/>
      <c r="D31" s="2273"/>
      <c r="E31" s="214" t="s">
        <v>493</v>
      </c>
      <c r="F31" s="214" t="s">
        <v>494</v>
      </c>
      <c r="G31" s="2274"/>
      <c r="H31" s="218">
        <v>160000</v>
      </c>
      <c r="I31" s="2" t="s">
        <v>34</v>
      </c>
      <c r="J31" s="2" t="s">
        <v>34</v>
      </c>
      <c r="K31" s="2" t="s">
        <v>34</v>
      </c>
      <c r="L31" s="2" t="s">
        <v>35</v>
      </c>
      <c r="M31" s="2" t="s">
        <v>36</v>
      </c>
      <c r="N31" s="16" t="s">
        <v>496</v>
      </c>
      <c r="O31" s="2273"/>
      <c r="P31" s="2273"/>
      <c r="Q31" s="2243"/>
      <c r="R31" s="2273"/>
      <c r="S31" s="2273"/>
      <c r="T31" s="16"/>
      <c r="U31" s="16"/>
      <c r="V31" s="16">
        <v>165.99</v>
      </c>
      <c r="W31" s="16">
        <v>165.99</v>
      </c>
      <c r="X31" s="16">
        <v>165.99</v>
      </c>
      <c r="Y31" s="16">
        <v>165.99</v>
      </c>
      <c r="Z31" s="16">
        <v>165.99</v>
      </c>
      <c r="AA31" s="16">
        <v>165.99</v>
      </c>
      <c r="AB31" s="16">
        <v>165.99</v>
      </c>
      <c r="AC31" s="16">
        <v>165.99</v>
      </c>
      <c r="AD31" s="16">
        <v>165.99</v>
      </c>
      <c r="AE31" s="16"/>
      <c r="AF31" s="16"/>
      <c r="AG31" s="16"/>
      <c r="AH31" s="16"/>
      <c r="AI31" s="16"/>
      <c r="AJ31" s="16"/>
      <c r="AK31" s="16"/>
      <c r="AL31" s="16"/>
      <c r="AM31" s="16"/>
      <c r="AN31" s="16"/>
      <c r="AO31" s="16"/>
      <c r="AP31" s="16"/>
      <c r="AQ31" s="16"/>
    </row>
    <row r="32" spans="1:43">
      <c r="A32" s="2">
        <v>19</v>
      </c>
      <c r="B32" s="2" t="s">
        <v>495</v>
      </c>
      <c r="C32" s="2" t="s">
        <v>29</v>
      </c>
      <c r="D32" s="205" t="s">
        <v>507</v>
      </c>
      <c r="E32" s="218" t="s">
        <v>508</v>
      </c>
      <c r="F32" s="218" t="s">
        <v>138</v>
      </c>
      <c r="G32" s="2" t="s">
        <v>452</v>
      </c>
      <c r="H32" s="218">
        <v>160000</v>
      </c>
      <c r="I32" s="2" t="s">
        <v>34</v>
      </c>
      <c r="J32" s="2" t="s">
        <v>34</v>
      </c>
      <c r="K32" s="2" t="s">
        <v>34</v>
      </c>
      <c r="L32" s="2" t="s">
        <v>35</v>
      </c>
      <c r="M32" s="2" t="s">
        <v>36</v>
      </c>
      <c r="N32" s="2" t="s">
        <v>509</v>
      </c>
      <c r="O32" s="2" t="s">
        <v>832</v>
      </c>
      <c r="P32" s="2"/>
      <c r="Q32" s="2"/>
      <c r="R32" s="2" t="s">
        <v>501</v>
      </c>
      <c r="S32" s="2" t="s">
        <v>509</v>
      </c>
      <c r="T32" s="2"/>
      <c r="U32" s="2"/>
      <c r="V32" s="178">
        <v>256.16000000000003</v>
      </c>
      <c r="W32" s="178">
        <v>256.16000000000003</v>
      </c>
      <c r="X32" s="178">
        <v>256.16000000000003</v>
      </c>
      <c r="Y32" s="178">
        <v>256.16000000000003</v>
      </c>
      <c r="Z32" s="178">
        <v>256.16000000000003</v>
      </c>
      <c r="AA32" s="178">
        <v>256.16000000000003</v>
      </c>
      <c r="AB32" s="178">
        <v>256.16000000000003</v>
      </c>
      <c r="AC32" s="178">
        <v>256.16000000000003</v>
      </c>
      <c r="AD32" s="178">
        <v>256.16000000000003</v>
      </c>
      <c r="AE32" s="2"/>
      <c r="AF32" s="2"/>
      <c r="AG32" s="2"/>
      <c r="AH32" s="2"/>
      <c r="AI32" s="2"/>
      <c r="AJ32" s="2"/>
      <c r="AK32" s="2"/>
      <c r="AL32" s="2"/>
      <c r="AM32" s="2"/>
      <c r="AN32" s="2"/>
      <c r="AO32" s="2"/>
      <c r="AP32" s="2"/>
      <c r="AQ32" s="2"/>
    </row>
    <row r="33" spans="1:43">
      <c r="A33" s="2">
        <v>20</v>
      </c>
      <c r="B33" s="2" t="s">
        <v>495</v>
      </c>
      <c r="C33" s="2" t="s">
        <v>29</v>
      </c>
      <c r="D33" s="205" t="s">
        <v>789</v>
      </c>
      <c r="E33" s="218" t="s">
        <v>790</v>
      </c>
      <c r="F33" s="218" t="s">
        <v>791</v>
      </c>
      <c r="G33" s="2" t="s">
        <v>452</v>
      </c>
      <c r="H33" s="218">
        <v>150000</v>
      </c>
      <c r="I33" s="2" t="s">
        <v>34</v>
      </c>
      <c r="J33" s="2" t="s">
        <v>34</v>
      </c>
      <c r="K33" s="2" t="s">
        <v>34</v>
      </c>
      <c r="L33" s="2" t="s">
        <v>35</v>
      </c>
      <c r="M33" s="2" t="s">
        <v>237</v>
      </c>
      <c r="N33" s="2" t="s">
        <v>808</v>
      </c>
      <c r="O33" s="2" t="s">
        <v>818</v>
      </c>
      <c r="P33" s="2"/>
      <c r="Q33" s="2"/>
      <c r="R33" s="2" t="s">
        <v>804</v>
      </c>
      <c r="S33" s="2" t="s">
        <v>808</v>
      </c>
      <c r="T33" s="2"/>
      <c r="U33" s="2"/>
      <c r="V33" s="178">
        <v>142.63</v>
      </c>
      <c r="W33" s="178">
        <v>142.63</v>
      </c>
      <c r="X33" s="178">
        <v>142.63</v>
      </c>
      <c r="Y33" s="178">
        <v>142.63</v>
      </c>
      <c r="Z33" s="178">
        <v>142.63</v>
      </c>
      <c r="AA33" s="178">
        <v>142.63</v>
      </c>
      <c r="AB33" s="178">
        <v>142.63</v>
      </c>
      <c r="AC33" s="178">
        <v>142.63</v>
      </c>
      <c r="AD33" s="178">
        <v>142.63</v>
      </c>
      <c r="AE33" s="2"/>
      <c r="AF33" s="2"/>
      <c r="AG33" s="2"/>
      <c r="AH33" s="2"/>
      <c r="AI33" s="2"/>
      <c r="AJ33" s="2"/>
      <c r="AK33" s="2"/>
      <c r="AL33" s="2"/>
      <c r="AM33" s="2"/>
      <c r="AN33" s="2"/>
      <c r="AO33" s="2"/>
      <c r="AP33" s="2"/>
      <c r="AQ33" s="2"/>
    </row>
    <row r="34" spans="1:43">
      <c r="A34" s="2267">
        <v>21</v>
      </c>
      <c r="B34" s="2267" t="s">
        <v>495</v>
      </c>
      <c r="C34" s="2267" t="s">
        <v>29</v>
      </c>
      <c r="D34" s="2296" t="s">
        <v>793</v>
      </c>
      <c r="E34" s="218" t="s">
        <v>794</v>
      </c>
      <c r="F34" s="218" t="s">
        <v>805</v>
      </c>
      <c r="G34" s="2267" t="s">
        <v>452</v>
      </c>
      <c r="H34" s="218">
        <v>150000</v>
      </c>
      <c r="I34" s="2" t="s">
        <v>34</v>
      </c>
      <c r="J34" s="2" t="s">
        <v>34</v>
      </c>
      <c r="K34" s="2" t="s">
        <v>34</v>
      </c>
      <c r="L34" s="2" t="s">
        <v>35</v>
      </c>
      <c r="M34" s="2" t="s">
        <v>36</v>
      </c>
      <c r="N34" s="2295" t="s">
        <v>808</v>
      </c>
      <c r="O34" s="2295" t="s">
        <v>829</v>
      </c>
      <c r="P34" s="2297"/>
      <c r="Q34" s="2297"/>
      <c r="R34" s="2295" t="s">
        <v>804</v>
      </c>
      <c r="S34" s="2295" t="s">
        <v>808</v>
      </c>
      <c r="T34" s="2"/>
      <c r="U34" s="2"/>
      <c r="V34" s="178">
        <v>57.82</v>
      </c>
      <c r="W34" s="178">
        <v>57.82</v>
      </c>
      <c r="X34" s="178">
        <v>57.82</v>
      </c>
      <c r="Y34" s="178">
        <v>57.82</v>
      </c>
      <c r="Z34" s="178">
        <v>57.82</v>
      </c>
      <c r="AA34" s="178">
        <v>57.82</v>
      </c>
      <c r="AB34" s="178">
        <v>57.82</v>
      </c>
      <c r="AC34" s="178">
        <v>57.82</v>
      </c>
      <c r="AD34" s="178">
        <v>57.82</v>
      </c>
      <c r="AE34" s="2"/>
      <c r="AF34" s="2"/>
      <c r="AG34" s="2"/>
      <c r="AH34" s="2"/>
      <c r="AI34" s="2"/>
      <c r="AJ34" s="2"/>
      <c r="AK34" s="2"/>
      <c r="AL34" s="2"/>
      <c r="AM34" s="2"/>
      <c r="AN34" s="2"/>
      <c r="AO34" s="2"/>
      <c r="AP34" s="2"/>
      <c r="AQ34" s="2"/>
    </row>
    <row r="35" spans="1:43">
      <c r="A35" s="2267"/>
      <c r="B35" s="2267"/>
      <c r="C35" s="2267"/>
      <c r="D35" s="2267"/>
      <c r="E35" s="218" t="s">
        <v>795</v>
      </c>
      <c r="F35" s="218" t="s">
        <v>806</v>
      </c>
      <c r="G35" s="2267"/>
      <c r="H35" s="218">
        <v>150000</v>
      </c>
      <c r="I35" s="2" t="s">
        <v>34</v>
      </c>
      <c r="J35" s="2" t="s">
        <v>34</v>
      </c>
      <c r="K35" s="2" t="s">
        <v>34</v>
      </c>
      <c r="L35" s="2" t="s">
        <v>35</v>
      </c>
      <c r="M35" s="2" t="s">
        <v>36</v>
      </c>
      <c r="N35" s="2271"/>
      <c r="O35" s="2271"/>
      <c r="P35" s="2271"/>
      <c r="Q35" s="2271"/>
      <c r="R35" s="2271"/>
      <c r="S35" s="2271"/>
      <c r="T35" s="2"/>
      <c r="U35" s="2"/>
      <c r="V35" s="178">
        <v>57.82</v>
      </c>
      <c r="W35" s="178">
        <v>57.82</v>
      </c>
      <c r="X35" s="178">
        <v>57.82</v>
      </c>
      <c r="Y35" s="178">
        <v>57.82</v>
      </c>
      <c r="Z35" s="178">
        <v>57.82</v>
      </c>
      <c r="AA35" s="178">
        <v>57.82</v>
      </c>
      <c r="AB35" s="178">
        <v>57.82</v>
      </c>
      <c r="AC35" s="178">
        <v>57.82</v>
      </c>
      <c r="AD35" s="178">
        <v>57.82</v>
      </c>
      <c r="AE35" s="2"/>
      <c r="AF35" s="2"/>
      <c r="AG35" s="2"/>
      <c r="AH35" s="2"/>
      <c r="AI35" s="2"/>
      <c r="AJ35" s="2"/>
      <c r="AK35" s="2"/>
      <c r="AL35" s="2"/>
      <c r="AM35" s="2"/>
      <c r="AN35" s="2"/>
      <c r="AO35" s="2"/>
      <c r="AP35" s="2"/>
      <c r="AQ35" s="2"/>
    </row>
    <row r="36" spans="1:43">
      <c r="A36" s="2267">
        <v>22</v>
      </c>
      <c r="B36" s="2267" t="s">
        <v>495</v>
      </c>
      <c r="C36" s="2267" t="s">
        <v>29</v>
      </c>
      <c r="D36" s="2296" t="s">
        <v>798</v>
      </c>
      <c r="E36" s="218" t="s">
        <v>799</v>
      </c>
      <c r="F36" s="218" t="s">
        <v>807</v>
      </c>
      <c r="G36" s="2267" t="s">
        <v>452</v>
      </c>
      <c r="H36" s="218">
        <v>150000</v>
      </c>
      <c r="I36" s="2" t="s">
        <v>34</v>
      </c>
      <c r="J36" s="2" t="s">
        <v>34</v>
      </c>
      <c r="K36" s="2" t="s">
        <v>34</v>
      </c>
      <c r="L36" s="2" t="s">
        <v>35</v>
      </c>
      <c r="M36" s="2" t="s">
        <v>36</v>
      </c>
      <c r="N36" s="2295" t="s">
        <v>808</v>
      </c>
      <c r="O36" s="2295" t="s">
        <v>830</v>
      </c>
      <c r="P36" s="2297"/>
      <c r="Q36" s="2297"/>
      <c r="R36" s="2295" t="s">
        <v>804</v>
      </c>
      <c r="S36" s="2295" t="s">
        <v>808</v>
      </c>
      <c r="T36" s="2"/>
      <c r="U36" s="2"/>
      <c r="V36" s="178">
        <v>189.69</v>
      </c>
      <c r="W36" s="178">
        <v>189.69</v>
      </c>
      <c r="X36" s="178">
        <v>189.69</v>
      </c>
      <c r="Y36" s="178">
        <v>189.69</v>
      </c>
      <c r="Z36" s="178">
        <v>189.69</v>
      </c>
      <c r="AA36" s="178">
        <v>189.69</v>
      </c>
      <c r="AB36" s="178">
        <v>189.69</v>
      </c>
      <c r="AC36" s="178">
        <v>189.69</v>
      </c>
      <c r="AD36" s="178">
        <v>189.69</v>
      </c>
      <c r="AE36" s="2"/>
      <c r="AF36" s="2"/>
      <c r="AG36" s="2"/>
      <c r="AH36" s="2"/>
      <c r="AI36" s="2"/>
      <c r="AJ36" s="2"/>
      <c r="AK36" s="2"/>
      <c r="AL36" s="2"/>
      <c r="AM36" s="2"/>
      <c r="AN36" s="2"/>
      <c r="AO36" s="2"/>
      <c r="AP36" s="2"/>
      <c r="AQ36" s="2"/>
    </row>
    <row r="37" spans="1:43">
      <c r="A37" s="2267"/>
      <c r="B37" s="2267"/>
      <c r="C37" s="2267"/>
      <c r="D37" s="2267"/>
      <c r="E37" s="218" t="s">
        <v>801</v>
      </c>
      <c r="F37" s="218" t="s">
        <v>807</v>
      </c>
      <c r="G37" s="2267"/>
      <c r="H37" s="218">
        <v>150000</v>
      </c>
      <c r="I37" s="2" t="s">
        <v>34</v>
      </c>
      <c r="J37" s="2" t="s">
        <v>34</v>
      </c>
      <c r="K37" s="2" t="s">
        <v>34</v>
      </c>
      <c r="L37" s="2" t="s">
        <v>35</v>
      </c>
      <c r="M37" s="2" t="s">
        <v>36</v>
      </c>
      <c r="N37" s="2271"/>
      <c r="O37" s="2271"/>
      <c r="P37" s="2271"/>
      <c r="Q37" s="2271"/>
      <c r="R37" s="2271"/>
      <c r="S37" s="2271"/>
      <c r="T37" s="2"/>
      <c r="U37" s="2"/>
      <c r="V37" s="178">
        <v>189.69</v>
      </c>
      <c r="W37" s="178">
        <v>189.69</v>
      </c>
      <c r="X37" s="178">
        <v>189.69</v>
      </c>
      <c r="Y37" s="178">
        <v>189.69</v>
      </c>
      <c r="Z37" s="178">
        <v>189.69</v>
      </c>
      <c r="AA37" s="178">
        <v>189.69</v>
      </c>
      <c r="AB37" s="178">
        <v>189.69</v>
      </c>
      <c r="AC37" s="178">
        <v>189.69</v>
      </c>
      <c r="AD37" s="178">
        <v>189.69</v>
      </c>
      <c r="AE37" s="2"/>
      <c r="AF37" s="2"/>
      <c r="AG37" s="2"/>
      <c r="AH37" s="2"/>
      <c r="AI37" s="2"/>
      <c r="AJ37" s="2"/>
      <c r="AK37" s="2"/>
      <c r="AL37" s="2"/>
      <c r="AM37" s="2"/>
      <c r="AN37" s="2"/>
      <c r="AO37" s="2"/>
      <c r="AP37" s="2"/>
      <c r="AQ37" s="2"/>
    </row>
    <row r="38" spans="1:43">
      <c r="A38" s="2">
        <v>23</v>
      </c>
      <c r="B38" s="2" t="s">
        <v>495</v>
      </c>
      <c r="C38" s="2" t="s">
        <v>29</v>
      </c>
      <c r="D38" s="340" t="s">
        <v>815</v>
      </c>
      <c r="E38" s="219" t="s">
        <v>816</v>
      </c>
      <c r="F38" s="219" t="s">
        <v>817</v>
      </c>
      <c r="G38" s="2" t="s">
        <v>452</v>
      </c>
      <c r="H38" s="218">
        <v>150000</v>
      </c>
      <c r="I38" s="2" t="s">
        <v>34</v>
      </c>
      <c r="J38" s="2" t="s">
        <v>34</v>
      </c>
      <c r="K38" s="2" t="s">
        <v>34</v>
      </c>
      <c r="L38" s="2" t="s">
        <v>35</v>
      </c>
      <c r="M38" s="2" t="s">
        <v>36</v>
      </c>
      <c r="N38" s="2" t="s">
        <v>814</v>
      </c>
      <c r="O38" s="2" t="s">
        <v>818</v>
      </c>
      <c r="P38" s="2"/>
      <c r="Q38" s="2"/>
      <c r="R38" s="2" t="s">
        <v>827</v>
      </c>
      <c r="S38" s="2" t="s">
        <v>814</v>
      </c>
      <c r="T38" s="2"/>
      <c r="U38" s="2"/>
      <c r="V38" s="178">
        <v>114.48</v>
      </c>
      <c r="W38" s="178">
        <v>114.48</v>
      </c>
      <c r="X38" s="178">
        <v>114.48</v>
      </c>
      <c r="Y38" s="178">
        <v>114.48</v>
      </c>
      <c r="Z38" s="178">
        <v>114.48</v>
      </c>
      <c r="AA38" s="178">
        <v>114.48</v>
      </c>
      <c r="AB38" s="178">
        <v>114.48</v>
      </c>
      <c r="AC38" s="178">
        <v>114.48</v>
      </c>
      <c r="AD38" s="178">
        <v>114.48</v>
      </c>
      <c r="AE38" s="2"/>
      <c r="AF38" s="2"/>
      <c r="AG38" s="2"/>
      <c r="AH38" s="2"/>
      <c r="AI38" s="2"/>
      <c r="AJ38" s="2"/>
      <c r="AK38" s="2"/>
      <c r="AL38" s="2"/>
      <c r="AM38" s="2"/>
      <c r="AN38" s="2"/>
      <c r="AO38" s="2"/>
      <c r="AP38" s="2"/>
      <c r="AQ38" s="2"/>
    </row>
    <row r="39" spans="1:43">
      <c r="A39" s="2267">
        <v>24</v>
      </c>
      <c r="B39" s="2267" t="s">
        <v>495</v>
      </c>
      <c r="C39" s="2267" t="s">
        <v>29</v>
      </c>
      <c r="D39" s="2311" t="s">
        <v>819</v>
      </c>
      <c r="E39" s="219" t="s">
        <v>820</v>
      </c>
      <c r="F39" s="219" t="s">
        <v>310</v>
      </c>
      <c r="G39" s="2267" t="s">
        <v>452</v>
      </c>
      <c r="H39" s="218">
        <v>75000</v>
      </c>
      <c r="I39" s="2" t="s">
        <v>34</v>
      </c>
      <c r="J39" s="2" t="s">
        <v>34</v>
      </c>
      <c r="K39" s="2" t="s">
        <v>34</v>
      </c>
      <c r="L39" s="2" t="s">
        <v>35</v>
      </c>
      <c r="M39" s="2" t="s">
        <v>36</v>
      </c>
      <c r="N39" s="2294" t="s">
        <v>814</v>
      </c>
      <c r="O39" s="2267" t="s">
        <v>818</v>
      </c>
      <c r="P39" s="2"/>
      <c r="Q39" s="2"/>
      <c r="R39" s="2294" t="s">
        <v>827</v>
      </c>
      <c r="S39" s="2294" t="s">
        <v>814</v>
      </c>
      <c r="T39" s="2"/>
      <c r="U39" s="2"/>
      <c r="V39" s="178">
        <v>379.47</v>
      </c>
      <c r="W39" s="178">
        <v>379.47</v>
      </c>
      <c r="X39" s="178">
        <v>379.47</v>
      </c>
      <c r="Y39" s="178">
        <v>379.47</v>
      </c>
      <c r="Z39" s="178">
        <v>379.47</v>
      </c>
      <c r="AA39" s="178">
        <v>379.47</v>
      </c>
      <c r="AB39" s="178">
        <v>379.47</v>
      </c>
      <c r="AC39" s="178">
        <v>379.47</v>
      </c>
      <c r="AD39" s="178">
        <v>379.47</v>
      </c>
      <c r="AE39" s="2"/>
      <c r="AF39" s="2"/>
      <c r="AG39" s="2"/>
      <c r="AH39" s="2"/>
      <c r="AI39" s="2"/>
      <c r="AJ39" s="2"/>
      <c r="AK39" s="2"/>
      <c r="AL39" s="2"/>
      <c r="AM39" s="2"/>
      <c r="AN39" s="2"/>
      <c r="AO39" s="2"/>
      <c r="AP39" s="2"/>
      <c r="AQ39" s="2"/>
    </row>
    <row r="40" spans="1:43">
      <c r="A40" s="2267"/>
      <c r="B40" s="2267"/>
      <c r="C40" s="2267"/>
      <c r="D40" s="2280"/>
      <c r="E40" s="219" t="s">
        <v>821</v>
      </c>
      <c r="F40" s="219" t="s">
        <v>310</v>
      </c>
      <c r="G40" s="2267"/>
      <c r="H40" s="218">
        <v>75000</v>
      </c>
      <c r="I40" s="2" t="s">
        <v>34</v>
      </c>
      <c r="J40" s="2" t="s">
        <v>34</v>
      </c>
      <c r="K40" s="2" t="s">
        <v>34</v>
      </c>
      <c r="L40" s="2" t="s">
        <v>35</v>
      </c>
      <c r="M40" s="2" t="s">
        <v>36</v>
      </c>
      <c r="N40" s="2271"/>
      <c r="O40" s="2267"/>
      <c r="P40" s="2"/>
      <c r="Q40" s="2"/>
      <c r="R40" s="2271"/>
      <c r="S40" s="2271"/>
      <c r="T40" s="2"/>
      <c r="U40" s="2"/>
      <c r="V40" s="178">
        <v>362.02</v>
      </c>
      <c r="W40" s="178">
        <v>362.02</v>
      </c>
      <c r="X40" s="178">
        <v>362.02</v>
      </c>
      <c r="Y40" s="178">
        <v>362.02</v>
      </c>
      <c r="Z40" s="178">
        <v>362.02</v>
      </c>
      <c r="AA40" s="178">
        <v>362.02</v>
      </c>
      <c r="AB40" s="178">
        <v>362.02</v>
      </c>
      <c r="AC40" s="178">
        <v>362.02</v>
      </c>
      <c r="AD40" s="178">
        <v>362.02</v>
      </c>
      <c r="AE40" s="2"/>
      <c r="AF40" s="2"/>
      <c r="AG40" s="2"/>
      <c r="AH40" s="2"/>
      <c r="AI40" s="2"/>
      <c r="AJ40" s="2"/>
      <c r="AK40" s="2"/>
      <c r="AL40" s="2"/>
      <c r="AM40" s="2"/>
      <c r="AN40" s="2"/>
      <c r="AO40" s="2"/>
      <c r="AP40" s="2"/>
      <c r="AQ40" s="2"/>
    </row>
    <row r="41" spans="1:43">
      <c r="A41" s="55">
        <v>25</v>
      </c>
      <c r="B41" s="55" t="s">
        <v>495</v>
      </c>
      <c r="C41" s="16"/>
      <c r="D41" s="341" t="s">
        <v>834</v>
      </c>
      <c r="E41" s="219" t="s">
        <v>855</v>
      </c>
      <c r="F41" s="219" t="s">
        <v>844</v>
      </c>
      <c r="G41" s="16" t="s">
        <v>452</v>
      </c>
      <c r="H41" s="218">
        <v>30000</v>
      </c>
      <c r="I41" s="2" t="s">
        <v>34</v>
      </c>
      <c r="J41" s="2" t="s">
        <v>34</v>
      </c>
      <c r="K41" s="2" t="s">
        <v>34</v>
      </c>
      <c r="L41" s="2" t="s">
        <v>35</v>
      </c>
      <c r="M41" s="2" t="s">
        <v>36</v>
      </c>
      <c r="N41" s="16" t="s">
        <v>851</v>
      </c>
      <c r="O41" s="2" t="s">
        <v>852</v>
      </c>
      <c r="P41" s="16"/>
      <c r="Q41" s="16"/>
      <c r="R41" s="16"/>
      <c r="S41" s="16" t="s">
        <v>851</v>
      </c>
      <c r="T41" s="16"/>
      <c r="U41" s="16"/>
      <c r="V41" s="16">
        <v>381.45</v>
      </c>
      <c r="W41" s="16">
        <v>381.45</v>
      </c>
      <c r="X41" s="16">
        <v>381.45</v>
      </c>
      <c r="Y41" s="16">
        <v>381.45</v>
      </c>
      <c r="Z41" s="16">
        <v>381.45</v>
      </c>
      <c r="AA41" s="16">
        <v>381.45</v>
      </c>
      <c r="AB41" s="16">
        <v>381.45</v>
      </c>
      <c r="AC41" s="16">
        <v>381.45</v>
      </c>
      <c r="AD41" s="16">
        <v>381.45</v>
      </c>
      <c r="AE41" s="16"/>
      <c r="AF41" s="16"/>
      <c r="AG41" s="16"/>
      <c r="AH41" s="16"/>
      <c r="AI41" s="16"/>
      <c r="AJ41" s="16"/>
      <c r="AK41" s="16"/>
      <c r="AL41" s="16"/>
      <c r="AM41" s="16"/>
      <c r="AN41" s="16"/>
      <c r="AO41" s="16"/>
      <c r="AP41" s="16"/>
      <c r="AQ41" s="16"/>
    </row>
    <row r="42" spans="1:43">
      <c r="A42" s="2227">
        <v>26</v>
      </c>
      <c r="B42" s="2288" t="s">
        <v>495</v>
      </c>
      <c r="C42" s="16"/>
      <c r="D42" s="2286" t="s">
        <v>835</v>
      </c>
      <c r="E42" s="219" t="s">
        <v>838</v>
      </c>
      <c r="F42" s="357" t="s">
        <v>845</v>
      </c>
      <c r="G42" s="2267" t="s">
        <v>452</v>
      </c>
      <c r="H42" s="218">
        <v>150000</v>
      </c>
      <c r="I42" s="2" t="s">
        <v>34</v>
      </c>
      <c r="J42" s="2" t="s">
        <v>34</v>
      </c>
      <c r="K42" s="2" t="s">
        <v>34</v>
      </c>
      <c r="L42" s="2" t="s">
        <v>35</v>
      </c>
      <c r="M42" s="2" t="s">
        <v>36</v>
      </c>
      <c r="N42" s="2272" t="s">
        <v>851</v>
      </c>
      <c r="O42" s="2" t="s">
        <v>852</v>
      </c>
      <c r="P42" s="16"/>
      <c r="Q42" s="16"/>
      <c r="R42" s="16"/>
      <c r="S42" s="16" t="s">
        <v>851</v>
      </c>
      <c r="T42" s="16"/>
      <c r="U42" s="16"/>
      <c r="V42" s="16">
        <v>387.69</v>
      </c>
      <c r="W42" s="16">
        <v>387.69</v>
      </c>
      <c r="X42" s="16">
        <v>387.69</v>
      </c>
      <c r="Y42" s="16">
        <v>387.69</v>
      </c>
      <c r="Z42" s="16">
        <v>387.69</v>
      </c>
      <c r="AA42" s="16">
        <v>387.69</v>
      </c>
      <c r="AB42" s="16">
        <v>387.69</v>
      </c>
      <c r="AC42" s="16">
        <v>387.69</v>
      </c>
      <c r="AD42" s="16">
        <v>387.69</v>
      </c>
      <c r="AE42" s="16"/>
      <c r="AF42" s="16"/>
      <c r="AG42" s="16"/>
      <c r="AH42" s="16"/>
      <c r="AI42" s="16"/>
      <c r="AJ42" s="16"/>
      <c r="AK42" s="16"/>
      <c r="AL42" s="16"/>
      <c r="AM42" s="16"/>
      <c r="AN42" s="16"/>
      <c r="AO42" s="16"/>
      <c r="AP42" s="16"/>
      <c r="AQ42" s="16"/>
    </row>
    <row r="43" spans="1:43">
      <c r="A43" s="2227"/>
      <c r="B43" s="2243"/>
      <c r="C43" s="16"/>
      <c r="D43" s="2227"/>
      <c r="E43" s="219" t="s">
        <v>839</v>
      </c>
      <c r="F43" s="357" t="s">
        <v>846</v>
      </c>
      <c r="G43" s="2267"/>
      <c r="H43" s="218">
        <v>150000</v>
      </c>
      <c r="I43" s="2" t="s">
        <v>34</v>
      </c>
      <c r="J43" s="2" t="s">
        <v>34</v>
      </c>
      <c r="K43" s="2" t="s">
        <v>34</v>
      </c>
      <c r="L43" s="2" t="s">
        <v>35</v>
      </c>
      <c r="M43" s="2" t="s">
        <v>36</v>
      </c>
      <c r="N43" s="2243"/>
      <c r="O43" s="2" t="s">
        <v>852</v>
      </c>
      <c r="P43" s="16"/>
      <c r="Q43" s="16"/>
      <c r="R43" s="16"/>
      <c r="S43" s="16" t="s">
        <v>851</v>
      </c>
      <c r="T43" s="16"/>
      <c r="U43" s="16"/>
      <c r="V43" s="16">
        <v>387.69</v>
      </c>
      <c r="W43" s="16">
        <v>387.69</v>
      </c>
      <c r="X43" s="16">
        <v>387.69</v>
      </c>
      <c r="Y43" s="16">
        <v>387.69</v>
      </c>
      <c r="Z43" s="16">
        <v>387.69</v>
      </c>
      <c r="AA43" s="16">
        <v>387.69</v>
      </c>
      <c r="AB43" s="16">
        <v>387.69</v>
      </c>
      <c r="AC43" s="16">
        <v>387.69</v>
      </c>
      <c r="AD43" s="16">
        <v>387.69</v>
      </c>
      <c r="AE43" s="16"/>
      <c r="AF43" s="16"/>
      <c r="AG43" s="16"/>
      <c r="AH43" s="16"/>
      <c r="AI43" s="16"/>
      <c r="AJ43" s="16"/>
      <c r="AK43" s="16"/>
      <c r="AL43" s="16"/>
      <c r="AM43" s="16"/>
      <c r="AN43" s="16"/>
      <c r="AO43" s="16"/>
      <c r="AP43" s="16"/>
      <c r="AQ43" s="16"/>
    </row>
    <row r="44" spans="1:43">
      <c r="A44" s="2227">
        <v>27</v>
      </c>
      <c r="B44" s="2288" t="s">
        <v>495</v>
      </c>
      <c r="C44" s="16"/>
      <c r="D44" s="2286" t="s">
        <v>836</v>
      </c>
      <c r="E44" s="219" t="s">
        <v>840</v>
      </c>
      <c r="F44" s="219" t="s">
        <v>847</v>
      </c>
      <c r="G44" s="2267" t="s">
        <v>452</v>
      </c>
      <c r="H44" s="218">
        <v>150000</v>
      </c>
      <c r="I44" s="2" t="s">
        <v>34</v>
      </c>
      <c r="J44" s="2" t="s">
        <v>34</v>
      </c>
      <c r="K44" s="2" t="s">
        <v>34</v>
      </c>
      <c r="L44" s="2" t="s">
        <v>35</v>
      </c>
      <c r="M44" s="2" t="s">
        <v>36</v>
      </c>
      <c r="N44" s="2272" t="s">
        <v>851</v>
      </c>
      <c r="O44" s="2" t="s">
        <v>852</v>
      </c>
      <c r="P44" s="16"/>
      <c r="Q44" s="16"/>
      <c r="R44" s="16"/>
      <c r="S44" s="16" t="s">
        <v>851</v>
      </c>
      <c r="T44" s="16"/>
      <c r="U44" s="16"/>
      <c r="V44" s="16">
        <v>72.680000000000007</v>
      </c>
      <c r="W44" s="16">
        <v>72.680000000000007</v>
      </c>
      <c r="X44" s="16">
        <v>72.680000000000007</v>
      </c>
      <c r="Y44" s="16">
        <v>72.680000000000007</v>
      </c>
      <c r="Z44" s="16">
        <v>72.680000000000007</v>
      </c>
      <c r="AA44" s="16">
        <v>72.680000000000007</v>
      </c>
      <c r="AB44" s="16">
        <v>72.680000000000007</v>
      </c>
      <c r="AC44" s="16">
        <v>72.680000000000007</v>
      </c>
      <c r="AD44" s="16">
        <v>72.680000000000007</v>
      </c>
      <c r="AE44" s="16"/>
      <c r="AF44" s="16"/>
      <c r="AG44" s="16"/>
      <c r="AH44" s="16"/>
      <c r="AI44" s="16"/>
      <c r="AJ44" s="16"/>
      <c r="AK44" s="16"/>
      <c r="AL44" s="16"/>
      <c r="AM44" s="16"/>
      <c r="AN44" s="16"/>
      <c r="AO44" s="16"/>
      <c r="AP44" s="16"/>
      <c r="AQ44" s="16"/>
    </row>
    <row r="45" spans="1:43">
      <c r="A45" s="2227"/>
      <c r="B45" s="2243"/>
      <c r="C45" s="16"/>
      <c r="D45" s="2227"/>
      <c r="E45" s="219" t="s">
        <v>841</v>
      </c>
      <c r="F45" s="219" t="s">
        <v>848</v>
      </c>
      <c r="G45" s="2267"/>
      <c r="H45" s="218">
        <v>150000</v>
      </c>
      <c r="I45" s="2" t="s">
        <v>34</v>
      </c>
      <c r="J45" s="2" t="s">
        <v>34</v>
      </c>
      <c r="K45" s="2" t="s">
        <v>34</v>
      </c>
      <c r="L45" s="2" t="s">
        <v>35</v>
      </c>
      <c r="M45" s="2" t="s">
        <v>36</v>
      </c>
      <c r="N45" s="2243"/>
      <c r="O45" s="2" t="s">
        <v>852</v>
      </c>
      <c r="P45" s="16"/>
      <c r="Q45" s="16"/>
      <c r="R45" s="16"/>
      <c r="S45" s="16" t="s">
        <v>851</v>
      </c>
      <c r="T45" s="16"/>
      <c r="U45" s="16"/>
      <c r="V45" s="16">
        <v>72.680000000000007</v>
      </c>
      <c r="W45" s="16">
        <v>72.680000000000007</v>
      </c>
      <c r="X45" s="16">
        <v>72.680000000000007</v>
      </c>
      <c r="Y45" s="16">
        <v>72.680000000000007</v>
      </c>
      <c r="Z45" s="16">
        <v>72.680000000000007</v>
      </c>
      <c r="AA45" s="16">
        <v>72.680000000000007</v>
      </c>
      <c r="AB45" s="16">
        <v>72.680000000000007</v>
      </c>
      <c r="AC45" s="16">
        <v>72.680000000000007</v>
      </c>
      <c r="AD45" s="16">
        <v>72.680000000000007</v>
      </c>
      <c r="AE45" s="16"/>
      <c r="AF45" s="16"/>
      <c r="AG45" s="16"/>
      <c r="AH45" s="16"/>
      <c r="AI45" s="16"/>
      <c r="AJ45" s="16"/>
      <c r="AK45" s="16"/>
      <c r="AL45" s="16"/>
      <c r="AM45" s="16"/>
      <c r="AN45" s="16"/>
      <c r="AO45" s="16"/>
      <c r="AP45" s="16"/>
      <c r="AQ45" s="16"/>
    </row>
    <row r="46" spans="1:43">
      <c r="A46" s="2227">
        <v>28</v>
      </c>
      <c r="B46" s="2288" t="s">
        <v>495</v>
      </c>
      <c r="C46" s="16"/>
      <c r="D46" s="2287" t="s">
        <v>837</v>
      </c>
      <c r="E46" s="219" t="s">
        <v>842</v>
      </c>
      <c r="F46" s="219" t="s">
        <v>849</v>
      </c>
      <c r="G46" s="2267" t="s">
        <v>452</v>
      </c>
      <c r="H46" s="218">
        <v>150000</v>
      </c>
      <c r="I46" s="2" t="s">
        <v>34</v>
      </c>
      <c r="J46" s="2" t="s">
        <v>34</v>
      </c>
      <c r="K46" s="2" t="s">
        <v>34</v>
      </c>
      <c r="L46" s="2" t="s">
        <v>35</v>
      </c>
      <c r="M46" s="2" t="s">
        <v>36</v>
      </c>
      <c r="N46" s="2272" t="s">
        <v>851</v>
      </c>
      <c r="O46" s="2" t="s">
        <v>852</v>
      </c>
      <c r="P46" s="16"/>
      <c r="Q46" s="16"/>
      <c r="R46" s="16"/>
      <c r="S46" s="16" t="s">
        <v>851</v>
      </c>
      <c r="T46" s="16"/>
      <c r="U46" s="16"/>
      <c r="V46" s="16">
        <v>127.9</v>
      </c>
      <c r="W46" s="16">
        <v>127.9</v>
      </c>
      <c r="X46" s="16">
        <v>127.9</v>
      </c>
      <c r="Y46" s="16">
        <v>127.9</v>
      </c>
      <c r="Z46" s="16">
        <v>127.9</v>
      </c>
      <c r="AA46" s="16">
        <v>127.9</v>
      </c>
      <c r="AB46" s="16">
        <v>127.9</v>
      </c>
      <c r="AC46" s="16">
        <v>127.9</v>
      </c>
      <c r="AD46" s="16">
        <v>127.9</v>
      </c>
      <c r="AE46" s="16"/>
      <c r="AF46" s="16"/>
      <c r="AG46" s="16"/>
      <c r="AH46" s="16"/>
      <c r="AI46" s="16"/>
      <c r="AJ46" s="16"/>
      <c r="AK46" s="16"/>
      <c r="AL46" s="16"/>
      <c r="AM46" s="16"/>
      <c r="AN46" s="16"/>
      <c r="AO46" s="16"/>
      <c r="AP46" s="16"/>
      <c r="AQ46" s="16"/>
    </row>
    <row r="47" spans="1:43">
      <c r="A47" s="2227"/>
      <c r="B47" s="2243"/>
      <c r="C47" s="16"/>
      <c r="D47" s="2227"/>
      <c r="E47" s="219" t="s">
        <v>843</v>
      </c>
      <c r="F47" s="219" t="s">
        <v>850</v>
      </c>
      <c r="G47" s="2267"/>
      <c r="H47" s="218">
        <v>150000</v>
      </c>
      <c r="I47" s="2" t="s">
        <v>34</v>
      </c>
      <c r="J47" s="2" t="s">
        <v>34</v>
      </c>
      <c r="K47" s="2" t="s">
        <v>34</v>
      </c>
      <c r="L47" s="2" t="s">
        <v>35</v>
      </c>
      <c r="M47" s="2" t="s">
        <v>36</v>
      </c>
      <c r="N47" s="2243"/>
      <c r="O47" s="2" t="s">
        <v>852</v>
      </c>
      <c r="P47" s="16"/>
      <c r="Q47" s="16"/>
      <c r="R47" s="16"/>
      <c r="S47" s="16" t="s">
        <v>851</v>
      </c>
      <c r="T47" s="16"/>
      <c r="U47" s="16"/>
      <c r="V47" s="16">
        <v>127.9</v>
      </c>
      <c r="W47" s="16">
        <v>127.9</v>
      </c>
      <c r="X47" s="16">
        <v>127.9</v>
      </c>
      <c r="Y47" s="16">
        <v>127.9</v>
      </c>
      <c r="Z47" s="16">
        <v>127.9</v>
      </c>
      <c r="AA47" s="16">
        <v>127.9</v>
      </c>
      <c r="AB47" s="16">
        <v>127.9</v>
      </c>
      <c r="AC47" s="16">
        <v>127.9</v>
      </c>
      <c r="AD47" s="16">
        <v>127.9</v>
      </c>
      <c r="AE47" s="16"/>
      <c r="AF47" s="16"/>
      <c r="AG47" s="16"/>
      <c r="AH47" s="16"/>
      <c r="AI47" s="16"/>
      <c r="AJ47" s="16"/>
      <c r="AK47" s="16"/>
      <c r="AL47" s="16"/>
      <c r="AM47" s="16"/>
      <c r="AN47" s="16"/>
      <c r="AO47" s="16"/>
      <c r="AP47" s="16"/>
      <c r="AQ47" s="16"/>
    </row>
    <row r="48" spans="1:43">
      <c r="A48" s="2227">
        <v>29</v>
      </c>
      <c r="B48" s="2227" t="s">
        <v>495</v>
      </c>
      <c r="C48" s="16"/>
      <c r="D48" s="2227" t="s">
        <v>948</v>
      </c>
      <c r="E48" s="219" t="s">
        <v>949</v>
      </c>
      <c r="F48" s="219" t="s">
        <v>951</v>
      </c>
      <c r="G48" s="2267" t="s">
        <v>452</v>
      </c>
      <c r="H48" s="218">
        <v>150000</v>
      </c>
      <c r="I48" s="2" t="s">
        <v>34</v>
      </c>
      <c r="J48" s="2" t="s">
        <v>34</v>
      </c>
      <c r="K48" s="2" t="s">
        <v>34</v>
      </c>
      <c r="L48" s="2" t="s">
        <v>35</v>
      </c>
      <c r="M48" s="2" t="s">
        <v>36</v>
      </c>
      <c r="N48" s="2227" t="s">
        <v>954</v>
      </c>
      <c r="O48" s="2227" t="s">
        <v>953</v>
      </c>
      <c r="P48" s="16"/>
      <c r="Q48" s="16"/>
      <c r="R48" s="16"/>
      <c r="S48" s="2227" t="s">
        <v>954</v>
      </c>
      <c r="T48" s="16"/>
      <c r="U48" s="16"/>
      <c r="V48" s="16"/>
      <c r="W48" s="16"/>
      <c r="X48" s="16"/>
      <c r="Y48" s="16"/>
      <c r="Z48" s="16"/>
      <c r="AA48" s="16">
        <f>SUBTOTAL(9,AA14:AA47)</f>
        <v>6136.7399999999989</v>
      </c>
      <c r="AB48" s="16">
        <f>SUBTOTAL(9,AB14:AB47)</f>
        <v>6136.7399999999989</v>
      </c>
      <c r="AC48" s="16"/>
      <c r="AD48" s="16"/>
      <c r="AE48" s="16"/>
      <c r="AF48" s="16"/>
      <c r="AG48" s="16"/>
      <c r="AH48" s="16"/>
      <c r="AI48" s="16"/>
      <c r="AJ48" s="16"/>
      <c r="AK48" s="16"/>
      <c r="AL48" s="16"/>
      <c r="AM48" s="16"/>
      <c r="AN48" s="16"/>
      <c r="AO48" s="16"/>
      <c r="AP48" s="16"/>
      <c r="AQ48" s="16"/>
    </row>
    <row r="49" spans="1:43">
      <c r="A49" s="2227"/>
      <c r="B49" s="2227"/>
      <c r="C49" s="16"/>
      <c r="D49" s="2227"/>
      <c r="E49" s="219" t="s">
        <v>950</v>
      </c>
      <c r="F49" s="219" t="s">
        <v>952</v>
      </c>
      <c r="G49" s="2267"/>
      <c r="H49" s="218">
        <v>150000</v>
      </c>
      <c r="I49" s="2" t="s">
        <v>34</v>
      </c>
      <c r="J49" s="2" t="s">
        <v>34</v>
      </c>
      <c r="K49" s="2" t="s">
        <v>34</v>
      </c>
      <c r="L49" s="2" t="s">
        <v>35</v>
      </c>
      <c r="M49" s="2" t="s">
        <v>36</v>
      </c>
      <c r="N49" s="2227"/>
      <c r="O49" s="2227"/>
      <c r="P49" s="16"/>
      <c r="Q49" s="16"/>
      <c r="R49" s="16"/>
      <c r="S49" s="2227"/>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row>
    <row r="50" spans="1:43">
      <c r="A50" s="2227">
        <v>30</v>
      </c>
      <c r="B50" s="2227" t="s">
        <v>495</v>
      </c>
      <c r="C50" s="16"/>
      <c r="D50" s="2227" t="s">
        <v>955</v>
      </c>
      <c r="E50" s="219" t="s">
        <v>956</v>
      </c>
      <c r="F50" s="219" t="s">
        <v>958</v>
      </c>
      <c r="G50" s="2267" t="s">
        <v>452</v>
      </c>
      <c r="H50" s="218">
        <v>150000</v>
      </c>
      <c r="I50" s="2" t="s">
        <v>34</v>
      </c>
      <c r="J50" s="2" t="s">
        <v>34</v>
      </c>
      <c r="K50" s="2" t="s">
        <v>34</v>
      </c>
      <c r="L50" s="2" t="s">
        <v>35</v>
      </c>
      <c r="M50" s="2" t="s">
        <v>36</v>
      </c>
      <c r="N50" s="2227" t="s">
        <v>954</v>
      </c>
      <c r="O50" s="2227" t="s">
        <v>953</v>
      </c>
      <c r="P50" s="16"/>
      <c r="Q50" s="16"/>
      <c r="R50" s="16"/>
      <c r="S50" s="2227" t="s">
        <v>954</v>
      </c>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row>
    <row r="51" spans="1:43">
      <c r="A51" s="2227"/>
      <c r="B51" s="2227"/>
      <c r="C51" s="16"/>
      <c r="D51" s="2227"/>
      <c r="E51" s="219" t="s">
        <v>957</v>
      </c>
      <c r="F51" s="219" t="s">
        <v>959</v>
      </c>
      <c r="G51" s="2267"/>
      <c r="H51" s="218">
        <v>150000</v>
      </c>
      <c r="I51" s="2" t="s">
        <v>34</v>
      </c>
      <c r="J51" s="2" t="s">
        <v>34</v>
      </c>
      <c r="K51" s="2" t="s">
        <v>34</v>
      </c>
      <c r="L51" s="2" t="s">
        <v>35</v>
      </c>
      <c r="M51" s="2" t="s">
        <v>36</v>
      </c>
      <c r="N51" s="2227"/>
      <c r="O51" s="2227"/>
      <c r="P51" s="16"/>
      <c r="Q51" s="16"/>
      <c r="R51" s="16"/>
      <c r="S51" s="2227"/>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row>
    <row r="52" spans="1:43">
      <c r="A52">
        <v>31</v>
      </c>
      <c r="B52" t="s">
        <v>495</v>
      </c>
      <c r="D52" t="s">
        <v>962</v>
      </c>
      <c r="E52" s="358" t="s">
        <v>963</v>
      </c>
      <c r="F52" t="s">
        <v>288</v>
      </c>
      <c r="G52" s="2298" t="s">
        <v>452</v>
      </c>
      <c r="H52" s="218">
        <v>150000</v>
      </c>
      <c r="I52" s="2" t="s">
        <v>34</v>
      </c>
      <c r="J52" s="2" t="s">
        <v>34</v>
      </c>
      <c r="K52" s="2" t="s">
        <v>34</v>
      </c>
      <c r="L52" s="2" t="s">
        <v>35</v>
      </c>
      <c r="M52" s="2" t="s">
        <v>36</v>
      </c>
      <c r="N52" s="2300" t="s">
        <v>966</v>
      </c>
      <c r="O52" s="2298" t="s">
        <v>967</v>
      </c>
      <c r="S52" s="2298" t="s">
        <v>966</v>
      </c>
    </row>
    <row r="53" spans="1:43">
      <c r="E53" s="358" t="s">
        <v>964</v>
      </c>
      <c r="F53" t="s">
        <v>965</v>
      </c>
      <c r="G53" s="2299"/>
      <c r="H53" s="218">
        <v>150000</v>
      </c>
      <c r="I53" s="2" t="s">
        <v>34</v>
      </c>
      <c r="J53" s="2" t="s">
        <v>34</v>
      </c>
      <c r="K53" s="2" t="s">
        <v>34</v>
      </c>
      <c r="L53" s="2" t="s">
        <v>35</v>
      </c>
      <c r="M53" s="2" t="s">
        <v>36</v>
      </c>
      <c r="N53" s="2301"/>
      <c r="O53" s="2299"/>
      <c r="S53" s="2299"/>
    </row>
    <row r="58" spans="1:43" ht="18" customHeight="1"/>
    <row r="59" spans="1:43" ht="13.5" customHeight="1"/>
    <row r="60" spans="1:43" ht="16.5" customHeight="1"/>
    <row r="61" spans="1:43" ht="12.75" customHeight="1"/>
  </sheetData>
  <autoFilter ref="A1:AQ51">
    <filterColumn colId="22" showButton="0"/>
    <filterColumn colId="23" showButton="0"/>
    <filterColumn colId="24" showButton="0"/>
    <filterColumn colId="25" showButton="0"/>
    <filterColumn colId="26" showButton="0"/>
    <filterColumn colId="27" showButton="0"/>
    <filterColumn colId="31" showButton="0"/>
    <filterColumn colId="32" showButton="0"/>
    <filterColumn colId="33" showButton="0"/>
    <filterColumn colId="34" showButton="0"/>
  </autoFilter>
  <mergeCells count="179">
    <mergeCell ref="G52:G53"/>
    <mergeCell ref="N52:N53"/>
    <mergeCell ref="O52:O53"/>
    <mergeCell ref="S52:S53"/>
    <mergeCell ref="W6:AQ11"/>
    <mergeCell ref="D39:D40"/>
    <mergeCell ref="G39:G40"/>
    <mergeCell ref="N39:N40"/>
    <mergeCell ref="O39:O40"/>
    <mergeCell ref="Q36:Q37"/>
    <mergeCell ref="P34:P35"/>
    <mergeCell ref="P36:P37"/>
    <mergeCell ref="P30:P31"/>
    <mergeCell ref="R30:R31"/>
    <mergeCell ref="S30:S31"/>
    <mergeCell ref="R24:R25"/>
    <mergeCell ref="S24:S25"/>
    <mergeCell ref="R28:R29"/>
    <mergeCell ref="S28:S29"/>
    <mergeCell ref="D20:D21"/>
    <mergeCell ref="G20:G21"/>
    <mergeCell ref="O20:O21"/>
    <mergeCell ref="P20:P21"/>
    <mergeCell ref="R20:R21"/>
    <mergeCell ref="C39:C40"/>
    <mergeCell ref="B39:B40"/>
    <mergeCell ref="A39:A40"/>
    <mergeCell ref="R39:R40"/>
    <mergeCell ref="S39:S40"/>
    <mergeCell ref="A34:A35"/>
    <mergeCell ref="A36:A37"/>
    <mergeCell ref="N34:N35"/>
    <mergeCell ref="N36:N37"/>
    <mergeCell ref="O34:O35"/>
    <mergeCell ref="O36:O37"/>
    <mergeCell ref="R34:R35"/>
    <mergeCell ref="R36:R37"/>
    <mergeCell ref="S34:S35"/>
    <mergeCell ref="S36:S37"/>
    <mergeCell ref="D34:D35"/>
    <mergeCell ref="D36:D37"/>
    <mergeCell ref="C34:C35"/>
    <mergeCell ref="B34:B35"/>
    <mergeCell ref="G34:G35"/>
    <mergeCell ref="G36:G37"/>
    <mergeCell ref="C36:C37"/>
    <mergeCell ref="B36:B37"/>
    <mergeCell ref="Q34:Q35"/>
    <mergeCell ref="D30:D31"/>
    <mergeCell ref="G30:G31"/>
    <mergeCell ref="O30:O31"/>
    <mergeCell ref="Q30:Q31"/>
    <mergeCell ref="D24:D25"/>
    <mergeCell ref="G24:G25"/>
    <mergeCell ref="O24:O25"/>
    <mergeCell ref="P24:P25"/>
    <mergeCell ref="Q24:Q25"/>
    <mergeCell ref="D28:D29"/>
    <mergeCell ref="G28:G29"/>
    <mergeCell ref="O28:O29"/>
    <mergeCell ref="P28:P29"/>
    <mergeCell ref="Q28:Q29"/>
    <mergeCell ref="S20:S21"/>
    <mergeCell ref="Q20:Q21"/>
    <mergeCell ref="A22:A23"/>
    <mergeCell ref="B22:B23"/>
    <mergeCell ref="C22:C23"/>
    <mergeCell ref="D22:D23"/>
    <mergeCell ref="G22:G23"/>
    <mergeCell ref="O22:O23"/>
    <mergeCell ref="P22:P23"/>
    <mergeCell ref="R22:R23"/>
    <mergeCell ref="S22:S23"/>
    <mergeCell ref="Q22:Q23"/>
    <mergeCell ref="R14:R17"/>
    <mergeCell ref="S14:S17"/>
    <mergeCell ref="A18:A19"/>
    <mergeCell ref="B18:B19"/>
    <mergeCell ref="C18:C19"/>
    <mergeCell ref="D18:D19"/>
    <mergeCell ref="G18:G19"/>
    <mergeCell ref="O18:O19"/>
    <mergeCell ref="P18:P19"/>
    <mergeCell ref="R18:R19"/>
    <mergeCell ref="S18:S19"/>
    <mergeCell ref="Q14:Q17"/>
    <mergeCell ref="Q18:Q19"/>
    <mergeCell ref="D7:D8"/>
    <mergeCell ref="A14:A17"/>
    <mergeCell ref="B14:B17"/>
    <mergeCell ref="C14:C17"/>
    <mergeCell ref="D14:D17"/>
    <mergeCell ref="N4:N5"/>
    <mergeCell ref="G14:G17"/>
    <mergeCell ref="O14:O17"/>
    <mergeCell ref="P14:P17"/>
    <mergeCell ref="O4:O5"/>
    <mergeCell ref="P4:P5"/>
    <mergeCell ref="Q4:Q5"/>
    <mergeCell ref="R4:R5"/>
    <mergeCell ref="S4:S5"/>
    <mergeCell ref="A4:A5"/>
    <mergeCell ref="B4:B5"/>
    <mergeCell ref="C4:C5"/>
    <mergeCell ref="D4:D5"/>
    <mergeCell ref="G4:G5"/>
    <mergeCell ref="AL1:AL2"/>
    <mergeCell ref="D1:D2"/>
    <mergeCell ref="E1:E2"/>
    <mergeCell ref="F1:F2"/>
    <mergeCell ref="M1:M2"/>
    <mergeCell ref="N1:N2"/>
    <mergeCell ref="O1:O2"/>
    <mergeCell ref="P1:P2"/>
    <mergeCell ref="Q1:Q2"/>
    <mergeCell ref="R1:R2"/>
    <mergeCell ref="G1:G2"/>
    <mergeCell ref="H1:H2"/>
    <mergeCell ref="I1:I2"/>
    <mergeCell ref="J1:J2"/>
    <mergeCell ref="K1:K2"/>
    <mergeCell ref="L1:L2"/>
    <mergeCell ref="AM1:AM2"/>
    <mergeCell ref="AN1:AN2"/>
    <mergeCell ref="AO1:AO2"/>
    <mergeCell ref="AP1:AP2"/>
    <mergeCell ref="AQ1:AQ2"/>
    <mergeCell ref="S1:S2"/>
    <mergeCell ref="T1:T2"/>
    <mergeCell ref="U1:U2"/>
    <mergeCell ref="W1:AC1"/>
    <mergeCell ref="AF1:AJ1"/>
    <mergeCell ref="A42:A43"/>
    <mergeCell ref="A44:A45"/>
    <mergeCell ref="A46:A47"/>
    <mergeCell ref="B42:B43"/>
    <mergeCell ref="B44:B45"/>
    <mergeCell ref="B46:B47"/>
    <mergeCell ref="A1:A2"/>
    <mergeCell ref="B1:B2"/>
    <mergeCell ref="C1:C2"/>
    <mergeCell ref="A7:A8"/>
    <mergeCell ref="B7:B8"/>
    <mergeCell ref="C7:C8"/>
    <mergeCell ref="A20:A21"/>
    <mergeCell ref="B20:B21"/>
    <mergeCell ref="C20:C21"/>
    <mergeCell ref="A24:A25"/>
    <mergeCell ref="B24:B25"/>
    <mergeCell ref="C24:C25"/>
    <mergeCell ref="A30:A31"/>
    <mergeCell ref="B30:B31"/>
    <mergeCell ref="C30:C31"/>
    <mergeCell ref="A28:A29"/>
    <mergeCell ref="B28:B29"/>
    <mergeCell ref="C28:C29"/>
    <mergeCell ref="G42:G43"/>
    <mergeCell ref="G44:G45"/>
    <mergeCell ref="G46:G47"/>
    <mergeCell ref="G48:G49"/>
    <mergeCell ref="N42:N43"/>
    <mergeCell ref="N44:N45"/>
    <mergeCell ref="N46:N47"/>
    <mergeCell ref="N48:N49"/>
    <mergeCell ref="D42:D43"/>
    <mergeCell ref="D44:D45"/>
    <mergeCell ref="D46:D47"/>
    <mergeCell ref="N50:N51"/>
    <mergeCell ref="S48:S49"/>
    <mergeCell ref="S50:S51"/>
    <mergeCell ref="O50:O51"/>
    <mergeCell ref="G50:G51"/>
    <mergeCell ref="B48:B49"/>
    <mergeCell ref="D48:D49"/>
    <mergeCell ref="A48:A49"/>
    <mergeCell ref="D50:D51"/>
    <mergeCell ref="B50:B51"/>
    <mergeCell ref="A50:A51"/>
    <mergeCell ref="O48:O49"/>
  </mergeCells>
  <conditionalFormatting sqref="AE1:AE5">
    <cfRule type="beginsWith" dxfId="3" priority="1" operator="beginsWith" text="W">
      <formula>LEFT(AE1,LEN("W"))="W"</formula>
    </cfRule>
  </conditionalFormatting>
  <conditionalFormatting sqref="AE12:AE1048576">
    <cfRule type="beginsWith" dxfId="2" priority="11" operator="beginsWith" text="W">
      <formula>LEFT(AE12,LEN("W"))="W"</formula>
    </cfRule>
  </conditionalFormatting>
  <pageMargins left="0.7" right="0.7" top="0.75" bottom="0.75" header="0.3" footer="0.3"/>
  <pageSetup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Q95"/>
  <sheetViews>
    <sheetView showGridLines="0" workbookViewId="0">
      <pane xSplit="6" ySplit="2" topLeftCell="G87" activePane="bottomRight" state="frozen"/>
      <selection pane="topRight" activeCell="F1" sqref="F1"/>
      <selection pane="bottomLeft" activeCell="A2" sqref="A2"/>
      <selection pane="bottomRight" activeCell="G4" sqref="G4"/>
    </sheetView>
  </sheetViews>
  <sheetFormatPr defaultRowHeight="15"/>
  <cols>
    <col min="1" max="1" width="5.7109375" bestFit="1" customWidth="1"/>
    <col min="2" max="2" width="14.140625" bestFit="1" customWidth="1"/>
    <col min="3" max="3" width="9.85546875" customWidth="1"/>
    <col min="4" max="4" width="25.85546875" bestFit="1" customWidth="1"/>
    <col min="5" max="5" width="12.28515625" bestFit="1" customWidth="1"/>
    <col min="6" max="6" width="34.140625" bestFit="1" customWidth="1"/>
    <col min="7" max="7" width="7.28515625" customWidth="1"/>
    <col min="8" max="8" width="16.85546875" bestFit="1" customWidth="1"/>
    <col min="9" max="9" width="8" bestFit="1" customWidth="1"/>
    <col min="11" max="11" width="7.5703125" bestFit="1" customWidth="1"/>
    <col min="12" max="12" width="9" customWidth="1"/>
    <col min="13" max="13" width="8.85546875" bestFit="1" customWidth="1"/>
    <col min="14" max="14" width="8.42578125" customWidth="1"/>
    <col min="15" max="15" width="10" bestFit="1" customWidth="1"/>
    <col min="16" max="16" width="14.85546875" customWidth="1"/>
    <col min="17" max="17" width="11.5703125" customWidth="1"/>
    <col min="18" max="18" width="9.28515625" customWidth="1"/>
    <col min="19" max="19" width="12.85546875" customWidth="1"/>
    <col min="20" max="20" width="11.140625" customWidth="1"/>
    <col min="21" max="22" width="11.140625" hidden="1" customWidth="1"/>
    <col min="23" max="23" width="9.28515625" customWidth="1"/>
    <col min="24" max="25" width="16.7109375" customWidth="1"/>
    <col min="26" max="28" width="11.5703125" customWidth="1"/>
    <col min="29" max="29" width="13.85546875" customWidth="1"/>
    <col min="30" max="30" width="11" customWidth="1"/>
    <col min="31" max="31" width="16.7109375" customWidth="1"/>
    <col min="32" max="32" width="11.85546875" customWidth="1"/>
    <col min="33" max="33" width="12.140625" customWidth="1"/>
    <col min="34" max="34" width="12" customWidth="1"/>
    <col min="35" max="37" width="16.7109375" customWidth="1"/>
    <col min="38" max="38" width="7.28515625" customWidth="1"/>
    <col min="39" max="39" width="7" customWidth="1"/>
    <col min="40" max="41" width="8" customWidth="1"/>
    <col min="42" max="42" width="8.28515625" customWidth="1"/>
    <col min="43" max="43" width="29.28515625" customWidth="1"/>
  </cols>
  <sheetData>
    <row r="1" spans="1:43" ht="25.5" customHeight="1">
      <c r="A1" s="2277" t="s">
        <v>0</v>
      </c>
      <c r="B1" s="2277" t="s">
        <v>1</v>
      </c>
      <c r="C1" s="2277" t="s">
        <v>2</v>
      </c>
      <c r="D1" s="2277" t="s">
        <v>5</v>
      </c>
      <c r="E1" s="2277" t="s">
        <v>3</v>
      </c>
      <c r="F1" s="2277" t="s">
        <v>4</v>
      </c>
      <c r="G1" s="12"/>
      <c r="H1" s="2277" t="s">
        <v>6</v>
      </c>
      <c r="I1" s="2277" t="s">
        <v>7</v>
      </c>
      <c r="J1" s="2277" t="s">
        <v>8</v>
      </c>
      <c r="K1" s="2277" t="s">
        <v>9</v>
      </c>
      <c r="L1" s="2277" t="s">
        <v>10</v>
      </c>
      <c r="M1" s="2277" t="s">
        <v>11</v>
      </c>
      <c r="N1" s="2277" t="s">
        <v>12</v>
      </c>
      <c r="O1" s="2277" t="s">
        <v>55</v>
      </c>
      <c r="P1" s="2277" t="s">
        <v>116</v>
      </c>
      <c r="Q1" s="2277" t="s">
        <v>13</v>
      </c>
      <c r="R1" s="2277" t="s">
        <v>14</v>
      </c>
      <c r="S1" s="2277" t="s">
        <v>110</v>
      </c>
      <c r="T1" s="2277" t="s">
        <v>15</v>
      </c>
      <c r="U1" s="2277" t="s">
        <v>16</v>
      </c>
      <c r="V1" s="2277" t="s">
        <v>302</v>
      </c>
      <c r="W1" s="2277" t="s">
        <v>18</v>
      </c>
      <c r="X1" s="2278" t="s">
        <v>349</v>
      </c>
      <c r="Y1" s="2278"/>
      <c r="Z1" s="2278"/>
      <c r="AA1" s="2278"/>
      <c r="AB1" s="2278"/>
      <c r="AC1" s="2278"/>
      <c r="AD1" s="168"/>
      <c r="AE1" s="167"/>
      <c r="AF1" s="2279" t="s">
        <v>21</v>
      </c>
      <c r="AG1" s="2279"/>
      <c r="AH1" s="2279"/>
      <c r="AI1" s="2279"/>
      <c r="AJ1" s="2279"/>
      <c r="AK1" s="169"/>
      <c r="AL1" s="2277" t="s">
        <v>22</v>
      </c>
      <c r="AM1" s="2277" t="s">
        <v>23</v>
      </c>
      <c r="AN1" s="2277" t="s">
        <v>24</v>
      </c>
      <c r="AO1" s="2277" t="s">
        <v>25</v>
      </c>
      <c r="AP1" s="2277" t="s">
        <v>26</v>
      </c>
      <c r="AQ1" s="2277" t="s">
        <v>27</v>
      </c>
    </row>
    <row r="2" spans="1:43" s="8" customFormat="1" ht="66" customHeight="1">
      <c r="A2" s="2277"/>
      <c r="B2" s="2277"/>
      <c r="C2" s="2277"/>
      <c r="D2" s="2277"/>
      <c r="E2" s="2277"/>
      <c r="F2" s="2277"/>
      <c r="G2" s="12" t="s">
        <v>1270</v>
      </c>
      <c r="H2" s="2277"/>
      <c r="I2" s="2277"/>
      <c r="J2" s="2277"/>
      <c r="K2" s="2277"/>
      <c r="L2" s="2277"/>
      <c r="M2" s="2277"/>
      <c r="N2" s="2277"/>
      <c r="O2" s="2277"/>
      <c r="P2" s="2277"/>
      <c r="Q2" s="2277"/>
      <c r="R2" s="2277"/>
      <c r="S2" s="2277"/>
      <c r="T2" s="2277"/>
      <c r="U2" s="2277"/>
      <c r="V2" s="2277"/>
      <c r="W2" s="2277"/>
      <c r="X2" s="33" t="s">
        <v>347</v>
      </c>
      <c r="Y2" s="153" t="s">
        <v>166</v>
      </c>
      <c r="Z2" s="12" t="s">
        <v>348</v>
      </c>
      <c r="AA2" s="33" t="s">
        <v>168</v>
      </c>
      <c r="AB2" s="33" t="s">
        <v>169</v>
      </c>
      <c r="AC2" s="33" t="s">
        <v>350</v>
      </c>
      <c r="AD2" s="168" t="s">
        <v>19</v>
      </c>
      <c r="AE2" s="167" t="s">
        <v>351</v>
      </c>
      <c r="AF2" s="33" t="s">
        <v>343</v>
      </c>
      <c r="AG2" s="12" t="s">
        <v>344</v>
      </c>
      <c r="AH2" s="12" t="s">
        <v>345</v>
      </c>
      <c r="AI2" s="33" t="s">
        <v>168</v>
      </c>
      <c r="AJ2" s="33" t="s">
        <v>169</v>
      </c>
      <c r="AK2" s="33" t="s">
        <v>350</v>
      </c>
      <c r="AL2" s="2277"/>
      <c r="AM2" s="2277"/>
      <c r="AN2" s="2277"/>
      <c r="AO2" s="2277"/>
      <c r="AP2" s="2277"/>
      <c r="AQ2" s="2277"/>
    </row>
    <row r="3" spans="1:43" s="15" customFormat="1" ht="30">
      <c r="A3" s="4">
        <v>1</v>
      </c>
      <c r="B3" s="4" t="s">
        <v>40</v>
      </c>
      <c r="C3" s="5" t="s">
        <v>29</v>
      </c>
      <c r="D3" s="4" t="s">
        <v>43</v>
      </c>
      <c r="E3" s="4" t="s">
        <v>41</v>
      </c>
      <c r="F3" s="4" t="s">
        <v>42</v>
      </c>
      <c r="G3" s="5" t="s">
        <v>1271</v>
      </c>
      <c r="H3" s="5"/>
      <c r="I3" s="4">
        <v>185000</v>
      </c>
      <c r="J3" s="5" t="s">
        <v>34</v>
      </c>
      <c r="K3" s="5" t="s">
        <v>34</v>
      </c>
      <c r="L3" s="5" t="s">
        <v>34</v>
      </c>
      <c r="M3" s="4" t="s">
        <v>35</v>
      </c>
      <c r="N3" s="4" t="s">
        <v>36</v>
      </c>
      <c r="O3" s="6">
        <v>43274</v>
      </c>
      <c r="P3" s="6">
        <v>43287</v>
      </c>
      <c r="Q3" s="6">
        <v>43287</v>
      </c>
      <c r="R3" s="7">
        <f>Q3-P3</f>
        <v>0</v>
      </c>
      <c r="S3" s="6">
        <v>43287</v>
      </c>
      <c r="T3" s="6">
        <v>43287</v>
      </c>
      <c r="U3" s="6">
        <v>43287</v>
      </c>
      <c r="V3" s="6">
        <v>43287</v>
      </c>
      <c r="W3" s="159">
        <f>V3-U3</f>
        <v>0</v>
      </c>
      <c r="X3" s="160"/>
      <c r="Y3" s="160"/>
      <c r="Z3" s="161">
        <v>169.96</v>
      </c>
      <c r="AA3" s="161"/>
      <c r="AB3" s="161"/>
      <c r="AC3" s="161"/>
      <c r="AD3" s="161">
        <f t="shared" ref="AD3:AD28" si="0">Z3*I3/10000000</f>
        <v>3.1442600000000001</v>
      </c>
      <c r="AE3" s="160" t="str">
        <f>IF(AH3=0,"A", IF(AH3="LOST","L","W"))</f>
        <v>W</v>
      </c>
      <c r="AF3" s="162"/>
      <c r="AG3" s="162"/>
      <c r="AH3" s="25">
        <f>Z3</f>
        <v>169.96</v>
      </c>
      <c r="AI3" s="160"/>
      <c r="AJ3" s="160"/>
      <c r="AK3" s="160"/>
      <c r="AL3" s="162"/>
      <c r="AM3" s="162"/>
      <c r="AN3" s="162"/>
      <c r="AO3" s="162"/>
      <c r="AP3" s="162"/>
      <c r="AQ3" s="163" t="s">
        <v>59</v>
      </c>
    </row>
    <row r="4" spans="1:43" s="15" customFormat="1" ht="45">
      <c r="A4" s="36">
        <v>2</v>
      </c>
      <c r="B4" s="4" t="s">
        <v>44</v>
      </c>
      <c r="C4" s="5" t="s">
        <v>29</v>
      </c>
      <c r="D4" s="4" t="s">
        <v>47</v>
      </c>
      <c r="E4" s="4" t="s">
        <v>45</v>
      </c>
      <c r="F4" s="4" t="s">
        <v>46</v>
      </c>
      <c r="G4" s="4"/>
      <c r="H4" s="37"/>
      <c r="I4" s="36">
        <v>50000</v>
      </c>
      <c r="J4" s="37" t="s">
        <v>48</v>
      </c>
      <c r="K4" s="37" t="s">
        <v>34</v>
      </c>
      <c r="L4" s="37" t="s">
        <v>48</v>
      </c>
      <c r="M4" s="36" t="s">
        <v>35</v>
      </c>
      <c r="N4" s="37" t="s">
        <v>36</v>
      </c>
      <c r="O4" s="38">
        <v>43253</v>
      </c>
      <c r="P4" s="38">
        <v>43290</v>
      </c>
      <c r="Q4" s="38">
        <v>43290</v>
      </c>
      <c r="R4" s="39">
        <f>Q4-P4</f>
        <v>0</v>
      </c>
      <c r="S4" s="38">
        <v>43290</v>
      </c>
      <c r="T4" s="38">
        <v>43290</v>
      </c>
      <c r="U4" s="38">
        <v>43290</v>
      </c>
      <c r="V4" s="38">
        <v>43290</v>
      </c>
      <c r="W4" s="39">
        <f>V4-U4</f>
        <v>0</v>
      </c>
      <c r="X4" s="5"/>
      <c r="Y4" s="5"/>
      <c r="Z4" s="40">
        <v>596.23</v>
      </c>
      <c r="AA4" s="40"/>
      <c r="AB4" s="40"/>
      <c r="AC4" s="40"/>
      <c r="AD4" s="40">
        <f t="shared" si="0"/>
        <v>2.98115</v>
      </c>
      <c r="AE4" s="160" t="str">
        <f t="shared" ref="AE4:AE15" si="1">IF(AH4=0,"A", IF(AH4="L","L","W"))</f>
        <v>L</v>
      </c>
      <c r="AF4" s="4"/>
      <c r="AG4" s="4"/>
      <c r="AH4" s="25" t="s">
        <v>346</v>
      </c>
      <c r="AI4" s="5"/>
      <c r="AJ4" s="5"/>
      <c r="AK4" s="5"/>
      <c r="AL4" s="4"/>
      <c r="AM4" s="4"/>
      <c r="AN4" s="4"/>
      <c r="AO4" s="4"/>
      <c r="AP4" s="4"/>
      <c r="AQ4" s="14" t="s">
        <v>60</v>
      </c>
    </row>
    <row r="5" spans="1:43" s="15" customFormat="1">
      <c r="A5" s="2372">
        <v>3</v>
      </c>
      <c r="B5" s="2373" t="s">
        <v>49</v>
      </c>
      <c r="C5" s="2373" t="s">
        <v>29</v>
      </c>
      <c r="D5" s="2373" t="s">
        <v>52</v>
      </c>
      <c r="E5" s="5" t="s">
        <v>50</v>
      </c>
      <c r="F5" s="5" t="s">
        <v>51</v>
      </c>
      <c r="G5" s="5"/>
      <c r="H5" s="2375" t="s">
        <v>301</v>
      </c>
      <c r="I5" s="36">
        <v>130000</v>
      </c>
      <c r="J5" s="37" t="s">
        <v>34</v>
      </c>
      <c r="K5" s="37" t="s">
        <v>34</v>
      </c>
      <c r="L5" s="37" t="s">
        <v>34</v>
      </c>
      <c r="M5" s="37" t="s">
        <v>35</v>
      </c>
      <c r="N5" s="37" t="s">
        <v>36</v>
      </c>
      <c r="O5" s="2376">
        <v>43304</v>
      </c>
      <c r="P5" s="2376">
        <v>43315</v>
      </c>
      <c r="Q5" s="2376">
        <v>43315</v>
      </c>
      <c r="R5" s="2377">
        <v>0</v>
      </c>
      <c r="S5" s="2376">
        <v>43315</v>
      </c>
      <c r="T5" s="2376">
        <v>43304</v>
      </c>
      <c r="U5" s="2376">
        <v>43311</v>
      </c>
      <c r="V5" s="2376">
        <v>43315</v>
      </c>
      <c r="W5" s="2368">
        <v>0</v>
      </c>
      <c r="X5" s="35">
        <v>267.20999999999998</v>
      </c>
      <c r="Y5" s="35">
        <v>7.31</v>
      </c>
      <c r="Z5" s="41">
        <v>274.52</v>
      </c>
      <c r="AA5" s="41"/>
      <c r="AB5" s="41"/>
      <c r="AC5" s="41"/>
      <c r="AD5" s="40">
        <f t="shared" si="0"/>
        <v>3.5687600000000002</v>
      </c>
      <c r="AE5" s="160" t="str">
        <f t="shared" si="1"/>
        <v>W</v>
      </c>
      <c r="AF5" s="4"/>
      <c r="AG5" s="4"/>
      <c r="AH5" s="25">
        <f>Z5</f>
        <v>274.52</v>
      </c>
      <c r="AI5" s="35"/>
      <c r="AJ5" s="35"/>
      <c r="AK5" s="35"/>
      <c r="AL5" s="4"/>
      <c r="AM5" s="4"/>
      <c r="AN5" s="4"/>
      <c r="AO5" s="4"/>
      <c r="AP5" s="4"/>
      <c r="AQ5" s="2370" t="s">
        <v>61</v>
      </c>
    </row>
    <row r="6" spans="1:43" s="15" customFormat="1">
      <c r="A6" s="2372"/>
      <c r="B6" s="2373"/>
      <c r="C6" s="2373"/>
      <c r="D6" s="2374"/>
      <c r="E6" s="5" t="s">
        <v>53</v>
      </c>
      <c r="F6" s="5" t="s">
        <v>51</v>
      </c>
      <c r="G6" s="5"/>
      <c r="H6" s="2372"/>
      <c r="I6" s="36">
        <v>130000</v>
      </c>
      <c r="J6" s="37" t="s">
        <v>34</v>
      </c>
      <c r="K6" s="37" t="s">
        <v>34</v>
      </c>
      <c r="L6" s="37" t="s">
        <v>34</v>
      </c>
      <c r="M6" s="37" t="s">
        <v>35</v>
      </c>
      <c r="N6" s="37" t="s">
        <v>36</v>
      </c>
      <c r="O6" s="2376"/>
      <c r="P6" s="2372"/>
      <c r="Q6" s="2372"/>
      <c r="R6" s="2377"/>
      <c r="S6" s="2372"/>
      <c r="T6" s="2376"/>
      <c r="U6" s="2372"/>
      <c r="V6" s="2372"/>
      <c r="W6" s="2369"/>
      <c r="X6" s="35">
        <v>266.45</v>
      </c>
      <c r="Y6" s="35">
        <v>7.31</v>
      </c>
      <c r="Z6" s="41">
        <v>273.76</v>
      </c>
      <c r="AA6" s="41"/>
      <c r="AB6" s="41"/>
      <c r="AC6" s="41"/>
      <c r="AD6" s="40">
        <f t="shared" si="0"/>
        <v>3.5588799999999998</v>
      </c>
      <c r="AE6" s="160" t="str">
        <f t="shared" si="1"/>
        <v>W</v>
      </c>
      <c r="AF6" s="4"/>
      <c r="AG6" s="4"/>
      <c r="AH6" s="25">
        <f>Z6</f>
        <v>273.76</v>
      </c>
      <c r="AI6" s="35"/>
      <c r="AJ6" s="35"/>
      <c r="AK6" s="35"/>
      <c r="AL6" s="4"/>
      <c r="AM6" s="4"/>
      <c r="AN6" s="4"/>
      <c r="AO6" s="4"/>
      <c r="AP6" s="4"/>
      <c r="AQ6" s="2371"/>
    </row>
    <row r="7" spans="1:43" s="15" customFormat="1" ht="15.75" thickBot="1">
      <c r="A7" s="25">
        <v>4</v>
      </c>
      <c r="B7" s="2" t="s">
        <v>49</v>
      </c>
      <c r="C7" s="2" t="s">
        <v>29</v>
      </c>
      <c r="D7" s="124" t="s">
        <v>62</v>
      </c>
      <c r="E7" s="124" t="s">
        <v>69</v>
      </c>
      <c r="F7" s="2" t="s">
        <v>85</v>
      </c>
      <c r="G7" s="2"/>
      <c r="H7" s="25" t="s">
        <v>301</v>
      </c>
      <c r="I7" s="25">
        <v>130000</v>
      </c>
      <c r="J7" s="37" t="s">
        <v>34</v>
      </c>
      <c r="K7" s="37" t="s">
        <v>34</v>
      </c>
      <c r="L7" s="37" t="s">
        <v>34</v>
      </c>
      <c r="M7" s="37" t="s">
        <v>35</v>
      </c>
      <c r="N7" s="37" t="s">
        <v>36</v>
      </c>
      <c r="O7" s="42">
        <v>43319</v>
      </c>
      <c r="P7" s="43" t="s">
        <v>100</v>
      </c>
      <c r="Q7" s="44" t="s">
        <v>100</v>
      </c>
      <c r="R7" s="25">
        <v>0</v>
      </c>
      <c r="S7" s="43" t="s">
        <v>111</v>
      </c>
      <c r="T7" s="43" t="s">
        <v>97</v>
      </c>
      <c r="U7" s="43" t="s">
        <v>100</v>
      </c>
      <c r="V7" s="25" t="s">
        <v>118</v>
      </c>
      <c r="W7" s="25">
        <v>0</v>
      </c>
      <c r="X7" s="34">
        <v>215.35</v>
      </c>
      <c r="Y7" s="34">
        <v>12.278461538461539</v>
      </c>
      <c r="Z7" s="45">
        <v>227.63</v>
      </c>
      <c r="AA7" s="45"/>
      <c r="AB7" s="45"/>
      <c r="AC7" s="45"/>
      <c r="AD7" s="40">
        <f t="shared" si="0"/>
        <v>2.95919</v>
      </c>
      <c r="AE7" s="160" t="str">
        <f t="shared" si="1"/>
        <v>W</v>
      </c>
      <c r="AF7" s="2">
        <v>202.54</v>
      </c>
      <c r="AG7" s="2"/>
      <c r="AH7" s="25">
        <f>Z7</f>
        <v>227.63</v>
      </c>
      <c r="AI7" s="34">
        <v>113.24</v>
      </c>
      <c r="AJ7" s="34"/>
      <c r="AK7" s="34"/>
      <c r="AL7" s="2"/>
      <c r="AM7" s="2"/>
      <c r="AN7" s="2"/>
      <c r="AO7" s="2"/>
      <c r="AP7" s="2"/>
      <c r="AQ7" s="2"/>
    </row>
    <row r="8" spans="1:43" s="15" customFormat="1" ht="15.75" thickTop="1">
      <c r="A8" s="2340">
        <v>5</v>
      </c>
      <c r="B8" s="2267" t="s">
        <v>49</v>
      </c>
      <c r="C8" s="2267" t="s">
        <v>29</v>
      </c>
      <c r="D8" s="2355" t="s">
        <v>63</v>
      </c>
      <c r="E8" s="111" t="s">
        <v>70</v>
      </c>
      <c r="F8" s="2" t="s">
        <v>86</v>
      </c>
      <c r="G8" s="2" t="s">
        <v>1271</v>
      </c>
      <c r="H8" s="25" t="s">
        <v>301</v>
      </c>
      <c r="I8" s="25">
        <v>130000</v>
      </c>
      <c r="J8" s="37" t="s">
        <v>34</v>
      </c>
      <c r="K8" s="37" t="s">
        <v>34</v>
      </c>
      <c r="L8" s="37" t="s">
        <v>34</v>
      </c>
      <c r="M8" s="37" t="s">
        <v>35</v>
      </c>
      <c r="N8" s="37" t="s">
        <v>36</v>
      </c>
      <c r="O8" s="42">
        <v>43319</v>
      </c>
      <c r="P8" s="2359" t="s">
        <v>108</v>
      </c>
      <c r="Q8" s="2380" t="s">
        <v>113</v>
      </c>
      <c r="R8" s="2341">
        <v>0</v>
      </c>
      <c r="S8" s="2359" t="s">
        <v>97</v>
      </c>
      <c r="T8" s="2354" t="s">
        <v>97</v>
      </c>
      <c r="U8" s="2359" t="s">
        <v>108</v>
      </c>
      <c r="V8" s="2362" t="s">
        <v>114</v>
      </c>
      <c r="W8" s="2353">
        <v>0</v>
      </c>
      <c r="X8" s="34">
        <v>48.972540123876925</v>
      </c>
      <c r="Y8" s="34">
        <v>0.41378205128205126</v>
      </c>
      <c r="Z8" s="45">
        <v>49.39</v>
      </c>
      <c r="AA8" s="45"/>
      <c r="AB8" s="45"/>
      <c r="AC8" s="45"/>
      <c r="AD8" s="40">
        <f t="shared" si="0"/>
        <v>0.64207000000000003</v>
      </c>
      <c r="AE8" s="160" t="str">
        <f t="shared" si="1"/>
        <v>W</v>
      </c>
      <c r="AF8" s="2">
        <v>49.39</v>
      </c>
      <c r="AG8" s="2"/>
      <c r="AH8" s="25">
        <f>Z8</f>
        <v>49.39</v>
      </c>
      <c r="AI8" s="34">
        <v>47.5</v>
      </c>
      <c r="AJ8" s="34"/>
      <c r="AK8" s="34"/>
      <c r="AL8" s="2"/>
      <c r="AM8" s="2"/>
      <c r="AN8" s="2"/>
      <c r="AO8" s="2"/>
      <c r="AP8" s="2"/>
      <c r="AQ8" s="2389" t="s">
        <v>392</v>
      </c>
    </row>
    <row r="9" spans="1:43" s="15" customFormat="1" ht="15.75" thickBot="1">
      <c r="A9" s="2340"/>
      <c r="B9" s="2267"/>
      <c r="C9" s="2267"/>
      <c r="D9" s="2356"/>
      <c r="E9" s="124" t="s">
        <v>71</v>
      </c>
      <c r="F9" s="2" t="s">
        <v>87</v>
      </c>
      <c r="G9" s="2"/>
      <c r="H9" s="25" t="s">
        <v>301</v>
      </c>
      <c r="I9" s="25">
        <v>130000</v>
      </c>
      <c r="J9" s="37" t="s">
        <v>34</v>
      </c>
      <c r="K9" s="37" t="s">
        <v>34</v>
      </c>
      <c r="L9" s="37" t="s">
        <v>34</v>
      </c>
      <c r="M9" s="37" t="s">
        <v>35</v>
      </c>
      <c r="N9" s="37" t="s">
        <v>36</v>
      </c>
      <c r="O9" s="42">
        <v>43319</v>
      </c>
      <c r="P9" s="2361"/>
      <c r="Q9" s="2381"/>
      <c r="R9" s="2354"/>
      <c r="S9" s="2359"/>
      <c r="T9" s="2354"/>
      <c r="U9" s="2359"/>
      <c r="V9" s="2314"/>
      <c r="W9" s="2314"/>
      <c r="X9" s="34">
        <v>53.81693214982068</v>
      </c>
      <c r="Y9" s="34">
        <v>0.41378205128205126</v>
      </c>
      <c r="Z9" s="45">
        <v>54.23</v>
      </c>
      <c r="AA9" s="45"/>
      <c r="AB9" s="45"/>
      <c r="AC9" s="45"/>
      <c r="AD9" s="40">
        <f t="shared" si="0"/>
        <v>0.70499000000000001</v>
      </c>
      <c r="AE9" s="160" t="str">
        <f t="shared" si="1"/>
        <v>W</v>
      </c>
      <c r="AF9" s="2">
        <v>50.68</v>
      </c>
      <c r="AG9" s="2"/>
      <c r="AH9" s="25">
        <f>Z9</f>
        <v>54.23</v>
      </c>
      <c r="AI9" s="34">
        <v>47.5</v>
      </c>
      <c r="AJ9" s="34"/>
      <c r="AK9" s="34"/>
      <c r="AL9" s="2"/>
      <c r="AM9" s="2"/>
      <c r="AN9" s="2"/>
      <c r="AO9" s="2"/>
      <c r="AP9" s="2"/>
      <c r="AQ9" s="2271"/>
    </row>
    <row r="10" spans="1:43" s="15" customFormat="1" ht="15.75" thickTop="1">
      <c r="A10" s="2340">
        <v>6</v>
      </c>
      <c r="B10" s="2267" t="s">
        <v>49</v>
      </c>
      <c r="C10" s="2267" t="s">
        <v>29</v>
      </c>
      <c r="D10" s="2355" t="s">
        <v>64</v>
      </c>
      <c r="E10" s="111" t="s">
        <v>72</v>
      </c>
      <c r="F10" s="2" t="s">
        <v>88</v>
      </c>
      <c r="G10" s="2"/>
      <c r="H10" s="25" t="s">
        <v>301</v>
      </c>
      <c r="I10" s="25">
        <v>121500</v>
      </c>
      <c r="J10" s="37" t="s">
        <v>34</v>
      </c>
      <c r="K10" s="37" t="s">
        <v>34</v>
      </c>
      <c r="L10" s="37" t="s">
        <v>34</v>
      </c>
      <c r="M10" s="37" t="s">
        <v>35</v>
      </c>
      <c r="N10" s="37" t="s">
        <v>36</v>
      </c>
      <c r="O10" s="42">
        <v>43319</v>
      </c>
      <c r="P10" s="2358" t="s">
        <v>121</v>
      </c>
      <c r="Q10" s="2358" t="s">
        <v>114</v>
      </c>
      <c r="R10" s="2340">
        <v>0</v>
      </c>
      <c r="S10" s="2360" t="s">
        <v>98</v>
      </c>
      <c r="T10" s="2366" t="s">
        <v>97</v>
      </c>
      <c r="U10" s="2360" t="s">
        <v>100</v>
      </c>
      <c r="V10" s="2362" t="s">
        <v>114</v>
      </c>
      <c r="W10" s="2353">
        <v>0</v>
      </c>
      <c r="X10" s="34">
        <v>222.10951983146987</v>
      </c>
      <c r="Y10" s="34">
        <v>3.2698076923076922</v>
      </c>
      <c r="Z10" s="45">
        <v>225.38</v>
      </c>
      <c r="AA10" s="45"/>
      <c r="AB10" s="45"/>
      <c r="AC10" s="45"/>
      <c r="AD10" s="40">
        <f t="shared" si="0"/>
        <v>2.7383670000000002</v>
      </c>
      <c r="AE10" s="160" t="str">
        <f t="shared" si="1"/>
        <v>A</v>
      </c>
      <c r="AF10" s="2"/>
      <c r="AG10" s="2"/>
      <c r="AH10" s="25"/>
      <c r="AI10" s="34"/>
      <c r="AJ10" s="34"/>
      <c r="AK10" s="34"/>
      <c r="AL10" s="2"/>
      <c r="AM10" s="2"/>
      <c r="AN10" s="2"/>
      <c r="AO10" s="2"/>
      <c r="AP10" s="2"/>
      <c r="AQ10" s="2"/>
    </row>
    <row r="11" spans="1:43" s="15" customFormat="1">
      <c r="A11" s="2340"/>
      <c r="B11" s="2267"/>
      <c r="C11" s="2267"/>
      <c r="D11" s="2267"/>
      <c r="E11" s="16" t="s">
        <v>73</v>
      </c>
      <c r="F11" s="2" t="s">
        <v>88</v>
      </c>
      <c r="G11" s="2"/>
      <c r="H11" s="25" t="s">
        <v>301</v>
      </c>
      <c r="I11" s="25">
        <v>8500</v>
      </c>
      <c r="J11" s="37" t="s">
        <v>34</v>
      </c>
      <c r="K11" s="37" t="s">
        <v>34</v>
      </c>
      <c r="L11" s="37" t="s">
        <v>34</v>
      </c>
      <c r="M11" s="37" t="s">
        <v>35</v>
      </c>
      <c r="N11" s="37" t="s">
        <v>36</v>
      </c>
      <c r="O11" s="42">
        <v>43319</v>
      </c>
      <c r="P11" s="2359"/>
      <c r="Q11" s="2359"/>
      <c r="R11" s="2340"/>
      <c r="S11" s="2360"/>
      <c r="T11" s="2366"/>
      <c r="U11" s="2360"/>
      <c r="V11" s="2354"/>
      <c r="W11" s="2354"/>
      <c r="X11" s="34">
        <v>200.62124863494984</v>
      </c>
      <c r="Y11" s="34">
        <v>3.2698076923076922</v>
      </c>
      <c r="Z11" s="45">
        <v>203.89</v>
      </c>
      <c r="AA11" s="45"/>
      <c r="AB11" s="45"/>
      <c r="AC11" s="45"/>
      <c r="AD11" s="40">
        <f t="shared" si="0"/>
        <v>0.1733065</v>
      </c>
      <c r="AE11" s="160" t="str">
        <f t="shared" si="1"/>
        <v>A</v>
      </c>
      <c r="AF11" s="2"/>
      <c r="AG11" s="2"/>
      <c r="AH11" s="25"/>
      <c r="AI11" s="34"/>
      <c r="AJ11" s="34"/>
      <c r="AK11" s="34"/>
      <c r="AL11" s="2"/>
      <c r="AM11" s="2"/>
      <c r="AN11" s="2"/>
      <c r="AO11" s="2"/>
      <c r="AP11" s="2"/>
      <c r="AQ11" s="2"/>
    </row>
    <row r="12" spans="1:43" s="15" customFormat="1">
      <c r="A12" s="2340"/>
      <c r="B12" s="2267"/>
      <c r="C12" s="2267"/>
      <c r="D12" s="2267"/>
      <c r="E12" s="16" t="s">
        <v>74</v>
      </c>
      <c r="F12" s="2" t="s">
        <v>89</v>
      </c>
      <c r="G12" s="2"/>
      <c r="H12" s="25" t="s">
        <v>301</v>
      </c>
      <c r="I12" s="25">
        <v>121500</v>
      </c>
      <c r="J12" s="37" t="s">
        <v>34</v>
      </c>
      <c r="K12" s="37" t="s">
        <v>34</v>
      </c>
      <c r="L12" s="37" t="s">
        <v>34</v>
      </c>
      <c r="M12" s="37" t="s">
        <v>35</v>
      </c>
      <c r="N12" s="37" t="s">
        <v>36</v>
      </c>
      <c r="O12" s="42">
        <v>43319</v>
      </c>
      <c r="P12" s="2359"/>
      <c r="Q12" s="2359"/>
      <c r="R12" s="2340"/>
      <c r="S12" s="2360"/>
      <c r="T12" s="2366"/>
      <c r="U12" s="2360"/>
      <c r="V12" s="2354"/>
      <c r="W12" s="2354"/>
      <c r="X12" s="34">
        <v>201.38494863494986</v>
      </c>
      <c r="Y12" s="34">
        <v>3.2698076923076922</v>
      </c>
      <c r="Z12" s="45">
        <v>204.65</v>
      </c>
      <c r="AA12" s="45"/>
      <c r="AB12" s="45"/>
      <c r="AC12" s="45"/>
      <c r="AD12" s="40">
        <f t="shared" si="0"/>
        <v>2.4864975</v>
      </c>
      <c r="AE12" s="160" t="str">
        <f t="shared" si="1"/>
        <v>A</v>
      </c>
      <c r="AF12" s="2"/>
      <c r="AG12" s="2"/>
      <c r="AH12" s="25"/>
      <c r="AI12" s="34"/>
      <c r="AJ12" s="34"/>
      <c r="AK12" s="34"/>
      <c r="AL12" s="2"/>
      <c r="AM12" s="2"/>
      <c r="AN12" s="2"/>
      <c r="AO12" s="2"/>
      <c r="AP12" s="2"/>
      <c r="AQ12" s="2"/>
    </row>
    <row r="13" spans="1:43" s="15" customFormat="1" ht="15.75" thickBot="1">
      <c r="A13" s="2340"/>
      <c r="B13" s="2267"/>
      <c r="C13" s="2267"/>
      <c r="D13" s="2356"/>
      <c r="E13" s="124" t="s">
        <v>75</v>
      </c>
      <c r="F13" s="2" t="s">
        <v>89</v>
      </c>
      <c r="G13" s="2"/>
      <c r="H13" s="25" t="s">
        <v>301</v>
      </c>
      <c r="I13" s="25">
        <v>8500</v>
      </c>
      <c r="J13" s="37" t="s">
        <v>34</v>
      </c>
      <c r="K13" s="37" t="s">
        <v>34</v>
      </c>
      <c r="L13" s="37" t="s">
        <v>34</v>
      </c>
      <c r="M13" s="37" t="s">
        <v>35</v>
      </c>
      <c r="N13" s="37" t="s">
        <v>36</v>
      </c>
      <c r="O13" s="42">
        <v>43319</v>
      </c>
      <c r="P13" s="2359"/>
      <c r="Q13" s="2359"/>
      <c r="R13" s="2340"/>
      <c r="S13" s="2360"/>
      <c r="T13" s="2366"/>
      <c r="U13" s="2360"/>
      <c r="V13" s="2314"/>
      <c r="W13" s="2314"/>
      <c r="X13" s="34">
        <v>219.57531555141986</v>
      </c>
      <c r="Y13" s="34">
        <v>3.2698076923076922</v>
      </c>
      <c r="Z13" s="45">
        <v>222.85</v>
      </c>
      <c r="AA13" s="45"/>
      <c r="AB13" s="45"/>
      <c r="AC13" s="45"/>
      <c r="AD13" s="40">
        <f t="shared" si="0"/>
        <v>0.18942249999999999</v>
      </c>
      <c r="AE13" s="160" t="str">
        <f t="shared" si="1"/>
        <v>A</v>
      </c>
      <c r="AF13" s="2"/>
      <c r="AG13" s="2"/>
      <c r="AH13" s="25"/>
      <c r="AI13" s="34"/>
      <c r="AJ13" s="34"/>
      <c r="AK13" s="34"/>
      <c r="AL13" s="2"/>
      <c r="AM13" s="2"/>
      <c r="AN13" s="2"/>
      <c r="AO13" s="2"/>
      <c r="AP13" s="2"/>
      <c r="AQ13" s="2"/>
    </row>
    <row r="14" spans="1:43" s="15" customFormat="1" ht="15.75" thickTop="1">
      <c r="A14" s="2340">
        <v>7</v>
      </c>
      <c r="B14" s="2267" t="s">
        <v>49</v>
      </c>
      <c r="C14" s="2267" t="s">
        <v>29</v>
      </c>
      <c r="D14" s="2355" t="s">
        <v>65</v>
      </c>
      <c r="E14" s="111" t="s">
        <v>76</v>
      </c>
      <c r="F14" s="2" t="s">
        <v>90</v>
      </c>
      <c r="G14" s="2"/>
      <c r="H14" s="25" t="s">
        <v>301</v>
      </c>
      <c r="I14" s="25">
        <v>130000</v>
      </c>
      <c r="J14" s="37" t="s">
        <v>34</v>
      </c>
      <c r="K14" s="37" t="s">
        <v>34</v>
      </c>
      <c r="L14" s="37" t="s">
        <v>34</v>
      </c>
      <c r="M14" s="37" t="s">
        <v>35</v>
      </c>
      <c r="N14" s="37" t="s">
        <v>36</v>
      </c>
      <c r="O14" s="42">
        <v>43319</v>
      </c>
      <c r="P14" s="2360" t="s">
        <v>115</v>
      </c>
      <c r="Q14" s="2360" t="s">
        <v>121</v>
      </c>
      <c r="R14" s="2354">
        <v>0</v>
      </c>
      <c r="S14" s="2359" t="s">
        <v>99</v>
      </c>
      <c r="T14" s="2354" t="s">
        <v>97</v>
      </c>
      <c r="U14" s="2359" t="s">
        <v>100</v>
      </c>
      <c r="V14" s="2362" t="s">
        <v>118</v>
      </c>
      <c r="W14" s="2353">
        <v>0</v>
      </c>
      <c r="X14" s="34">
        <v>593.78262898071011</v>
      </c>
      <c r="Y14" s="34">
        <v>12.545384615384615</v>
      </c>
      <c r="Z14" s="45">
        <v>606.33000000000004</v>
      </c>
      <c r="AA14" s="45"/>
      <c r="AB14" s="45"/>
      <c r="AC14" s="45"/>
      <c r="AD14" s="40">
        <f t="shared" si="0"/>
        <v>7.8822900000000002</v>
      </c>
      <c r="AE14" s="160" t="str">
        <f t="shared" si="1"/>
        <v>A</v>
      </c>
      <c r="AF14" s="2"/>
      <c r="AG14" s="2"/>
      <c r="AH14" s="25"/>
      <c r="AI14" s="34"/>
      <c r="AJ14" s="34"/>
      <c r="AK14" s="34"/>
      <c r="AL14" s="2"/>
      <c r="AM14" s="2"/>
      <c r="AN14" s="2"/>
      <c r="AO14" s="2"/>
      <c r="AP14" s="2"/>
      <c r="AQ14" s="2"/>
    </row>
    <row r="15" spans="1:43" s="15" customFormat="1" ht="15.75" thickBot="1">
      <c r="A15" s="2340"/>
      <c r="B15" s="2267"/>
      <c r="C15" s="2267"/>
      <c r="D15" s="2356"/>
      <c r="E15" s="124" t="s">
        <v>77</v>
      </c>
      <c r="F15" s="2" t="s">
        <v>91</v>
      </c>
      <c r="G15" s="2"/>
      <c r="H15" s="25" t="s">
        <v>301</v>
      </c>
      <c r="I15" s="25">
        <v>130000</v>
      </c>
      <c r="J15" s="37" t="s">
        <v>34</v>
      </c>
      <c r="K15" s="37" t="s">
        <v>34</v>
      </c>
      <c r="L15" s="37" t="s">
        <v>34</v>
      </c>
      <c r="M15" s="37" t="s">
        <v>35</v>
      </c>
      <c r="N15" s="37" t="s">
        <v>36</v>
      </c>
      <c r="O15" s="42">
        <v>43319</v>
      </c>
      <c r="P15" s="2360"/>
      <c r="Q15" s="2360"/>
      <c r="R15" s="2314"/>
      <c r="S15" s="2361"/>
      <c r="T15" s="2314"/>
      <c r="U15" s="2361"/>
      <c r="V15" s="2314"/>
      <c r="W15" s="2314"/>
      <c r="X15" s="34">
        <v>593.78262898071011</v>
      </c>
      <c r="Y15" s="34">
        <v>12.545384615384615</v>
      </c>
      <c r="Z15" s="45">
        <v>606.33000000000004</v>
      </c>
      <c r="AA15" s="45"/>
      <c r="AB15" s="45"/>
      <c r="AC15" s="45"/>
      <c r="AD15" s="40">
        <f t="shared" si="0"/>
        <v>7.8822900000000002</v>
      </c>
      <c r="AE15" s="160" t="str">
        <f t="shared" si="1"/>
        <v>A</v>
      </c>
      <c r="AF15" s="2"/>
      <c r="AG15" s="2"/>
      <c r="AH15" s="25"/>
      <c r="AI15" s="34"/>
      <c r="AJ15" s="34"/>
      <c r="AK15" s="34"/>
      <c r="AL15" s="2"/>
      <c r="AM15" s="2"/>
      <c r="AN15" s="2"/>
      <c r="AO15" s="2"/>
      <c r="AP15" s="2"/>
      <c r="AQ15" s="2"/>
    </row>
    <row r="16" spans="1:43" s="15" customFormat="1" ht="16.5" thickTop="1" thickBot="1">
      <c r="A16" s="25">
        <v>8</v>
      </c>
      <c r="B16" s="2" t="s">
        <v>49</v>
      </c>
      <c r="C16" s="2" t="s">
        <v>29</v>
      </c>
      <c r="D16" s="97" t="s">
        <v>66</v>
      </c>
      <c r="E16" s="97" t="s">
        <v>78</v>
      </c>
      <c r="F16" s="2" t="s">
        <v>92</v>
      </c>
      <c r="G16" s="2" t="s">
        <v>1271</v>
      </c>
      <c r="H16" s="25" t="s">
        <v>301</v>
      </c>
      <c r="I16" s="25">
        <v>130000</v>
      </c>
      <c r="J16" s="37" t="s">
        <v>34</v>
      </c>
      <c r="K16" s="37" t="s">
        <v>34</v>
      </c>
      <c r="L16" s="37" t="s">
        <v>34</v>
      </c>
      <c r="M16" s="37" t="s">
        <v>35</v>
      </c>
      <c r="N16" s="37" t="s">
        <v>36</v>
      </c>
      <c r="O16" s="42">
        <v>43319</v>
      </c>
      <c r="P16" s="43" t="s">
        <v>115</v>
      </c>
      <c r="Q16" s="43" t="s">
        <v>115</v>
      </c>
      <c r="R16" s="25">
        <v>0</v>
      </c>
      <c r="S16" s="47" t="s">
        <v>99</v>
      </c>
      <c r="T16" s="25" t="s">
        <v>97</v>
      </c>
      <c r="U16" s="47" t="s">
        <v>100</v>
      </c>
      <c r="V16" s="25" t="s">
        <v>118</v>
      </c>
      <c r="W16" s="25">
        <v>0</v>
      </c>
      <c r="X16" s="34">
        <v>477.68201151126345</v>
      </c>
      <c r="Y16" s="34">
        <v>19.085000000000001</v>
      </c>
      <c r="Z16" s="45">
        <v>501.8</v>
      </c>
      <c r="AA16" s="45"/>
      <c r="AB16" s="45"/>
      <c r="AC16" s="45"/>
      <c r="AD16" s="40">
        <f t="shared" si="0"/>
        <v>6.5233999999999996</v>
      </c>
      <c r="AE16" s="160" t="str">
        <f t="shared" ref="AE16:AE68" si="2">IF(AH16=0,"A", IF(AH16="L","L","W"))</f>
        <v>A</v>
      </c>
      <c r="AF16" s="2"/>
      <c r="AG16" s="2"/>
      <c r="AH16" s="25"/>
      <c r="AI16" s="34"/>
      <c r="AJ16" s="34"/>
      <c r="AK16" s="34"/>
      <c r="AL16" s="2"/>
      <c r="AM16" s="2"/>
      <c r="AN16" s="2"/>
      <c r="AO16" s="2"/>
      <c r="AP16" s="2"/>
      <c r="AQ16" s="2"/>
    </row>
    <row r="17" spans="1:43" s="15" customFormat="1" ht="15.75" thickTop="1">
      <c r="A17" s="2340">
        <v>9</v>
      </c>
      <c r="B17" s="2267" t="s">
        <v>49</v>
      </c>
      <c r="C17" s="2267" t="s">
        <v>29</v>
      </c>
      <c r="D17" s="2355" t="s">
        <v>67</v>
      </c>
      <c r="E17" s="111" t="s">
        <v>79</v>
      </c>
      <c r="F17" s="2" t="s">
        <v>93</v>
      </c>
      <c r="G17" s="2"/>
      <c r="H17" s="25" t="s">
        <v>301</v>
      </c>
      <c r="I17" s="25">
        <v>130000</v>
      </c>
      <c r="J17" s="37" t="s">
        <v>34</v>
      </c>
      <c r="K17" s="37" t="s">
        <v>34</v>
      </c>
      <c r="L17" s="37" t="s">
        <v>34</v>
      </c>
      <c r="M17" s="37" t="s">
        <v>35</v>
      </c>
      <c r="N17" s="37" t="s">
        <v>36</v>
      </c>
      <c r="O17" s="42">
        <v>43319</v>
      </c>
      <c r="P17" s="2360" t="s">
        <v>119</v>
      </c>
      <c r="Q17" s="2360" t="s">
        <v>120</v>
      </c>
      <c r="R17" s="2341">
        <v>0</v>
      </c>
      <c r="S17" s="2363" t="s">
        <v>98</v>
      </c>
      <c r="T17" s="2367" t="s">
        <v>97</v>
      </c>
      <c r="U17" s="2363" t="s">
        <v>99</v>
      </c>
      <c r="V17" s="2362" t="s">
        <v>117</v>
      </c>
      <c r="W17" s="2353">
        <v>0</v>
      </c>
      <c r="X17" s="34">
        <v>87.924242724175997</v>
      </c>
      <c r="Y17" s="34">
        <v>3.4032692307692307</v>
      </c>
      <c r="Z17" s="45">
        <v>91.33</v>
      </c>
      <c r="AA17" s="45"/>
      <c r="AB17" s="45"/>
      <c r="AC17" s="45"/>
      <c r="AD17" s="40">
        <f t="shared" si="0"/>
        <v>1.18729</v>
      </c>
      <c r="AE17" s="160" t="str">
        <f t="shared" si="2"/>
        <v>A</v>
      </c>
      <c r="AF17" s="2"/>
      <c r="AG17" s="2"/>
      <c r="AH17" s="25"/>
      <c r="AI17" s="34"/>
      <c r="AJ17" s="34"/>
      <c r="AK17" s="34"/>
      <c r="AL17" s="2"/>
      <c r="AM17" s="2"/>
      <c r="AN17" s="2"/>
      <c r="AO17" s="2"/>
      <c r="AP17" s="2"/>
      <c r="AQ17" s="2"/>
    </row>
    <row r="18" spans="1:43" s="15" customFormat="1" ht="15.75" thickBot="1">
      <c r="A18" s="2340"/>
      <c r="B18" s="2267"/>
      <c r="C18" s="2267"/>
      <c r="D18" s="2356"/>
      <c r="E18" s="124" t="s">
        <v>80</v>
      </c>
      <c r="F18" s="2" t="s">
        <v>94</v>
      </c>
      <c r="G18" s="2"/>
      <c r="H18" s="25" t="s">
        <v>301</v>
      </c>
      <c r="I18" s="25">
        <v>130000</v>
      </c>
      <c r="J18" s="37" t="s">
        <v>34</v>
      </c>
      <c r="K18" s="37" t="s">
        <v>34</v>
      </c>
      <c r="L18" s="37" t="s">
        <v>34</v>
      </c>
      <c r="M18" s="37" t="s">
        <v>35</v>
      </c>
      <c r="N18" s="37" t="s">
        <v>36</v>
      </c>
      <c r="O18" s="42">
        <v>43319</v>
      </c>
      <c r="P18" s="2360"/>
      <c r="Q18" s="2360"/>
      <c r="R18" s="2314"/>
      <c r="S18" s="2361"/>
      <c r="T18" s="2314"/>
      <c r="U18" s="2361"/>
      <c r="V18" s="2314"/>
      <c r="W18" s="2314"/>
      <c r="X18" s="34">
        <v>87.924242724175997</v>
      </c>
      <c r="Y18" s="34">
        <v>3.4032692307692307</v>
      </c>
      <c r="Z18" s="45">
        <v>91.33</v>
      </c>
      <c r="AA18" s="45"/>
      <c r="AB18" s="45"/>
      <c r="AC18" s="45"/>
      <c r="AD18" s="40">
        <f t="shared" si="0"/>
        <v>1.18729</v>
      </c>
      <c r="AE18" s="160" t="str">
        <f t="shared" si="2"/>
        <v>A</v>
      </c>
      <c r="AF18" s="2"/>
      <c r="AG18" s="2"/>
      <c r="AH18" s="25"/>
      <c r="AI18" s="34"/>
      <c r="AJ18" s="34"/>
      <c r="AK18" s="34"/>
      <c r="AL18" s="2"/>
      <c r="AM18" s="2"/>
      <c r="AN18" s="2"/>
      <c r="AO18" s="2"/>
      <c r="AP18" s="2"/>
      <c r="AQ18" s="2"/>
    </row>
    <row r="19" spans="1:43" s="15" customFormat="1" ht="15.75" thickTop="1">
      <c r="A19" s="2340">
        <v>10</v>
      </c>
      <c r="B19" s="2267" t="s">
        <v>49</v>
      </c>
      <c r="C19" s="2267" t="s">
        <v>29</v>
      </c>
      <c r="D19" s="2355" t="s">
        <v>68</v>
      </c>
      <c r="E19" s="111" t="s">
        <v>81</v>
      </c>
      <c r="F19" s="2" t="s">
        <v>95</v>
      </c>
      <c r="G19" s="2"/>
      <c r="H19" s="25" t="s">
        <v>301</v>
      </c>
      <c r="I19" s="25">
        <v>121500</v>
      </c>
      <c r="J19" s="37" t="s">
        <v>34</v>
      </c>
      <c r="K19" s="37" t="s">
        <v>34</v>
      </c>
      <c r="L19" s="37" t="s">
        <v>34</v>
      </c>
      <c r="M19" s="37" t="s">
        <v>35</v>
      </c>
      <c r="N19" s="37" t="s">
        <v>36</v>
      </c>
      <c r="O19" s="42">
        <v>43319</v>
      </c>
      <c r="P19" s="2359" t="s">
        <v>119</v>
      </c>
      <c r="Q19" s="2359" t="s">
        <v>119</v>
      </c>
      <c r="R19" s="2341">
        <v>0</v>
      </c>
      <c r="S19" s="2358" t="s">
        <v>100</v>
      </c>
      <c r="T19" s="2367" t="s">
        <v>97</v>
      </c>
      <c r="U19" s="2358" t="s">
        <v>109</v>
      </c>
      <c r="V19" s="2362" t="s">
        <v>109</v>
      </c>
      <c r="W19" s="2353">
        <v>0</v>
      </c>
      <c r="X19" s="34">
        <v>337.90297564428806</v>
      </c>
      <c r="Y19" s="34">
        <v>10.076346153846155</v>
      </c>
      <c r="Z19" s="45">
        <v>347.98</v>
      </c>
      <c r="AA19" s="45"/>
      <c r="AB19" s="45"/>
      <c r="AC19" s="45"/>
      <c r="AD19" s="40">
        <f t="shared" si="0"/>
        <v>4.227957</v>
      </c>
      <c r="AE19" s="160" t="str">
        <f t="shared" si="2"/>
        <v>A</v>
      </c>
      <c r="AF19" s="178">
        <v>330.85</v>
      </c>
      <c r="AG19" s="2"/>
      <c r="AH19" s="25"/>
      <c r="AI19" s="34">
        <v>72.83</v>
      </c>
      <c r="AJ19" s="34"/>
      <c r="AK19" s="34"/>
      <c r="AL19" s="2"/>
      <c r="AM19" s="2"/>
      <c r="AN19" s="2"/>
      <c r="AO19" s="2"/>
      <c r="AP19" s="2"/>
      <c r="AQ19" s="2386" t="s">
        <v>392</v>
      </c>
    </row>
    <row r="20" spans="1:43" s="15" customFormat="1">
      <c r="A20" s="2340"/>
      <c r="B20" s="2267"/>
      <c r="C20" s="2267"/>
      <c r="D20" s="2267"/>
      <c r="E20" s="16" t="s">
        <v>82</v>
      </c>
      <c r="F20" s="2" t="s">
        <v>95</v>
      </c>
      <c r="G20" s="2" t="s">
        <v>1271</v>
      </c>
      <c r="H20" s="25" t="s">
        <v>301</v>
      </c>
      <c r="I20" s="25">
        <v>8500</v>
      </c>
      <c r="J20" s="37" t="s">
        <v>34</v>
      </c>
      <c r="K20" s="37" t="s">
        <v>34</v>
      </c>
      <c r="L20" s="37" t="s">
        <v>34</v>
      </c>
      <c r="M20" s="37" t="s">
        <v>35</v>
      </c>
      <c r="N20" s="37" t="s">
        <v>36</v>
      </c>
      <c r="O20" s="42">
        <v>43319</v>
      </c>
      <c r="P20" s="2359"/>
      <c r="Q20" s="2359"/>
      <c r="R20" s="2354"/>
      <c r="S20" s="2359"/>
      <c r="T20" s="2354"/>
      <c r="U20" s="2359"/>
      <c r="V20" s="2354"/>
      <c r="W20" s="2354"/>
      <c r="X20" s="34">
        <v>349.82884444651739</v>
      </c>
      <c r="Y20" s="34">
        <v>10.076346153846155</v>
      </c>
      <c r="Z20" s="45">
        <v>359.91</v>
      </c>
      <c r="AA20" s="45"/>
      <c r="AB20" s="45"/>
      <c r="AC20" s="45"/>
      <c r="AD20" s="40">
        <f t="shared" si="0"/>
        <v>0.30592350000000001</v>
      </c>
      <c r="AE20" s="160" t="str">
        <f t="shared" si="2"/>
        <v>A</v>
      </c>
      <c r="AF20" s="178">
        <v>342.39</v>
      </c>
      <c r="AG20" s="2"/>
      <c r="AH20" s="25"/>
      <c r="AI20" s="34">
        <v>75.33</v>
      </c>
      <c r="AJ20" s="34"/>
      <c r="AK20" s="34"/>
      <c r="AL20" s="2"/>
      <c r="AM20" s="2"/>
      <c r="AN20" s="2"/>
      <c r="AO20" s="2"/>
      <c r="AP20" s="2"/>
      <c r="AQ20" s="2387"/>
    </row>
    <row r="21" spans="1:43">
      <c r="A21" s="2340"/>
      <c r="B21" s="2267"/>
      <c r="C21" s="2267"/>
      <c r="D21" s="2267"/>
      <c r="E21" s="16" t="s">
        <v>83</v>
      </c>
      <c r="F21" s="2" t="s">
        <v>96</v>
      </c>
      <c r="G21" s="2"/>
      <c r="H21" s="25" t="s">
        <v>301</v>
      </c>
      <c r="I21" s="25">
        <v>121500</v>
      </c>
      <c r="J21" s="37" t="s">
        <v>34</v>
      </c>
      <c r="K21" s="37" t="s">
        <v>34</v>
      </c>
      <c r="L21" s="37" t="s">
        <v>34</v>
      </c>
      <c r="M21" s="37" t="s">
        <v>35</v>
      </c>
      <c r="N21" s="37" t="s">
        <v>36</v>
      </c>
      <c r="O21" s="42">
        <v>43319</v>
      </c>
      <c r="P21" s="2359"/>
      <c r="Q21" s="2359"/>
      <c r="R21" s="2354"/>
      <c r="S21" s="2359"/>
      <c r="T21" s="2354"/>
      <c r="U21" s="2359"/>
      <c r="V21" s="2354"/>
      <c r="W21" s="2354"/>
      <c r="X21" s="34">
        <v>349.82884444651739</v>
      </c>
      <c r="Y21" s="34">
        <v>10.076346153846155</v>
      </c>
      <c r="Z21" s="48">
        <v>359.91</v>
      </c>
      <c r="AA21" s="48"/>
      <c r="AB21" s="48"/>
      <c r="AC21" s="48"/>
      <c r="AD21" s="40">
        <f t="shared" si="0"/>
        <v>4.3729065</v>
      </c>
      <c r="AE21" s="160" t="str">
        <f t="shared" si="2"/>
        <v>A</v>
      </c>
      <c r="AF21" s="183">
        <v>342.39</v>
      </c>
      <c r="AG21" s="16"/>
      <c r="AH21" s="25"/>
      <c r="AI21" s="34">
        <v>75.33</v>
      </c>
      <c r="AJ21" s="34"/>
      <c r="AK21" s="34"/>
      <c r="AL21" s="16"/>
      <c r="AM21" s="16"/>
      <c r="AN21" s="16"/>
      <c r="AO21" s="16"/>
      <c r="AP21" s="16"/>
      <c r="AQ21" s="2387"/>
    </row>
    <row r="22" spans="1:43">
      <c r="A22" s="2341"/>
      <c r="B22" s="2357"/>
      <c r="C22" s="2357"/>
      <c r="D22" s="2357"/>
      <c r="E22" s="17" t="s">
        <v>84</v>
      </c>
      <c r="F22" s="2" t="s">
        <v>96</v>
      </c>
      <c r="G22" s="2"/>
      <c r="H22" s="25" t="s">
        <v>301</v>
      </c>
      <c r="I22" s="25">
        <v>8500</v>
      </c>
      <c r="J22" s="37" t="s">
        <v>34</v>
      </c>
      <c r="K22" s="49" t="s">
        <v>34</v>
      </c>
      <c r="L22" s="49" t="s">
        <v>34</v>
      </c>
      <c r="M22" s="49" t="s">
        <v>35</v>
      </c>
      <c r="N22" s="37" t="s">
        <v>36</v>
      </c>
      <c r="O22" s="50">
        <v>43319</v>
      </c>
      <c r="P22" s="2359"/>
      <c r="Q22" s="2359"/>
      <c r="R22" s="2314"/>
      <c r="S22" s="2359"/>
      <c r="T22" s="2354"/>
      <c r="U22" s="2359"/>
      <c r="V22" s="2314"/>
      <c r="W22" s="2314"/>
      <c r="X22" s="34">
        <v>337.90297564428806</v>
      </c>
      <c r="Y22" s="34">
        <v>10.076346153846155</v>
      </c>
      <c r="Z22" s="51">
        <v>347.98</v>
      </c>
      <c r="AA22" s="156"/>
      <c r="AB22" s="156"/>
      <c r="AC22" s="156"/>
      <c r="AD22" s="40">
        <f t="shared" si="0"/>
        <v>0.29578300000000002</v>
      </c>
      <c r="AE22" s="160" t="str">
        <f t="shared" si="2"/>
        <v>A</v>
      </c>
      <c r="AF22" s="195">
        <v>330.85</v>
      </c>
      <c r="AG22" s="154"/>
      <c r="AH22" s="25"/>
      <c r="AI22" s="34">
        <v>72.83</v>
      </c>
      <c r="AJ22" s="34"/>
      <c r="AK22" s="158"/>
      <c r="AL22" s="17"/>
      <c r="AM22" s="17"/>
      <c r="AN22" s="17"/>
      <c r="AO22" s="17"/>
      <c r="AP22" s="17"/>
      <c r="AQ22" s="2388"/>
    </row>
    <row r="23" spans="1:43">
      <c r="A23" s="2340">
        <v>11</v>
      </c>
      <c r="B23" s="2267" t="s">
        <v>49</v>
      </c>
      <c r="C23" s="2267" t="s">
        <v>29</v>
      </c>
      <c r="D23" s="2364" t="s">
        <v>107</v>
      </c>
      <c r="E23" s="189" t="s">
        <v>101</v>
      </c>
      <c r="F23" s="172" t="s">
        <v>103</v>
      </c>
      <c r="G23" s="172" t="s">
        <v>1271</v>
      </c>
      <c r="H23" s="25" t="s">
        <v>301</v>
      </c>
      <c r="I23" s="43">
        <v>130000</v>
      </c>
      <c r="J23" s="25" t="s">
        <v>34</v>
      </c>
      <c r="K23" s="25" t="s">
        <v>34</v>
      </c>
      <c r="L23" s="25" t="s">
        <v>34</v>
      </c>
      <c r="M23" s="25" t="s">
        <v>35</v>
      </c>
      <c r="N23" s="37" t="s">
        <v>36</v>
      </c>
      <c r="O23" s="52">
        <v>43323</v>
      </c>
      <c r="P23" s="2341" t="s">
        <v>122</v>
      </c>
      <c r="Q23" s="2341" t="s">
        <v>122</v>
      </c>
      <c r="R23" s="2341">
        <v>0</v>
      </c>
      <c r="S23" s="2341" t="s">
        <v>112</v>
      </c>
      <c r="T23" s="2341" t="s">
        <v>106</v>
      </c>
      <c r="U23" s="2341" t="s">
        <v>105</v>
      </c>
      <c r="V23" s="2362" t="s">
        <v>114</v>
      </c>
      <c r="W23" s="2352">
        <v>0</v>
      </c>
      <c r="X23" s="34">
        <v>165.78713192742404</v>
      </c>
      <c r="Y23" s="34">
        <v>9.2422115384615378</v>
      </c>
      <c r="Z23" s="48">
        <v>175.03</v>
      </c>
      <c r="AA23" s="48"/>
      <c r="AB23" s="48"/>
      <c r="AC23" s="48"/>
      <c r="AD23" s="40">
        <f t="shared" si="0"/>
        <v>2.2753899999999998</v>
      </c>
      <c r="AE23" s="160" t="str">
        <f t="shared" si="2"/>
        <v>A</v>
      </c>
      <c r="AF23" s="16">
        <v>158.26</v>
      </c>
      <c r="AG23" s="16"/>
      <c r="AH23" s="25"/>
      <c r="AI23" s="34">
        <v>114.68</v>
      </c>
      <c r="AJ23" s="34"/>
      <c r="AK23" s="34"/>
      <c r="AL23" s="16"/>
      <c r="AM23" s="16"/>
      <c r="AN23" s="16"/>
      <c r="AO23" s="16"/>
      <c r="AP23" s="16"/>
      <c r="AQ23" s="2386" t="s">
        <v>392</v>
      </c>
    </row>
    <row r="24" spans="1:43">
      <c r="A24" s="2340"/>
      <c r="B24" s="2267"/>
      <c r="C24" s="2267"/>
      <c r="D24" s="2365"/>
      <c r="E24" s="189" t="s">
        <v>102</v>
      </c>
      <c r="F24" s="172" t="s">
        <v>104</v>
      </c>
      <c r="G24" s="172"/>
      <c r="H24" s="25" t="s">
        <v>301</v>
      </c>
      <c r="I24" s="43">
        <v>130000</v>
      </c>
      <c r="J24" s="25" t="s">
        <v>34</v>
      </c>
      <c r="K24" s="25" t="s">
        <v>34</v>
      </c>
      <c r="L24" s="25" t="s">
        <v>34</v>
      </c>
      <c r="M24" s="25" t="s">
        <v>35</v>
      </c>
      <c r="N24" s="37" t="s">
        <v>36</v>
      </c>
      <c r="O24" s="52">
        <v>43323</v>
      </c>
      <c r="P24" s="2314"/>
      <c r="Q24" s="2314"/>
      <c r="R24" s="2314"/>
      <c r="S24" s="2314"/>
      <c r="T24" s="2314"/>
      <c r="U24" s="2314"/>
      <c r="V24" s="2314"/>
      <c r="W24" s="2345"/>
      <c r="X24" s="34">
        <v>186.1528892128465</v>
      </c>
      <c r="Y24" s="34">
        <v>9.2422115384615378</v>
      </c>
      <c r="Z24" s="48">
        <v>195.4</v>
      </c>
      <c r="AA24" s="48"/>
      <c r="AB24" s="48"/>
      <c r="AC24" s="48"/>
      <c r="AD24" s="40">
        <f t="shared" si="0"/>
        <v>2.5402</v>
      </c>
      <c r="AE24" s="160" t="str">
        <f t="shared" si="2"/>
        <v>A</v>
      </c>
      <c r="AF24" s="16">
        <v>172.43</v>
      </c>
      <c r="AG24" s="16"/>
      <c r="AH24" s="25"/>
      <c r="AI24" s="34">
        <v>115.77</v>
      </c>
      <c r="AJ24" s="34"/>
      <c r="AK24" s="34"/>
      <c r="AL24" s="16"/>
      <c r="AM24" s="16"/>
      <c r="AN24" s="16"/>
      <c r="AO24" s="16"/>
      <c r="AP24" s="16"/>
      <c r="AQ24" s="2388"/>
    </row>
    <row r="25" spans="1:43">
      <c r="A25" s="2340">
        <v>12</v>
      </c>
      <c r="B25" s="2267" t="s">
        <v>49</v>
      </c>
      <c r="C25" s="2267" t="s">
        <v>29</v>
      </c>
      <c r="D25" s="2350" t="s">
        <v>123</v>
      </c>
      <c r="E25" s="189" t="s">
        <v>124</v>
      </c>
      <c r="F25" s="172" t="s">
        <v>125</v>
      </c>
      <c r="G25" s="172" t="s">
        <v>1271</v>
      </c>
      <c r="H25" s="25" t="s">
        <v>301</v>
      </c>
      <c r="I25" s="186">
        <v>130000</v>
      </c>
      <c r="J25" s="25" t="s">
        <v>34</v>
      </c>
      <c r="K25" s="25" t="s">
        <v>34</v>
      </c>
      <c r="L25" s="25" t="s">
        <v>34</v>
      </c>
      <c r="M25" s="25" t="s">
        <v>35</v>
      </c>
      <c r="N25" s="37" t="s">
        <v>36</v>
      </c>
      <c r="O25" s="53">
        <v>43343</v>
      </c>
      <c r="P25" s="2349" t="s">
        <v>139</v>
      </c>
      <c r="Q25" s="2349" t="s">
        <v>144</v>
      </c>
      <c r="R25" s="2349">
        <v>0</v>
      </c>
      <c r="S25" s="19" t="s">
        <v>129</v>
      </c>
      <c r="T25" s="53">
        <v>43343</v>
      </c>
      <c r="U25" s="2344" t="s">
        <v>196</v>
      </c>
      <c r="V25" s="2344" t="s">
        <v>196</v>
      </c>
      <c r="W25" s="2344"/>
      <c r="X25" s="46">
        <v>197.08</v>
      </c>
      <c r="Y25" s="46">
        <v>3.47</v>
      </c>
      <c r="Z25" s="45">
        <v>200.55</v>
      </c>
      <c r="AA25" s="45"/>
      <c r="AB25" s="45"/>
      <c r="AC25" s="45"/>
      <c r="AD25" s="45">
        <f t="shared" si="0"/>
        <v>2.6071499999999999</v>
      </c>
      <c r="AE25" s="160" t="str">
        <f t="shared" si="2"/>
        <v>A</v>
      </c>
      <c r="AF25" s="46">
        <v>190.96</v>
      </c>
      <c r="AG25" s="46"/>
      <c r="AH25" s="25"/>
      <c r="AI25" s="46">
        <v>0</v>
      </c>
      <c r="AJ25" s="46"/>
      <c r="AK25" s="46"/>
      <c r="AL25" s="46"/>
      <c r="AM25" s="46"/>
      <c r="AN25" s="46"/>
      <c r="AO25" s="46"/>
      <c r="AP25" s="46"/>
      <c r="AQ25" s="2386" t="s">
        <v>392</v>
      </c>
    </row>
    <row r="26" spans="1:43">
      <c r="A26" s="2349"/>
      <c r="B26" s="2343"/>
      <c r="C26" s="2343"/>
      <c r="D26" s="2351"/>
      <c r="E26" s="189" t="s">
        <v>126</v>
      </c>
      <c r="F26" s="172" t="s">
        <v>127</v>
      </c>
      <c r="G26" s="172"/>
      <c r="H26" s="25" t="s">
        <v>301</v>
      </c>
      <c r="I26" s="186">
        <v>130000</v>
      </c>
      <c r="J26" s="25" t="s">
        <v>34</v>
      </c>
      <c r="K26" s="149" t="s">
        <v>34</v>
      </c>
      <c r="L26" s="149" t="s">
        <v>34</v>
      </c>
      <c r="M26" s="149" t="s">
        <v>35</v>
      </c>
      <c r="N26" s="54" t="s">
        <v>36</v>
      </c>
      <c r="O26" s="53">
        <v>43343</v>
      </c>
      <c r="P26" s="2314"/>
      <c r="Q26" s="2314"/>
      <c r="R26" s="2314"/>
      <c r="S26" s="19" t="s">
        <v>129</v>
      </c>
      <c r="T26" s="53">
        <v>43343</v>
      </c>
      <c r="U26" s="2345"/>
      <c r="V26" s="2345"/>
      <c r="W26" s="2345"/>
      <c r="X26" s="46">
        <v>192.35</v>
      </c>
      <c r="Y26" s="46">
        <v>3.47</v>
      </c>
      <c r="Z26" s="45">
        <v>195.82</v>
      </c>
      <c r="AA26" s="45"/>
      <c r="AB26" s="45"/>
      <c r="AC26" s="45"/>
      <c r="AD26" s="45">
        <f t="shared" si="0"/>
        <v>2.5456599999999998</v>
      </c>
      <c r="AE26" s="160" t="str">
        <f t="shared" si="2"/>
        <v>A</v>
      </c>
      <c r="AF26" s="46">
        <v>189.84</v>
      </c>
      <c r="AG26" s="46"/>
      <c r="AH26" s="25"/>
      <c r="AI26" s="46">
        <v>17.98</v>
      </c>
      <c r="AJ26" s="46"/>
      <c r="AK26" s="46"/>
      <c r="AL26" s="46"/>
      <c r="AM26" s="46"/>
      <c r="AN26" s="46"/>
      <c r="AO26" s="46"/>
      <c r="AP26" s="46"/>
      <c r="AQ26" s="2388"/>
    </row>
    <row r="27" spans="1:43">
      <c r="A27" s="2349">
        <v>13</v>
      </c>
      <c r="B27" s="2343" t="s">
        <v>197</v>
      </c>
      <c r="C27" s="2343" t="s">
        <v>29</v>
      </c>
      <c r="D27" s="2346" t="s">
        <v>135</v>
      </c>
      <c r="E27" s="189" t="s">
        <v>130</v>
      </c>
      <c r="F27" s="2" t="s">
        <v>131</v>
      </c>
      <c r="G27" s="2"/>
      <c r="H27" s="25" t="s">
        <v>299</v>
      </c>
      <c r="I27" s="46">
        <v>30000</v>
      </c>
      <c r="J27" s="25" t="s">
        <v>34</v>
      </c>
      <c r="K27" s="25" t="s">
        <v>34</v>
      </c>
      <c r="L27" s="25" t="s">
        <v>34</v>
      </c>
      <c r="M27" s="25" t="s">
        <v>35</v>
      </c>
      <c r="N27" s="37" t="s">
        <v>36</v>
      </c>
      <c r="O27" s="52">
        <v>43343</v>
      </c>
      <c r="P27" s="2347" t="s">
        <v>132</v>
      </c>
      <c r="Q27" s="2349" t="s">
        <v>139</v>
      </c>
      <c r="R27" s="2349">
        <v>0</v>
      </c>
      <c r="S27" s="2349" t="s">
        <v>129</v>
      </c>
      <c r="T27" s="52">
        <v>43343</v>
      </c>
      <c r="U27" s="2349" t="s">
        <v>139</v>
      </c>
      <c r="V27" s="2349" t="s">
        <v>139</v>
      </c>
      <c r="W27" s="2344"/>
      <c r="X27" s="46">
        <v>547.39</v>
      </c>
      <c r="Y27" s="46">
        <v>16.34</v>
      </c>
      <c r="Z27" s="45">
        <v>564.95000000000005</v>
      </c>
      <c r="AA27" s="45"/>
      <c r="AB27" s="45"/>
      <c r="AC27" s="45"/>
      <c r="AD27" s="45">
        <f t="shared" si="0"/>
        <v>1.69485</v>
      </c>
      <c r="AE27" s="160" t="str">
        <f t="shared" si="2"/>
        <v>W</v>
      </c>
      <c r="AF27" s="46">
        <v>565.45999999999992</v>
      </c>
      <c r="AG27" s="46">
        <v>14.47</v>
      </c>
      <c r="AH27" s="25">
        <f>AF27+AG27</f>
        <v>579.92999999999995</v>
      </c>
      <c r="AI27" s="46">
        <v>146.29</v>
      </c>
      <c r="AJ27" s="46">
        <v>21.5</v>
      </c>
      <c r="AK27" s="46">
        <v>22.83</v>
      </c>
      <c r="AL27" s="46"/>
      <c r="AM27" s="46"/>
      <c r="AN27" s="46"/>
      <c r="AO27" s="46"/>
      <c r="AP27" s="46"/>
      <c r="AQ27" s="2335" t="s">
        <v>342</v>
      </c>
    </row>
    <row r="28" spans="1:43">
      <c r="A28" s="2314"/>
      <c r="B28" s="2271"/>
      <c r="C28" s="2271"/>
      <c r="D28" s="2271"/>
      <c r="E28" s="189" t="s">
        <v>133</v>
      </c>
      <c r="F28" s="2" t="s">
        <v>134</v>
      </c>
      <c r="G28" s="2"/>
      <c r="H28" s="25" t="s">
        <v>299</v>
      </c>
      <c r="I28" s="46">
        <v>30000</v>
      </c>
      <c r="J28" s="25" t="s">
        <v>34</v>
      </c>
      <c r="K28" s="25" t="s">
        <v>34</v>
      </c>
      <c r="L28" s="25" t="s">
        <v>34</v>
      </c>
      <c r="M28" s="25" t="s">
        <v>35</v>
      </c>
      <c r="N28" s="37" t="s">
        <v>36</v>
      </c>
      <c r="O28" s="52">
        <v>43343</v>
      </c>
      <c r="P28" s="2348"/>
      <c r="Q28" s="2314"/>
      <c r="R28" s="2314"/>
      <c r="S28" s="2314"/>
      <c r="T28" s="52">
        <v>43343</v>
      </c>
      <c r="U28" s="2314"/>
      <c r="V28" s="2314"/>
      <c r="W28" s="2345"/>
      <c r="X28" s="46">
        <v>548.61</v>
      </c>
      <c r="Y28" s="46">
        <v>16.34</v>
      </c>
      <c r="Z28" s="45">
        <v>563.73</v>
      </c>
      <c r="AA28" s="45"/>
      <c r="AB28" s="45"/>
      <c r="AC28" s="45"/>
      <c r="AD28" s="45">
        <f t="shared" si="0"/>
        <v>1.69119</v>
      </c>
      <c r="AE28" s="160" t="str">
        <f t="shared" si="2"/>
        <v>W</v>
      </c>
      <c r="AF28" s="46">
        <v>565.45999999999992</v>
      </c>
      <c r="AG28" s="46">
        <v>14.47</v>
      </c>
      <c r="AH28" s="25">
        <f>AF28+AG28</f>
        <v>579.92999999999995</v>
      </c>
      <c r="AI28" s="46">
        <v>166.05</v>
      </c>
      <c r="AJ28" s="46">
        <v>21.5</v>
      </c>
      <c r="AK28" s="46">
        <v>22.83</v>
      </c>
      <c r="AL28" s="46"/>
      <c r="AM28" s="46"/>
      <c r="AN28" s="46"/>
      <c r="AO28" s="46"/>
      <c r="AP28" s="46"/>
      <c r="AQ28" s="2314"/>
    </row>
    <row r="29" spans="1:43" ht="25.5">
      <c r="A29" s="19">
        <v>14</v>
      </c>
      <c r="B29" s="2" t="s">
        <v>197</v>
      </c>
      <c r="C29" s="55" t="s">
        <v>29</v>
      </c>
      <c r="D29" s="55" t="s">
        <v>136</v>
      </c>
      <c r="E29" s="190" t="s">
        <v>137</v>
      </c>
      <c r="F29" s="2" t="s">
        <v>138</v>
      </c>
      <c r="G29" s="2"/>
      <c r="H29" s="25" t="s">
        <v>299</v>
      </c>
      <c r="I29" s="46">
        <v>30000</v>
      </c>
      <c r="J29" s="25" t="s">
        <v>34</v>
      </c>
      <c r="K29" s="25" t="s">
        <v>34</v>
      </c>
      <c r="L29" s="25" t="s">
        <v>34</v>
      </c>
      <c r="M29" s="25" t="s">
        <v>35</v>
      </c>
      <c r="N29" s="37" t="s">
        <v>36</v>
      </c>
      <c r="O29" s="52">
        <v>43343</v>
      </c>
      <c r="P29" s="37" t="s">
        <v>132</v>
      </c>
      <c r="Q29" s="46"/>
      <c r="R29" s="25">
        <v>0</v>
      </c>
      <c r="S29" s="19" t="s">
        <v>129</v>
      </c>
      <c r="T29" s="52">
        <v>43343</v>
      </c>
      <c r="U29" s="46"/>
      <c r="V29" s="46"/>
      <c r="W29" s="46"/>
      <c r="X29" s="164">
        <v>746.25656948882158</v>
      </c>
      <c r="Y29" s="164">
        <v>56.676666666666669</v>
      </c>
      <c r="Z29" s="164">
        <v>802.9332361554882</v>
      </c>
      <c r="AA29" s="164">
        <v>972.32188442567508</v>
      </c>
      <c r="AB29" s="164">
        <v>46</v>
      </c>
      <c r="AC29" s="165">
        <v>71.761075000000005</v>
      </c>
      <c r="AD29" s="46"/>
      <c r="AE29" s="160" t="str">
        <f t="shared" si="2"/>
        <v>L</v>
      </c>
      <c r="AF29" s="46"/>
      <c r="AG29" s="46"/>
      <c r="AH29" s="25" t="s">
        <v>346</v>
      </c>
      <c r="AI29" s="46"/>
      <c r="AJ29" s="46"/>
      <c r="AK29" s="46"/>
      <c r="AL29" s="46"/>
      <c r="AM29" s="46"/>
      <c r="AN29" s="46"/>
      <c r="AO29" s="46"/>
      <c r="AP29" s="46"/>
      <c r="AQ29" s="170" t="s">
        <v>353</v>
      </c>
    </row>
    <row r="30" spans="1:43">
      <c r="A30" s="19">
        <v>15</v>
      </c>
      <c r="B30" s="2" t="s">
        <v>49</v>
      </c>
      <c r="C30" s="55" t="s">
        <v>29</v>
      </c>
      <c r="D30" s="55" t="s">
        <v>140</v>
      </c>
      <c r="E30" s="190" t="s">
        <v>143</v>
      </c>
      <c r="F30" s="2" t="s">
        <v>141</v>
      </c>
      <c r="G30" s="2"/>
      <c r="H30" s="25" t="s">
        <v>301</v>
      </c>
      <c r="I30" s="46">
        <v>30000</v>
      </c>
      <c r="J30" s="25" t="s">
        <v>34</v>
      </c>
      <c r="K30" s="25" t="s">
        <v>34</v>
      </c>
      <c r="L30" s="25" t="s">
        <v>34</v>
      </c>
      <c r="M30" s="25" t="s">
        <v>35</v>
      </c>
      <c r="N30" s="37" t="s">
        <v>36</v>
      </c>
      <c r="O30" s="52">
        <v>43343</v>
      </c>
      <c r="P30" s="37" t="s">
        <v>142</v>
      </c>
      <c r="Q30" s="37" t="s">
        <v>142</v>
      </c>
      <c r="R30" s="25">
        <v>0</v>
      </c>
      <c r="S30" s="19" t="s">
        <v>129</v>
      </c>
      <c r="T30" s="52">
        <v>43343</v>
      </c>
      <c r="U30" s="46" t="s">
        <v>128</v>
      </c>
      <c r="V30" s="46" t="s">
        <v>128</v>
      </c>
      <c r="W30" s="46"/>
      <c r="X30" s="46"/>
      <c r="Y30" s="46"/>
      <c r="Z30" s="46"/>
      <c r="AA30" s="46"/>
      <c r="AB30" s="46"/>
      <c r="AC30" s="46"/>
      <c r="AD30" s="46"/>
      <c r="AE30" s="160" t="str">
        <f t="shared" si="2"/>
        <v>A</v>
      </c>
      <c r="AF30" s="46"/>
      <c r="AG30" s="46"/>
      <c r="AH30" s="25"/>
      <c r="AI30" s="46"/>
      <c r="AJ30" s="46"/>
      <c r="AK30" s="46"/>
      <c r="AL30" s="46"/>
      <c r="AM30" s="46"/>
      <c r="AN30" s="46"/>
      <c r="AO30" s="46"/>
      <c r="AP30" s="46"/>
      <c r="AQ30" s="46"/>
    </row>
    <row r="31" spans="1:43">
      <c r="A31" s="2340">
        <v>16</v>
      </c>
      <c r="B31" s="2343" t="s">
        <v>197</v>
      </c>
      <c r="C31" s="2267" t="s">
        <v>29</v>
      </c>
      <c r="D31" s="2267" t="s">
        <v>145</v>
      </c>
      <c r="E31" s="189" t="s">
        <v>146</v>
      </c>
      <c r="F31" s="2" t="s">
        <v>148</v>
      </c>
      <c r="G31" s="2"/>
      <c r="H31" s="25" t="s">
        <v>299</v>
      </c>
      <c r="I31" s="46">
        <v>30000</v>
      </c>
      <c r="J31" s="25" t="s">
        <v>34</v>
      </c>
      <c r="K31" s="25" t="s">
        <v>34</v>
      </c>
      <c r="L31" s="25" t="s">
        <v>34</v>
      </c>
      <c r="M31" s="25" t="s">
        <v>35</v>
      </c>
      <c r="N31" s="37" t="s">
        <v>36</v>
      </c>
      <c r="O31" s="37" t="s">
        <v>150</v>
      </c>
      <c r="P31" s="2338">
        <v>43364</v>
      </c>
      <c r="Q31" s="2339" t="s">
        <v>195</v>
      </c>
      <c r="R31" s="2340">
        <v>0</v>
      </c>
      <c r="S31" s="2341" t="s">
        <v>188</v>
      </c>
      <c r="T31" s="2340" t="s">
        <v>150</v>
      </c>
      <c r="U31" s="2339" t="s">
        <v>195</v>
      </c>
      <c r="V31" s="2339" t="s">
        <v>195</v>
      </c>
      <c r="W31" s="46"/>
      <c r="X31" s="164">
        <v>686.47856394864698</v>
      </c>
      <c r="Y31" s="164">
        <v>28.338333333333335</v>
      </c>
      <c r="Z31" s="164">
        <v>714.81689728198035</v>
      </c>
      <c r="AA31" s="164">
        <v>799.27025572940875</v>
      </c>
      <c r="AB31" s="164">
        <v>44</v>
      </c>
      <c r="AC31" s="164">
        <v>67.480649999999997</v>
      </c>
      <c r="AD31" s="46"/>
      <c r="AE31" s="160" t="str">
        <f t="shared" si="2"/>
        <v>L</v>
      </c>
      <c r="AF31" s="46"/>
      <c r="AG31" s="46"/>
      <c r="AH31" s="25" t="s">
        <v>346</v>
      </c>
      <c r="AI31" s="46"/>
      <c r="AJ31" s="46"/>
      <c r="AK31" s="46"/>
      <c r="AL31" s="46"/>
      <c r="AM31" s="46"/>
      <c r="AN31" s="46"/>
      <c r="AO31" s="46"/>
      <c r="AP31" s="46"/>
      <c r="AQ31" s="2336" t="s">
        <v>354</v>
      </c>
    </row>
    <row r="32" spans="1:43" ht="21.75" customHeight="1">
      <c r="A32" s="2340"/>
      <c r="B32" s="2271"/>
      <c r="C32" s="2267"/>
      <c r="D32" s="2267"/>
      <c r="E32" s="189" t="s">
        <v>147</v>
      </c>
      <c r="F32" s="2" t="s">
        <v>149</v>
      </c>
      <c r="G32" s="2"/>
      <c r="H32" s="25" t="s">
        <v>299</v>
      </c>
      <c r="I32" s="46">
        <v>30000</v>
      </c>
      <c r="J32" s="25" t="s">
        <v>34</v>
      </c>
      <c r="K32" s="25" t="s">
        <v>34</v>
      </c>
      <c r="L32" s="25" t="s">
        <v>34</v>
      </c>
      <c r="M32" s="25" t="s">
        <v>35</v>
      </c>
      <c r="N32" s="37" t="s">
        <v>36</v>
      </c>
      <c r="O32" s="37" t="s">
        <v>150</v>
      </c>
      <c r="P32" s="2340"/>
      <c r="Q32" s="2314"/>
      <c r="R32" s="2340"/>
      <c r="S32" s="2314"/>
      <c r="T32" s="2340"/>
      <c r="U32" s="2314"/>
      <c r="V32" s="2314"/>
      <c r="W32" s="46"/>
      <c r="X32" s="164">
        <v>686.47856394864698</v>
      </c>
      <c r="Y32" s="164">
        <v>28.338333333333335</v>
      </c>
      <c r="Z32" s="164">
        <v>714.81689728198035</v>
      </c>
      <c r="AA32" s="164">
        <v>709.83881861900875</v>
      </c>
      <c r="AB32" s="164">
        <v>44</v>
      </c>
      <c r="AC32" s="164">
        <v>67.480649999999997</v>
      </c>
      <c r="AD32" s="46"/>
      <c r="AE32" s="160" t="str">
        <f t="shared" si="2"/>
        <v>L</v>
      </c>
      <c r="AF32" s="46"/>
      <c r="AG32" s="46"/>
      <c r="AH32" s="25" t="s">
        <v>346</v>
      </c>
      <c r="AI32" s="46"/>
      <c r="AJ32" s="46"/>
      <c r="AK32" s="46"/>
      <c r="AL32" s="46"/>
      <c r="AM32" s="46"/>
      <c r="AN32" s="46"/>
      <c r="AO32" s="46"/>
      <c r="AP32" s="46"/>
      <c r="AQ32" s="2337"/>
    </row>
    <row r="33" spans="1:43">
      <c r="A33" s="25">
        <v>17</v>
      </c>
      <c r="B33" s="2" t="s">
        <v>49</v>
      </c>
      <c r="C33" s="2" t="s">
        <v>29</v>
      </c>
      <c r="D33" s="2" t="s">
        <v>153</v>
      </c>
      <c r="E33" s="172" t="s">
        <v>151</v>
      </c>
      <c r="F33" s="2" t="s">
        <v>152</v>
      </c>
      <c r="G33" s="2"/>
      <c r="H33" s="25" t="s">
        <v>301</v>
      </c>
      <c r="I33" s="25">
        <v>130000</v>
      </c>
      <c r="J33" s="25" t="s">
        <v>34</v>
      </c>
      <c r="K33" s="25" t="s">
        <v>34</v>
      </c>
      <c r="L33" s="25" t="s">
        <v>34</v>
      </c>
      <c r="M33" s="25" t="s">
        <v>35</v>
      </c>
      <c r="N33" s="37" t="s">
        <v>36</v>
      </c>
      <c r="O33" s="150">
        <v>43358</v>
      </c>
      <c r="P33" s="151">
        <v>43367</v>
      </c>
      <c r="Q33" s="151">
        <v>43367</v>
      </c>
      <c r="R33" s="25">
        <v>0</v>
      </c>
      <c r="S33" s="151">
        <v>43364</v>
      </c>
      <c r="T33" s="151">
        <v>43358</v>
      </c>
      <c r="U33" s="46" t="s">
        <v>194</v>
      </c>
      <c r="V33" s="46" t="s">
        <v>194</v>
      </c>
      <c r="W33" s="46"/>
      <c r="X33" s="46"/>
      <c r="Y33" s="46"/>
      <c r="Z33" s="46"/>
      <c r="AA33" s="46"/>
      <c r="AB33" s="46"/>
      <c r="AC33" s="46"/>
      <c r="AD33" s="46"/>
      <c r="AE33" s="160" t="str">
        <f t="shared" si="2"/>
        <v>L</v>
      </c>
      <c r="AF33" s="46"/>
      <c r="AG33" s="46"/>
      <c r="AH33" s="25" t="s">
        <v>346</v>
      </c>
      <c r="AI33" s="46"/>
      <c r="AJ33" s="46"/>
      <c r="AK33" s="46"/>
      <c r="AL33" s="46"/>
      <c r="AM33" s="46"/>
      <c r="AN33" s="46"/>
      <c r="AO33" s="46"/>
      <c r="AP33" s="46"/>
      <c r="AQ33" s="46"/>
    </row>
    <row r="34" spans="1:43">
      <c r="A34" s="2378">
        <v>18</v>
      </c>
      <c r="B34" s="2379" t="s">
        <v>49</v>
      </c>
      <c r="C34" s="2379" t="s">
        <v>29</v>
      </c>
      <c r="D34" s="2379" t="s">
        <v>189</v>
      </c>
      <c r="E34" s="172" t="s">
        <v>190</v>
      </c>
      <c r="F34" s="2" t="s">
        <v>192</v>
      </c>
      <c r="G34" s="2"/>
      <c r="H34" s="25" t="s">
        <v>301</v>
      </c>
      <c r="I34" s="25">
        <v>130000</v>
      </c>
      <c r="J34" s="25" t="s">
        <v>34</v>
      </c>
      <c r="K34" s="25" t="s">
        <v>34</v>
      </c>
      <c r="L34" s="25" t="s">
        <v>34</v>
      </c>
      <c r="M34" s="25" t="s">
        <v>35</v>
      </c>
      <c r="N34" s="37" t="s">
        <v>36</v>
      </c>
      <c r="O34" s="52">
        <v>43367</v>
      </c>
      <c r="P34" s="2342">
        <v>43367</v>
      </c>
      <c r="Q34" s="2339" t="s">
        <v>193</v>
      </c>
      <c r="R34" s="2313">
        <v>0</v>
      </c>
      <c r="S34" s="42">
        <v>43374</v>
      </c>
      <c r="T34" s="42">
        <v>43367</v>
      </c>
      <c r="U34" s="2339" t="s">
        <v>193</v>
      </c>
      <c r="V34" s="2339" t="s">
        <v>193</v>
      </c>
      <c r="W34" s="46"/>
      <c r="X34" s="46"/>
      <c r="Y34" s="46"/>
      <c r="Z34" s="46"/>
      <c r="AA34" s="46"/>
      <c r="AB34" s="46"/>
      <c r="AC34" s="46"/>
      <c r="AD34" s="46"/>
      <c r="AE34" s="160" t="str">
        <f t="shared" si="2"/>
        <v>L</v>
      </c>
      <c r="AF34" s="46"/>
      <c r="AG34" s="46"/>
      <c r="AH34" s="25" t="s">
        <v>346</v>
      </c>
      <c r="AI34" s="46"/>
      <c r="AJ34" s="46"/>
      <c r="AK34" s="46"/>
      <c r="AL34" s="46"/>
      <c r="AM34" s="46"/>
      <c r="AN34" s="46"/>
      <c r="AO34" s="46"/>
      <c r="AP34" s="46"/>
      <c r="AQ34" s="46"/>
    </row>
    <row r="35" spans="1:43">
      <c r="A35" s="2314"/>
      <c r="B35" s="2271"/>
      <c r="C35" s="2271"/>
      <c r="D35" s="2271"/>
      <c r="E35" s="172" t="s">
        <v>191</v>
      </c>
      <c r="F35" s="2" t="s">
        <v>192</v>
      </c>
      <c r="G35" s="2"/>
      <c r="H35" s="25" t="s">
        <v>301</v>
      </c>
      <c r="I35" s="25">
        <v>130000</v>
      </c>
      <c r="J35" s="25" t="s">
        <v>34</v>
      </c>
      <c r="K35" s="25" t="s">
        <v>34</v>
      </c>
      <c r="L35" s="25" t="s">
        <v>34</v>
      </c>
      <c r="M35" s="25" t="s">
        <v>35</v>
      </c>
      <c r="N35" s="37" t="s">
        <v>36</v>
      </c>
      <c r="O35" s="52">
        <v>43367</v>
      </c>
      <c r="P35" s="2319"/>
      <c r="Q35" s="2314"/>
      <c r="R35" s="2314"/>
      <c r="S35" s="42">
        <v>43374</v>
      </c>
      <c r="T35" s="42">
        <v>43367</v>
      </c>
      <c r="U35" s="2314"/>
      <c r="V35" s="2314"/>
      <c r="W35" s="46"/>
      <c r="X35" s="46"/>
      <c r="Y35" s="46"/>
      <c r="Z35" s="46"/>
      <c r="AA35" s="46"/>
      <c r="AB35" s="46"/>
      <c r="AC35" s="46"/>
      <c r="AD35" s="46"/>
      <c r="AE35" s="160" t="str">
        <f t="shared" si="2"/>
        <v>L</v>
      </c>
      <c r="AF35" s="46"/>
      <c r="AG35" s="46"/>
      <c r="AH35" s="25" t="s">
        <v>346</v>
      </c>
      <c r="AI35" s="46"/>
      <c r="AJ35" s="46"/>
      <c r="AK35" s="46"/>
      <c r="AL35" s="46"/>
      <c r="AM35" s="46"/>
      <c r="AN35" s="46"/>
      <c r="AO35" s="46"/>
      <c r="AP35" s="46"/>
      <c r="AQ35" s="46"/>
    </row>
    <row r="36" spans="1:43" ht="15" customHeight="1">
      <c r="A36" s="2">
        <v>19</v>
      </c>
      <c r="B36" s="2" t="s">
        <v>197</v>
      </c>
      <c r="C36" s="2" t="s">
        <v>29</v>
      </c>
      <c r="D36" s="2" t="s">
        <v>198</v>
      </c>
      <c r="E36" s="172" t="s">
        <v>199</v>
      </c>
      <c r="F36" s="2" t="s">
        <v>200</v>
      </c>
      <c r="G36" s="2"/>
      <c r="H36" s="2" t="s">
        <v>299</v>
      </c>
      <c r="I36" s="2">
        <v>30000</v>
      </c>
      <c r="J36" s="2" t="s">
        <v>34</v>
      </c>
      <c r="K36" s="2" t="s">
        <v>34</v>
      </c>
      <c r="L36" s="2" t="s">
        <v>34</v>
      </c>
      <c r="M36" s="2" t="s">
        <v>35</v>
      </c>
      <c r="N36" s="5" t="s">
        <v>36</v>
      </c>
      <c r="O36" s="191">
        <v>43423</v>
      </c>
      <c r="P36" s="173">
        <v>43449</v>
      </c>
      <c r="Q36" s="192">
        <v>43454</v>
      </c>
      <c r="R36" s="2">
        <v>0</v>
      </c>
      <c r="S36" s="173">
        <v>43431</v>
      </c>
      <c r="T36" s="174">
        <v>43430</v>
      </c>
      <c r="U36" s="16"/>
      <c r="V36" s="16"/>
      <c r="W36" s="16"/>
      <c r="X36" s="72">
        <v>859.29</v>
      </c>
      <c r="Y36" s="72">
        <v>99.99</v>
      </c>
      <c r="Z36" s="72">
        <v>959.28</v>
      </c>
      <c r="AA36" s="72">
        <v>469.04658831015041</v>
      </c>
      <c r="AB36" s="72">
        <v>66.8</v>
      </c>
      <c r="AC36" s="72">
        <v>29.575606999999998</v>
      </c>
      <c r="AD36" s="16"/>
      <c r="AE36" s="160" t="str">
        <f t="shared" si="2"/>
        <v>A</v>
      </c>
      <c r="AF36" s="16"/>
      <c r="AG36" s="16"/>
      <c r="AH36" s="2"/>
      <c r="AI36" s="16"/>
      <c r="AJ36" s="16"/>
      <c r="AK36" s="16"/>
      <c r="AL36" s="16"/>
      <c r="AM36" s="16"/>
      <c r="AN36" s="16"/>
      <c r="AO36" s="16"/>
      <c r="AP36" s="16"/>
      <c r="AQ36" s="2390" t="s">
        <v>398</v>
      </c>
    </row>
    <row r="37" spans="1:43" ht="15" customHeight="1">
      <c r="A37" s="2">
        <v>20</v>
      </c>
      <c r="B37" s="2" t="s">
        <v>197</v>
      </c>
      <c r="C37" s="2" t="s">
        <v>29</v>
      </c>
      <c r="D37" s="2" t="s">
        <v>201</v>
      </c>
      <c r="E37" s="172" t="s">
        <v>202</v>
      </c>
      <c r="F37" s="2" t="s">
        <v>203</v>
      </c>
      <c r="G37" s="2"/>
      <c r="H37" s="2" t="s">
        <v>299</v>
      </c>
      <c r="I37" s="2">
        <v>30000</v>
      </c>
      <c r="J37" s="2" t="s">
        <v>34</v>
      </c>
      <c r="K37" s="2" t="s">
        <v>34</v>
      </c>
      <c r="L37" s="2" t="s">
        <v>34</v>
      </c>
      <c r="M37" s="2" t="s">
        <v>35</v>
      </c>
      <c r="N37" s="5" t="s">
        <v>36</v>
      </c>
      <c r="O37" s="192">
        <v>43423</v>
      </c>
      <c r="P37" s="173">
        <v>43449</v>
      </c>
      <c r="Q37" s="192">
        <v>43449</v>
      </c>
      <c r="R37" s="2">
        <v>0</v>
      </c>
      <c r="S37" s="173">
        <v>43430</v>
      </c>
      <c r="T37" s="174">
        <v>43423</v>
      </c>
      <c r="U37" s="16"/>
      <c r="V37" s="16"/>
      <c r="W37" s="16"/>
      <c r="X37" s="72">
        <v>306.03860537749466</v>
      </c>
      <c r="Y37" s="72">
        <v>51.24</v>
      </c>
      <c r="Z37" s="72">
        <v>358.02</v>
      </c>
      <c r="AA37" s="72">
        <v>19.120883771575002</v>
      </c>
      <c r="AB37" s="72">
        <v>21.8</v>
      </c>
      <c r="AC37" s="193">
        <v>11.3979</v>
      </c>
      <c r="AD37" s="16"/>
      <c r="AE37" s="160" t="str">
        <f t="shared" si="2"/>
        <v>A</v>
      </c>
      <c r="AF37" s="16"/>
      <c r="AG37" s="16"/>
      <c r="AH37" s="2"/>
      <c r="AI37" s="16"/>
      <c r="AJ37" s="16"/>
      <c r="AK37" s="16"/>
      <c r="AL37" s="16"/>
      <c r="AM37" s="16"/>
      <c r="AN37" s="16"/>
      <c r="AO37" s="16"/>
      <c r="AP37" s="16"/>
      <c r="AQ37" s="2391"/>
    </row>
    <row r="38" spans="1:43" ht="15" customHeight="1">
      <c r="A38" s="2267">
        <v>21</v>
      </c>
      <c r="B38" s="2267" t="s">
        <v>197</v>
      </c>
      <c r="C38" s="2267" t="s">
        <v>29</v>
      </c>
      <c r="D38" s="2267" t="s">
        <v>204</v>
      </c>
      <c r="E38" s="172" t="s">
        <v>205</v>
      </c>
      <c r="F38" s="2" t="s">
        <v>206</v>
      </c>
      <c r="G38" s="2"/>
      <c r="H38" s="2" t="s">
        <v>299</v>
      </c>
      <c r="I38" s="2">
        <v>30000</v>
      </c>
      <c r="J38" s="2" t="s">
        <v>34</v>
      </c>
      <c r="K38" s="2" t="s">
        <v>34</v>
      </c>
      <c r="L38" s="2" t="s">
        <v>34</v>
      </c>
      <c r="M38" s="2" t="s">
        <v>35</v>
      </c>
      <c r="N38" s="5" t="s">
        <v>36</v>
      </c>
      <c r="O38" s="192">
        <v>43423</v>
      </c>
      <c r="P38" s="2320">
        <v>43445</v>
      </c>
      <c r="Q38" s="2316">
        <v>43445</v>
      </c>
      <c r="R38" s="2315">
        <v>0</v>
      </c>
      <c r="S38" s="2320">
        <v>43430</v>
      </c>
      <c r="T38" s="174">
        <v>43423</v>
      </c>
      <c r="U38" s="16"/>
      <c r="V38" s="16"/>
      <c r="W38" s="16"/>
      <c r="X38" s="72">
        <v>386.13382966222741</v>
      </c>
      <c r="Y38" s="72">
        <v>51.2425</v>
      </c>
      <c r="Z38" s="72">
        <v>437.37632966222742</v>
      </c>
      <c r="AA38" s="72">
        <v>17.844404154725005</v>
      </c>
      <c r="AB38" s="72">
        <v>38.5</v>
      </c>
      <c r="AC38" s="193">
        <v>5.6650500000000008</v>
      </c>
      <c r="AD38" s="16"/>
      <c r="AE38" s="160" t="str">
        <f t="shared" si="2"/>
        <v>A</v>
      </c>
      <c r="AF38" s="16"/>
      <c r="AG38" s="16"/>
      <c r="AH38" s="2"/>
      <c r="AI38" s="16"/>
      <c r="AJ38" s="16"/>
      <c r="AK38" s="16"/>
      <c r="AL38" s="16"/>
      <c r="AM38" s="16"/>
      <c r="AN38" s="16"/>
      <c r="AO38" s="16"/>
      <c r="AP38" s="16"/>
      <c r="AQ38" s="2390" t="s">
        <v>398</v>
      </c>
    </row>
    <row r="39" spans="1:43">
      <c r="A39" s="2267"/>
      <c r="B39" s="2267"/>
      <c r="C39" s="2267"/>
      <c r="D39" s="2267"/>
      <c r="E39" s="172" t="s">
        <v>207</v>
      </c>
      <c r="F39" s="2" t="s">
        <v>208</v>
      </c>
      <c r="G39" s="2"/>
      <c r="H39" s="2" t="s">
        <v>299</v>
      </c>
      <c r="I39" s="2">
        <v>30000</v>
      </c>
      <c r="J39" s="2" t="s">
        <v>34</v>
      </c>
      <c r="K39" s="2" t="s">
        <v>34</v>
      </c>
      <c r="L39" s="2" t="s">
        <v>34</v>
      </c>
      <c r="M39" s="2" t="s">
        <v>35</v>
      </c>
      <c r="N39" s="5" t="s">
        <v>36</v>
      </c>
      <c r="O39" s="192">
        <v>43423</v>
      </c>
      <c r="P39" s="2317"/>
      <c r="Q39" s="2317"/>
      <c r="R39" s="2271"/>
      <c r="S39" s="2271"/>
      <c r="T39" s="174">
        <v>43423</v>
      </c>
      <c r="U39" s="16"/>
      <c r="V39" s="16"/>
      <c r="W39" s="16"/>
      <c r="X39" s="194">
        <v>389.09</v>
      </c>
      <c r="Y39" s="194">
        <v>51.24</v>
      </c>
      <c r="Z39" s="194">
        <v>440.3</v>
      </c>
      <c r="AA39" s="194">
        <v>13.46</v>
      </c>
      <c r="AB39" s="72">
        <v>38.5</v>
      </c>
      <c r="AC39" s="193">
        <v>5.6650500000000008</v>
      </c>
      <c r="AD39" s="16"/>
      <c r="AE39" s="160" t="str">
        <f t="shared" si="2"/>
        <v>A</v>
      </c>
      <c r="AF39" s="16"/>
      <c r="AG39" s="16"/>
      <c r="AH39" s="2"/>
      <c r="AI39" s="16"/>
      <c r="AJ39" s="16"/>
      <c r="AK39" s="16"/>
      <c r="AL39" s="16"/>
      <c r="AM39" s="16"/>
      <c r="AN39" s="16"/>
      <c r="AO39" s="16"/>
      <c r="AP39" s="16"/>
      <c r="AQ39" s="2391"/>
    </row>
    <row r="40" spans="1:43" ht="15" customHeight="1">
      <c r="A40" s="2267">
        <v>22</v>
      </c>
      <c r="B40" s="2267" t="s">
        <v>197</v>
      </c>
      <c r="C40" s="2267" t="s">
        <v>29</v>
      </c>
      <c r="D40" s="2267" t="s">
        <v>210</v>
      </c>
      <c r="E40" s="172" t="s">
        <v>211</v>
      </c>
      <c r="F40" s="2" t="s">
        <v>214</v>
      </c>
      <c r="G40" s="2"/>
      <c r="H40" s="2" t="s">
        <v>299</v>
      </c>
      <c r="I40" s="2">
        <v>30000</v>
      </c>
      <c r="J40" s="2" t="s">
        <v>34</v>
      </c>
      <c r="K40" s="2" t="s">
        <v>34</v>
      </c>
      <c r="L40" s="2" t="s">
        <v>34</v>
      </c>
      <c r="M40" s="2" t="s">
        <v>35</v>
      </c>
      <c r="N40" s="5" t="s">
        <v>36</v>
      </c>
      <c r="O40" s="2328">
        <v>43430</v>
      </c>
      <c r="P40" s="2320">
        <v>43432</v>
      </c>
      <c r="Q40" s="2316">
        <v>43449</v>
      </c>
      <c r="R40" s="2315">
        <v>0</v>
      </c>
      <c r="S40" s="2320">
        <v>43432</v>
      </c>
      <c r="T40" s="2328">
        <v>43430</v>
      </c>
      <c r="U40" s="16"/>
      <c r="V40" s="16"/>
      <c r="W40" s="16"/>
      <c r="X40" s="72">
        <v>439.05742918690402</v>
      </c>
      <c r="Y40" s="72">
        <v>25.62125</v>
      </c>
      <c r="Z40" s="72">
        <v>464.67867918690399</v>
      </c>
      <c r="AA40" s="72">
        <v>49.625322842095002</v>
      </c>
      <c r="AB40" s="72">
        <v>19</v>
      </c>
      <c r="AC40" s="72">
        <v>10.782</v>
      </c>
      <c r="AD40" s="16"/>
      <c r="AE40" s="160" t="str">
        <f t="shared" si="2"/>
        <v>A</v>
      </c>
      <c r="AF40" s="16"/>
      <c r="AG40" s="16"/>
      <c r="AH40" s="2"/>
      <c r="AI40" s="16"/>
      <c r="AJ40" s="16"/>
      <c r="AK40" s="16"/>
      <c r="AL40" s="16"/>
      <c r="AM40" s="16"/>
      <c r="AN40" s="16"/>
      <c r="AO40" s="16"/>
      <c r="AP40" s="16"/>
      <c r="AQ40" s="2390" t="s">
        <v>398</v>
      </c>
    </row>
    <row r="41" spans="1:43">
      <c r="A41" s="2267"/>
      <c r="B41" s="2267"/>
      <c r="C41" s="2267"/>
      <c r="D41" s="2267"/>
      <c r="E41" s="172" t="s">
        <v>212</v>
      </c>
      <c r="F41" s="2" t="s">
        <v>213</v>
      </c>
      <c r="G41" s="2"/>
      <c r="H41" s="2" t="s">
        <v>299</v>
      </c>
      <c r="I41" s="2">
        <v>36000</v>
      </c>
      <c r="J41" s="2" t="s">
        <v>34</v>
      </c>
      <c r="K41" s="2" t="s">
        <v>34</v>
      </c>
      <c r="L41" s="2" t="s">
        <v>34</v>
      </c>
      <c r="M41" s="2" t="s">
        <v>35</v>
      </c>
      <c r="N41" s="5" t="s">
        <v>36</v>
      </c>
      <c r="O41" s="2328"/>
      <c r="P41" s="2317"/>
      <c r="Q41" s="2317"/>
      <c r="R41" s="2271"/>
      <c r="S41" s="2317"/>
      <c r="T41" s="2328"/>
      <c r="U41" s="16"/>
      <c r="V41" s="16"/>
      <c r="W41" s="16"/>
      <c r="X41" s="72">
        <v>438.89097013690395</v>
      </c>
      <c r="Y41" s="72">
        <v>25.62125</v>
      </c>
      <c r="Z41" s="72">
        <v>464.51222013690392</v>
      </c>
      <c r="AA41" s="72">
        <v>49.625322842095002</v>
      </c>
      <c r="AB41" s="72">
        <v>19</v>
      </c>
      <c r="AC41" s="72">
        <v>10.782</v>
      </c>
      <c r="AD41" s="16"/>
      <c r="AE41" s="160" t="str">
        <f t="shared" si="2"/>
        <v>A</v>
      </c>
      <c r="AF41" s="16"/>
      <c r="AG41" s="16"/>
      <c r="AH41" s="2"/>
      <c r="AI41" s="16"/>
      <c r="AJ41" s="16"/>
      <c r="AK41" s="16"/>
      <c r="AL41" s="16"/>
      <c r="AM41" s="16"/>
      <c r="AN41" s="16"/>
      <c r="AO41" s="16"/>
      <c r="AP41" s="16"/>
      <c r="AQ41" s="2391"/>
    </row>
    <row r="42" spans="1:43">
      <c r="A42" s="2340">
        <v>23</v>
      </c>
      <c r="B42" s="2267" t="s">
        <v>209</v>
      </c>
      <c r="C42" s="2267" t="s">
        <v>29</v>
      </c>
      <c r="D42" s="2267" t="s">
        <v>215</v>
      </c>
      <c r="E42" s="172" t="s">
        <v>216</v>
      </c>
      <c r="F42" s="2" t="s">
        <v>217</v>
      </c>
      <c r="G42" s="2"/>
      <c r="H42" s="25" t="s">
        <v>300</v>
      </c>
      <c r="I42" s="25">
        <v>36000</v>
      </c>
      <c r="J42" s="25" t="s">
        <v>34</v>
      </c>
      <c r="K42" s="25" t="s">
        <v>34</v>
      </c>
      <c r="L42" s="25" t="s">
        <v>34</v>
      </c>
      <c r="M42" s="25" t="s">
        <v>35</v>
      </c>
      <c r="N42" s="37" t="s">
        <v>237</v>
      </c>
      <c r="O42" s="2338">
        <v>43430</v>
      </c>
      <c r="P42" s="2321">
        <v>43434</v>
      </c>
      <c r="Q42" s="2318">
        <v>43438</v>
      </c>
      <c r="R42" s="2313">
        <v>0</v>
      </c>
      <c r="S42" s="2321">
        <v>43433</v>
      </c>
      <c r="T42" s="2338">
        <v>43430</v>
      </c>
      <c r="U42" s="46"/>
      <c r="V42" s="46"/>
      <c r="W42" s="46"/>
      <c r="X42" s="164">
        <v>183.74612942354915</v>
      </c>
      <c r="Y42" s="164">
        <v>11.807638888888889</v>
      </c>
      <c r="Z42" s="164">
        <v>195.55376831243802</v>
      </c>
      <c r="AA42" s="164">
        <v>55.56</v>
      </c>
      <c r="AB42" s="164">
        <v>12.8</v>
      </c>
      <c r="AC42" s="164">
        <v>7.8269224000562403</v>
      </c>
      <c r="AD42" s="46"/>
      <c r="AE42" s="160" t="str">
        <f t="shared" si="2"/>
        <v>L</v>
      </c>
      <c r="AF42" s="46"/>
      <c r="AG42" s="46"/>
      <c r="AH42" s="25" t="s">
        <v>346</v>
      </c>
      <c r="AI42" s="46"/>
      <c r="AJ42" s="46"/>
      <c r="AK42" s="46"/>
      <c r="AL42" s="46"/>
      <c r="AM42" s="46"/>
      <c r="AN42" s="46"/>
      <c r="AO42" s="46"/>
      <c r="AP42" s="46"/>
      <c r="AQ42" s="2395" t="s">
        <v>355</v>
      </c>
    </row>
    <row r="43" spans="1:43">
      <c r="A43" s="2340"/>
      <c r="B43" s="2267"/>
      <c r="C43" s="2267"/>
      <c r="D43" s="2267"/>
      <c r="E43" s="172" t="s">
        <v>218</v>
      </c>
      <c r="F43" s="2" t="s">
        <v>217</v>
      </c>
      <c r="G43" s="2"/>
      <c r="H43" s="25" t="s">
        <v>300</v>
      </c>
      <c r="I43" s="25">
        <v>36000</v>
      </c>
      <c r="J43" s="25" t="s">
        <v>34</v>
      </c>
      <c r="K43" s="25" t="s">
        <v>34</v>
      </c>
      <c r="L43" s="25" t="s">
        <v>34</v>
      </c>
      <c r="M43" s="25" t="s">
        <v>35</v>
      </c>
      <c r="N43" s="37" t="s">
        <v>237</v>
      </c>
      <c r="O43" s="2338"/>
      <c r="P43" s="2319"/>
      <c r="Q43" s="2319"/>
      <c r="R43" s="2314"/>
      <c r="S43" s="2319"/>
      <c r="T43" s="2338"/>
      <c r="U43" s="46"/>
      <c r="V43" s="46"/>
      <c r="W43" s="46"/>
      <c r="X43" s="164">
        <v>183.74612942354915</v>
      </c>
      <c r="Y43" s="164">
        <v>11.807638888888889</v>
      </c>
      <c r="Z43" s="164">
        <v>195.55376831243802</v>
      </c>
      <c r="AA43" s="164">
        <v>55.56</v>
      </c>
      <c r="AB43" s="164">
        <v>12.8</v>
      </c>
      <c r="AC43" s="164">
        <v>7.8269224000562403</v>
      </c>
      <c r="AD43" s="46"/>
      <c r="AE43" s="160" t="str">
        <f t="shared" si="2"/>
        <v>L</v>
      </c>
      <c r="AF43" s="46"/>
      <c r="AG43" s="46"/>
      <c r="AH43" s="25" t="s">
        <v>346</v>
      </c>
      <c r="AI43" s="46"/>
      <c r="AJ43" s="46"/>
      <c r="AK43" s="46"/>
      <c r="AL43" s="46"/>
      <c r="AM43" s="46"/>
      <c r="AN43" s="46"/>
      <c r="AO43" s="46"/>
      <c r="AP43" s="46"/>
      <c r="AQ43" s="2396"/>
    </row>
    <row r="44" spans="1:43">
      <c r="A44" s="2340">
        <v>24</v>
      </c>
      <c r="B44" s="2267" t="s">
        <v>209</v>
      </c>
      <c r="C44" s="2267" t="s">
        <v>29</v>
      </c>
      <c r="D44" s="2267" t="s">
        <v>219</v>
      </c>
      <c r="E44" s="172" t="s">
        <v>220</v>
      </c>
      <c r="F44" s="2" t="s">
        <v>221</v>
      </c>
      <c r="G44" s="2" t="s">
        <v>1271</v>
      </c>
      <c r="H44" s="25" t="s">
        <v>300</v>
      </c>
      <c r="I44" s="25">
        <v>36000</v>
      </c>
      <c r="J44" s="25" t="s">
        <v>34</v>
      </c>
      <c r="K44" s="25" t="s">
        <v>34</v>
      </c>
      <c r="L44" s="25" t="s">
        <v>34</v>
      </c>
      <c r="M44" s="25" t="s">
        <v>35</v>
      </c>
      <c r="N44" s="37" t="s">
        <v>237</v>
      </c>
      <c r="O44" s="2338">
        <v>43430</v>
      </c>
      <c r="P44" s="2321">
        <v>43434</v>
      </c>
      <c r="Q44" s="2318">
        <v>43438</v>
      </c>
      <c r="R44" s="2313">
        <v>0</v>
      </c>
      <c r="S44" s="2321">
        <v>43433</v>
      </c>
      <c r="T44" s="2338">
        <v>43430</v>
      </c>
      <c r="U44" s="46"/>
      <c r="V44" s="46"/>
      <c r="W44" s="46"/>
      <c r="X44" s="164">
        <v>145.0790496265202</v>
      </c>
      <c r="Y44" s="164">
        <v>11.807638888888889</v>
      </c>
      <c r="Z44" s="164">
        <v>156.88668851540911</v>
      </c>
      <c r="AA44" s="164">
        <v>70.900000000000006</v>
      </c>
      <c r="AB44" s="164">
        <v>12.3</v>
      </c>
      <c r="AC44" s="166">
        <v>5.5540661311734283</v>
      </c>
      <c r="AD44" s="46"/>
      <c r="AE44" s="160" t="str">
        <f t="shared" si="2"/>
        <v>W</v>
      </c>
      <c r="AF44" s="166">
        <f t="shared" ref="AF44:AJ45" si="3">X44</f>
        <v>145.0790496265202</v>
      </c>
      <c r="AG44" s="166">
        <f t="shared" si="3"/>
        <v>11.807638888888889</v>
      </c>
      <c r="AH44" s="25">
        <f t="shared" si="3"/>
        <v>156.88668851540911</v>
      </c>
      <c r="AI44" s="166">
        <f t="shared" si="3"/>
        <v>70.900000000000006</v>
      </c>
      <c r="AJ44" s="166">
        <f t="shared" si="3"/>
        <v>12.3</v>
      </c>
      <c r="AK44" s="166"/>
      <c r="AL44" s="46"/>
      <c r="AM44" s="46"/>
      <c r="AN44" s="46"/>
      <c r="AO44" s="46"/>
      <c r="AP44" s="46"/>
      <c r="AQ44" s="2336" t="s">
        <v>352</v>
      </c>
    </row>
    <row r="45" spans="1:43">
      <c r="A45" s="2340"/>
      <c r="B45" s="2267"/>
      <c r="C45" s="2267"/>
      <c r="D45" s="2267"/>
      <c r="E45" s="172" t="s">
        <v>222</v>
      </c>
      <c r="F45" s="2" t="s">
        <v>217</v>
      </c>
      <c r="G45" s="2"/>
      <c r="H45" s="25" t="s">
        <v>300</v>
      </c>
      <c r="I45" s="25">
        <v>36000</v>
      </c>
      <c r="J45" s="25" t="s">
        <v>34</v>
      </c>
      <c r="K45" s="25" t="s">
        <v>34</v>
      </c>
      <c r="L45" s="25" t="s">
        <v>34</v>
      </c>
      <c r="M45" s="25" t="s">
        <v>35</v>
      </c>
      <c r="N45" s="37" t="s">
        <v>237</v>
      </c>
      <c r="O45" s="2338"/>
      <c r="P45" s="2319"/>
      <c r="Q45" s="2319"/>
      <c r="R45" s="2314"/>
      <c r="S45" s="2319"/>
      <c r="T45" s="2338"/>
      <c r="U45" s="46"/>
      <c r="V45" s="46"/>
      <c r="W45" s="46"/>
      <c r="X45" s="164">
        <v>145.0790496265202</v>
      </c>
      <c r="Y45" s="164">
        <v>11.807638888888889</v>
      </c>
      <c r="Z45" s="164">
        <v>156.88668851540911</v>
      </c>
      <c r="AA45" s="164">
        <v>70.900000000000006</v>
      </c>
      <c r="AB45" s="164">
        <v>12.3</v>
      </c>
      <c r="AC45" s="166">
        <v>5.5540661311734283</v>
      </c>
      <c r="AD45" s="46"/>
      <c r="AE45" s="160" t="str">
        <f t="shared" si="2"/>
        <v>W</v>
      </c>
      <c r="AF45" s="166">
        <f t="shared" si="3"/>
        <v>145.0790496265202</v>
      </c>
      <c r="AG45" s="166">
        <f t="shared" si="3"/>
        <v>11.807638888888889</v>
      </c>
      <c r="AH45" s="25">
        <f t="shared" si="3"/>
        <v>156.88668851540911</v>
      </c>
      <c r="AI45" s="166">
        <f t="shared" si="3"/>
        <v>70.900000000000006</v>
      </c>
      <c r="AJ45" s="166">
        <f t="shared" si="3"/>
        <v>12.3</v>
      </c>
      <c r="AK45" s="166"/>
      <c r="AL45" s="46"/>
      <c r="AM45" s="46"/>
      <c r="AN45" s="46"/>
      <c r="AO45" s="46"/>
      <c r="AP45" s="46"/>
      <c r="AQ45" s="2337"/>
    </row>
    <row r="46" spans="1:43">
      <c r="A46" s="2340">
        <v>25</v>
      </c>
      <c r="B46" s="2267" t="s">
        <v>209</v>
      </c>
      <c r="C46" s="2267" t="s">
        <v>29</v>
      </c>
      <c r="D46" s="2267" t="s">
        <v>223</v>
      </c>
      <c r="E46" s="172" t="s">
        <v>224</v>
      </c>
      <c r="F46" s="2" t="s">
        <v>225</v>
      </c>
      <c r="G46" s="2"/>
      <c r="H46" s="25" t="s">
        <v>300</v>
      </c>
      <c r="I46" s="25">
        <v>36000</v>
      </c>
      <c r="J46" s="25" t="s">
        <v>34</v>
      </c>
      <c r="K46" s="25" t="s">
        <v>34</v>
      </c>
      <c r="L46" s="25" t="s">
        <v>34</v>
      </c>
      <c r="M46" s="25" t="s">
        <v>35</v>
      </c>
      <c r="N46" s="37" t="s">
        <v>237</v>
      </c>
      <c r="O46" s="2338">
        <v>43430</v>
      </c>
      <c r="P46" s="2321">
        <v>43434</v>
      </c>
      <c r="Q46" s="2318">
        <v>43438</v>
      </c>
      <c r="R46" s="2313">
        <v>0</v>
      </c>
      <c r="S46" s="2321">
        <v>43433</v>
      </c>
      <c r="T46" s="2338">
        <v>43430</v>
      </c>
      <c r="U46" s="46"/>
      <c r="V46" s="46"/>
      <c r="W46" s="46"/>
      <c r="X46" s="46">
        <v>414.11</v>
      </c>
      <c r="Y46" s="166">
        <v>18.889999999999986</v>
      </c>
      <c r="Z46" s="164">
        <v>433</v>
      </c>
      <c r="AA46" s="164">
        <v>216.9</v>
      </c>
      <c r="AB46" s="164">
        <v>24</v>
      </c>
      <c r="AC46" s="46">
        <f>227.28-AA46</f>
        <v>10.379999999999995</v>
      </c>
      <c r="AD46" s="46"/>
      <c r="AE46" s="160" t="str">
        <f t="shared" si="2"/>
        <v>L</v>
      </c>
      <c r="AF46" s="46"/>
      <c r="AG46" s="46"/>
      <c r="AH46" s="25" t="s">
        <v>346</v>
      </c>
      <c r="AI46" s="46"/>
      <c r="AJ46" s="46"/>
      <c r="AK46" s="46"/>
      <c r="AL46" s="46"/>
      <c r="AM46" s="46"/>
      <c r="AN46" s="46"/>
      <c r="AO46" s="46"/>
      <c r="AP46" s="46"/>
      <c r="AQ46" s="2395" t="s">
        <v>356</v>
      </c>
    </row>
    <row r="47" spans="1:43" ht="19.5" customHeight="1">
      <c r="A47" s="2340"/>
      <c r="B47" s="2267"/>
      <c r="C47" s="2267"/>
      <c r="D47" s="2267"/>
      <c r="E47" s="172" t="s">
        <v>226</v>
      </c>
      <c r="F47" s="2" t="s">
        <v>225</v>
      </c>
      <c r="G47" s="2"/>
      <c r="H47" s="25" t="s">
        <v>300</v>
      </c>
      <c r="I47" s="25">
        <v>36000</v>
      </c>
      <c r="J47" s="25" t="s">
        <v>34</v>
      </c>
      <c r="K47" s="25" t="s">
        <v>34</v>
      </c>
      <c r="L47" s="25" t="s">
        <v>34</v>
      </c>
      <c r="M47" s="25" t="s">
        <v>35</v>
      </c>
      <c r="N47" s="37" t="s">
        <v>237</v>
      </c>
      <c r="O47" s="2338"/>
      <c r="P47" s="2319"/>
      <c r="Q47" s="2319"/>
      <c r="R47" s="2314"/>
      <c r="S47" s="2319"/>
      <c r="T47" s="2338"/>
      <c r="U47" s="46"/>
      <c r="V47" s="46"/>
      <c r="W47" s="46"/>
      <c r="X47" s="46">
        <v>387.89</v>
      </c>
      <c r="Y47" s="166">
        <v>18.879999999999995</v>
      </c>
      <c r="Z47" s="164">
        <v>406.77</v>
      </c>
      <c r="AA47" s="164">
        <v>206.86</v>
      </c>
      <c r="AB47" s="164">
        <v>24</v>
      </c>
      <c r="AC47" s="46">
        <v>10.38</v>
      </c>
      <c r="AD47" s="46"/>
      <c r="AE47" s="160" t="str">
        <f t="shared" si="2"/>
        <v>L</v>
      </c>
      <c r="AF47" s="46"/>
      <c r="AG47" s="46"/>
      <c r="AH47" s="25" t="s">
        <v>346</v>
      </c>
      <c r="AI47" s="46"/>
      <c r="AJ47" s="46"/>
      <c r="AK47" s="46"/>
      <c r="AL47" s="46"/>
      <c r="AM47" s="46"/>
      <c r="AN47" s="46"/>
      <c r="AO47" s="46"/>
      <c r="AP47" s="46"/>
      <c r="AQ47" s="2396"/>
    </row>
    <row r="48" spans="1:43" ht="15" customHeight="1">
      <c r="A48" s="2267">
        <v>26</v>
      </c>
      <c r="B48" s="2267" t="s">
        <v>197</v>
      </c>
      <c r="C48" s="2267" t="s">
        <v>29</v>
      </c>
      <c r="D48" s="2267" t="s">
        <v>227</v>
      </c>
      <c r="E48" s="172" t="s">
        <v>228</v>
      </c>
      <c r="F48" s="2" t="s">
        <v>229</v>
      </c>
      <c r="G48" s="2"/>
      <c r="H48" s="2" t="s">
        <v>299</v>
      </c>
      <c r="I48" s="2">
        <v>30000</v>
      </c>
      <c r="J48" s="2" t="s">
        <v>34</v>
      </c>
      <c r="K48" s="2" t="s">
        <v>34</v>
      </c>
      <c r="L48" s="2" t="s">
        <v>34</v>
      </c>
      <c r="M48" s="2" t="s">
        <v>35</v>
      </c>
      <c r="N48" s="5" t="s">
        <v>36</v>
      </c>
      <c r="O48" s="2328">
        <v>43431</v>
      </c>
      <c r="P48" s="2320">
        <v>43446</v>
      </c>
      <c r="Q48" s="2316">
        <v>43458</v>
      </c>
      <c r="R48" s="2315">
        <v>0</v>
      </c>
      <c r="S48" s="2320">
        <v>43442</v>
      </c>
      <c r="T48" s="2328">
        <v>43431</v>
      </c>
      <c r="U48" s="16"/>
      <c r="V48" s="16"/>
      <c r="W48" s="16"/>
      <c r="X48" s="72">
        <v>180.31658761133318</v>
      </c>
      <c r="Y48" s="72">
        <v>26.864999999999998</v>
      </c>
      <c r="Z48" s="72">
        <v>207.18158761133319</v>
      </c>
      <c r="AA48" s="72">
        <v>21.709421992750002</v>
      </c>
      <c r="AB48" s="72">
        <v>23.25</v>
      </c>
      <c r="AC48" s="193">
        <v>8.5938749999999988</v>
      </c>
      <c r="AD48" s="16"/>
      <c r="AE48" s="160" t="str">
        <f t="shared" si="2"/>
        <v>A</v>
      </c>
      <c r="AF48" s="16"/>
      <c r="AG48" s="16"/>
      <c r="AH48" s="2"/>
      <c r="AI48" s="16"/>
      <c r="AJ48" s="16"/>
      <c r="AK48" s="16"/>
      <c r="AL48" s="16"/>
      <c r="AM48" s="16"/>
      <c r="AN48" s="16"/>
      <c r="AO48" s="16"/>
      <c r="AP48" s="16"/>
      <c r="AQ48" s="2397" t="s">
        <v>398</v>
      </c>
    </row>
    <row r="49" spans="1:43">
      <c r="A49" s="2267"/>
      <c r="B49" s="2267"/>
      <c r="C49" s="2267"/>
      <c r="D49" s="2267"/>
      <c r="E49" s="172" t="s">
        <v>233</v>
      </c>
      <c r="F49" s="2" t="s">
        <v>234</v>
      </c>
      <c r="G49" s="2"/>
      <c r="H49" s="2" t="s">
        <v>299</v>
      </c>
      <c r="I49" s="2">
        <v>30000</v>
      </c>
      <c r="J49" s="2" t="s">
        <v>34</v>
      </c>
      <c r="K49" s="2" t="s">
        <v>34</v>
      </c>
      <c r="L49" s="2" t="s">
        <v>34</v>
      </c>
      <c r="M49" s="2" t="s">
        <v>35</v>
      </c>
      <c r="N49" s="5" t="s">
        <v>36</v>
      </c>
      <c r="O49" s="2328"/>
      <c r="P49" s="2317"/>
      <c r="Q49" s="2271"/>
      <c r="R49" s="2271"/>
      <c r="S49" s="2317"/>
      <c r="T49" s="2328"/>
      <c r="U49" s="16"/>
      <c r="V49" s="16"/>
      <c r="W49" s="16"/>
      <c r="X49" s="72">
        <v>180.34948761133316</v>
      </c>
      <c r="Y49" s="72">
        <v>26.864999999999998</v>
      </c>
      <c r="Z49" s="72">
        <v>207.21448761133317</v>
      </c>
      <c r="AA49" s="72">
        <v>16.608288262750001</v>
      </c>
      <c r="AB49" s="72">
        <v>23.25</v>
      </c>
      <c r="AC49" s="193">
        <v>8.5938749999999988</v>
      </c>
      <c r="AD49" s="16"/>
      <c r="AE49" s="160" t="str">
        <f t="shared" si="2"/>
        <v>A</v>
      </c>
      <c r="AF49" s="16"/>
      <c r="AG49" s="16"/>
      <c r="AH49" s="2"/>
      <c r="AI49" s="16"/>
      <c r="AJ49" s="16"/>
      <c r="AK49" s="16"/>
      <c r="AL49" s="16"/>
      <c r="AM49" s="16"/>
      <c r="AN49" s="16"/>
      <c r="AO49" s="16"/>
      <c r="AP49" s="16"/>
      <c r="AQ49" s="2391"/>
    </row>
    <row r="50" spans="1:43" ht="15" customHeight="1">
      <c r="A50" s="2267">
        <v>27</v>
      </c>
      <c r="B50" s="2267" t="s">
        <v>197</v>
      </c>
      <c r="C50" s="2267" t="s">
        <v>29</v>
      </c>
      <c r="D50" s="2267" t="s">
        <v>230</v>
      </c>
      <c r="E50" s="172" t="s">
        <v>231</v>
      </c>
      <c r="F50" s="2" t="s">
        <v>232</v>
      </c>
      <c r="G50" s="2"/>
      <c r="H50" s="2" t="s">
        <v>299</v>
      </c>
      <c r="I50" s="2">
        <v>30000</v>
      </c>
      <c r="J50" s="2" t="s">
        <v>34</v>
      </c>
      <c r="K50" s="2" t="s">
        <v>34</v>
      </c>
      <c r="L50" s="2" t="s">
        <v>34</v>
      </c>
      <c r="M50" s="2" t="s">
        <v>35</v>
      </c>
      <c r="N50" s="5" t="s">
        <v>36</v>
      </c>
      <c r="O50" s="2328">
        <v>43431</v>
      </c>
      <c r="P50" s="2320">
        <v>43446</v>
      </c>
      <c r="Q50" s="2385">
        <v>43461</v>
      </c>
      <c r="R50" s="2315">
        <v>0</v>
      </c>
      <c r="S50" s="2320">
        <v>43442</v>
      </c>
      <c r="T50" s="2328">
        <v>43431</v>
      </c>
      <c r="U50" s="16"/>
      <c r="V50" s="16"/>
      <c r="W50" s="16"/>
      <c r="X50" s="72">
        <v>235.46601787105303</v>
      </c>
      <c r="Y50" s="72">
        <v>26.864999999999998</v>
      </c>
      <c r="Z50" s="72">
        <v>262.33101787105301</v>
      </c>
      <c r="AA50" s="72">
        <v>86.594812370022439</v>
      </c>
      <c r="AB50" s="72">
        <v>23.25</v>
      </c>
      <c r="AC50" s="72">
        <v>6.8214000000000006</v>
      </c>
      <c r="AD50" s="16"/>
      <c r="AE50" s="160" t="str">
        <f t="shared" si="2"/>
        <v>A</v>
      </c>
      <c r="AF50" s="16"/>
      <c r="AG50" s="16"/>
      <c r="AH50" s="2"/>
      <c r="AI50" s="16"/>
      <c r="AJ50" s="16"/>
      <c r="AK50" s="16"/>
      <c r="AL50" s="16"/>
      <c r="AM50" s="16"/>
      <c r="AN50" s="16"/>
      <c r="AO50" s="16"/>
      <c r="AP50" s="16"/>
      <c r="AQ50" s="2397" t="s">
        <v>398</v>
      </c>
    </row>
    <row r="51" spans="1:43">
      <c r="A51" s="2267"/>
      <c r="B51" s="2267"/>
      <c r="C51" s="2267"/>
      <c r="D51" s="2267"/>
      <c r="E51" s="172" t="s">
        <v>235</v>
      </c>
      <c r="F51" s="2" t="s">
        <v>236</v>
      </c>
      <c r="G51" s="2"/>
      <c r="H51" s="2" t="s">
        <v>299</v>
      </c>
      <c r="I51" s="2">
        <v>30000</v>
      </c>
      <c r="J51" s="2" t="s">
        <v>34</v>
      </c>
      <c r="K51" s="2" t="s">
        <v>34</v>
      </c>
      <c r="L51" s="2" t="s">
        <v>34</v>
      </c>
      <c r="M51" s="2" t="s">
        <v>35</v>
      </c>
      <c r="N51" s="5" t="s">
        <v>36</v>
      </c>
      <c r="O51" s="2328"/>
      <c r="P51" s="2317"/>
      <c r="Q51" s="2271"/>
      <c r="R51" s="2271"/>
      <c r="S51" s="2317"/>
      <c r="T51" s="2328"/>
      <c r="U51" s="16"/>
      <c r="V51" s="16"/>
      <c r="W51" s="16"/>
      <c r="X51" s="72">
        <v>235.46601787105303</v>
      </c>
      <c r="Y51" s="72">
        <v>26.864999999999998</v>
      </c>
      <c r="Z51" s="72">
        <v>262.33101787105301</v>
      </c>
      <c r="AA51" s="72">
        <v>83.577617582444319</v>
      </c>
      <c r="AB51" s="72">
        <v>23.25</v>
      </c>
      <c r="AC51" s="72">
        <v>6.8214000000000006</v>
      </c>
      <c r="AD51" s="16"/>
      <c r="AE51" s="160" t="str">
        <f t="shared" si="2"/>
        <v>A</v>
      </c>
      <c r="AF51" s="16"/>
      <c r="AG51" s="16"/>
      <c r="AH51" s="2"/>
      <c r="AI51" s="16"/>
      <c r="AJ51" s="16"/>
      <c r="AK51" s="16"/>
      <c r="AL51" s="16"/>
      <c r="AM51" s="16"/>
      <c r="AN51" s="16"/>
      <c r="AO51" s="16"/>
      <c r="AP51" s="16"/>
      <c r="AQ51" s="2391"/>
    </row>
    <row r="52" spans="1:43" ht="25.5">
      <c r="A52" s="2">
        <v>28</v>
      </c>
      <c r="B52" s="2" t="s">
        <v>49</v>
      </c>
      <c r="C52" s="2" t="s">
        <v>29</v>
      </c>
      <c r="D52" s="2" t="s">
        <v>295</v>
      </c>
      <c r="E52" s="172" t="s">
        <v>296</v>
      </c>
      <c r="F52" s="2" t="s">
        <v>297</v>
      </c>
      <c r="G52" s="2"/>
      <c r="H52" s="2" t="s">
        <v>298</v>
      </c>
      <c r="I52" s="2">
        <v>10800</v>
      </c>
      <c r="J52" s="2" t="s">
        <v>34</v>
      </c>
      <c r="K52" s="2" t="s">
        <v>34</v>
      </c>
      <c r="L52" s="2" t="s">
        <v>34</v>
      </c>
      <c r="M52" s="2" t="s">
        <v>35</v>
      </c>
      <c r="N52" s="5" t="s">
        <v>36</v>
      </c>
      <c r="O52" s="173">
        <v>43434</v>
      </c>
      <c r="P52" s="173">
        <v>43117</v>
      </c>
      <c r="Q52" s="16"/>
      <c r="R52" s="16"/>
      <c r="S52" s="174">
        <v>43437</v>
      </c>
      <c r="T52" s="174">
        <v>43434</v>
      </c>
      <c r="U52" s="16"/>
      <c r="V52" s="16"/>
      <c r="W52" s="16"/>
      <c r="X52" s="69">
        <v>165.59082754626576</v>
      </c>
      <c r="Y52" s="69">
        <v>70.203240740740739</v>
      </c>
      <c r="Z52" s="69">
        <v>235.7940682870065</v>
      </c>
      <c r="AA52" s="69">
        <v>37.700992209300004</v>
      </c>
      <c r="AB52" s="16">
        <v>35.5</v>
      </c>
      <c r="AC52" s="16">
        <v>11.35</v>
      </c>
      <c r="AD52" s="46"/>
      <c r="AE52" s="160"/>
      <c r="AF52" s="46"/>
      <c r="AG52" s="46"/>
      <c r="AH52" s="25"/>
      <c r="AI52" s="46"/>
      <c r="AJ52" s="46"/>
      <c r="AK52" s="46"/>
      <c r="AL52" s="46"/>
      <c r="AM52" s="46"/>
      <c r="AN52" s="46"/>
      <c r="AO52" s="46"/>
      <c r="AP52" s="46"/>
      <c r="AQ52" s="170" t="s">
        <v>364</v>
      </c>
    </row>
    <row r="53" spans="1:43">
      <c r="A53" s="2">
        <v>29</v>
      </c>
      <c r="B53" s="2" t="s">
        <v>303</v>
      </c>
      <c r="C53" s="2" t="s">
        <v>29</v>
      </c>
      <c r="D53" s="187" t="s">
        <v>304</v>
      </c>
      <c r="E53" s="187" t="s">
        <v>305</v>
      </c>
      <c r="F53" s="187" t="s">
        <v>306</v>
      </c>
      <c r="G53" s="187"/>
      <c r="H53" s="2" t="s">
        <v>300</v>
      </c>
      <c r="I53" s="2">
        <v>205000</v>
      </c>
      <c r="J53" s="2" t="s">
        <v>34</v>
      </c>
      <c r="K53" s="2" t="s">
        <v>34</v>
      </c>
      <c r="L53" s="2" t="s">
        <v>34</v>
      </c>
      <c r="M53" s="2" t="s">
        <v>35</v>
      </c>
      <c r="N53" s="5" t="s">
        <v>36</v>
      </c>
      <c r="O53" s="5" t="s">
        <v>307</v>
      </c>
      <c r="P53" s="173">
        <v>43479</v>
      </c>
      <c r="Q53" s="175">
        <v>43472</v>
      </c>
      <c r="R53" s="2">
        <v>0</v>
      </c>
      <c r="S53" s="173">
        <v>43460</v>
      </c>
      <c r="T53" s="173">
        <v>43458</v>
      </c>
      <c r="U53" s="2"/>
      <c r="V53" s="2"/>
      <c r="W53" s="2"/>
      <c r="X53" s="176">
        <v>109.64591773654652</v>
      </c>
      <c r="Y53" s="176">
        <v>4.3586585365853656</v>
      </c>
      <c r="Z53" s="176">
        <v>114.00457627313189</v>
      </c>
      <c r="AA53" s="176">
        <v>138.46758847387815</v>
      </c>
      <c r="AB53" s="176">
        <v>20.3</v>
      </c>
      <c r="AC53" s="177">
        <v>11.204049999999999</v>
      </c>
      <c r="AE53" s="160" t="str">
        <f t="shared" si="2"/>
        <v>A</v>
      </c>
      <c r="AF53" s="25"/>
      <c r="AG53" s="25"/>
      <c r="AH53" s="25"/>
      <c r="AI53" s="25"/>
      <c r="AJ53" s="25"/>
      <c r="AK53" s="25"/>
      <c r="AL53" s="25"/>
      <c r="AM53" s="25"/>
      <c r="AN53" s="25"/>
      <c r="AO53" s="25"/>
      <c r="AP53" s="25"/>
      <c r="AQ53" s="170" t="s">
        <v>357</v>
      </c>
    </row>
    <row r="54" spans="1:43">
      <c r="A54" s="2">
        <v>30</v>
      </c>
      <c r="B54" s="2" t="s">
        <v>303</v>
      </c>
      <c r="C54" s="2" t="s">
        <v>29</v>
      </c>
      <c r="D54" s="187" t="s">
        <v>308</v>
      </c>
      <c r="E54" s="187" t="s">
        <v>309</v>
      </c>
      <c r="F54" s="187" t="s">
        <v>310</v>
      </c>
      <c r="G54" s="187"/>
      <c r="H54" s="2" t="s">
        <v>300</v>
      </c>
      <c r="I54" s="2">
        <v>205000</v>
      </c>
      <c r="J54" s="2" t="s">
        <v>34</v>
      </c>
      <c r="K54" s="2" t="s">
        <v>34</v>
      </c>
      <c r="L54" s="2" t="s">
        <v>34</v>
      </c>
      <c r="M54" s="2" t="s">
        <v>35</v>
      </c>
      <c r="N54" s="5" t="s">
        <v>36</v>
      </c>
      <c r="O54" s="5" t="s">
        <v>311</v>
      </c>
      <c r="P54" s="173">
        <v>43479</v>
      </c>
      <c r="Q54" s="175">
        <v>43472</v>
      </c>
      <c r="R54" s="2">
        <v>0</v>
      </c>
      <c r="S54" s="173">
        <v>43460</v>
      </c>
      <c r="T54" s="173">
        <v>43458</v>
      </c>
      <c r="U54" s="2"/>
      <c r="V54" s="2"/>
      <c r="W54" s="2"/>
      <c r="X54" s="178">
        <v>367.24</v>
      </c>
      <c r="Y54" s="178">
        <v>16.8</v>
      </c>
      <c r="Z54" s="178">
        <v>384.04</v>
      </c>
      <c r="AA54" s="178">
        <v>43.44</v>
      </c>
      <c r="AB54" s="178">
        <v>48.3</v>
      </c>
      <c r="AC54" s="178">
        <v>12.51</v>
      </c>
      <c r="AD54" s="25"/>
      <c r="AE54" s="160" t="str">
        <f t="shared" si="2"/>
        <v>A</v>
      </c>
      <c r="AF54" s="25"/>
      <c r="AG54" s="25"/>
      <c r="AH54" s="25"/>
      <c r="AI54" s="25"/>
      <c r="AJ54" s="25"/>
      <c r="AK54" s="25"/>
      <c r="AL54" s="25"/>
      <c r="AM54" s="25"/>
      <c r="AN54" s="25"/>
      <c r="AO54" s="25"/>
      <c r="AP54" s="25"/>
      <c r="AQ54" s="170" t="s">
        <v>363</v>
      </c>
    </row>
    <row r="55" spans="1:43">
      <c r="A55" s="2267">
        <v>31</v>
      </c>
      <c r="B55" s="2267" t="s">
        <v>303</v>
      </c>
      <c r="C55" s="2267" t="s">
        <v>29</v>
      </c>
      <c r="D55" s="2333" t="s">
        <v>312</v>
      </c>
      <c r="E55" s="187" t="s">
        <v>313</v>
      </c>
      <c r="F55" s="187" t="s">
        <v>225</v>
      </c>
      <c r="G55" s="491"/>
      <c r="H55" s="2334" t="s">
        <v>300</v>
      </c>
      <c r="I55" s="2">
        <v>205000</v>
      </c>
      <c r="J55" s="2" t="s">
        <v>34</v>
      </c>
      <c r="K55" s="2" t="s">
        <v>34</v>
      </c>
      <c r="L55" s="2" t="s">
        <v>34</v>
      </c>
      <c r="M55" s="2" t="s">
        <v>35</v>
      </c>
      <c r="N55" s="5" t="s">
        <v>36</v>
      </c>
      <c r="O55" s="2332" t="s">
        <v>315</v>
      </c>
      <c r="P55" s="2328">
        <v>43477</v>
      </c>
      <c r="Q55" s="2328">
        <v>43477</v>
      </c>
      <c r="R55" s="2329">
        <v>0</v>
      </c>
      <c r="S55" s="2316">
        <v>43460</v>
      </c>
      <c r="T55" s="2316">
        <v>43459</v>
      </c>
      <c r="U55" s="2"/>
      <c r="V55" s="2"/>
      <c r="W55" s="2"/>
      <c r="X55" s="178">
        <v>221.04</v>
      </c>
      <c r="Y55" s="178">
        <v>6.43</v>
      </c>
      <c r="Z55" s="178">
        <v>227.47</v>
      </c>
      <c r="AA55" s="178">
        <v>135.85</v>
      </c>
      <c r="AB55" s="178">
        <v>23.3</v>
      </c>
      <c r="AC55" s="178">
        <v>6.89</v>
      </c>
      <c r="AD55" s="25"/>
      <c r="AE55" s="160" t="str">
        <f t="shared" si="2"/>
        <v>A</v>
      </c>
      <c r="AF55" s="25"/>
      <c r="AG55" s="25"/>
      <c r="AH55" s="25"/>
      <c r="AI55" s="25"/>
      <c r="AJ55" s="25"/>
      <c r="AK55" s="25"/>
      <c r="AL55" s="25"/>
      <c r="AM55" s="25"/>
      <c r="AN55" s="25"/>
      <c r="AO55" s="25"/>
      <c r="AP55" s="25"/>
      <c r="AQ55" s="2392" t="s">
        <v>363</v>
      </c>
    </row>
    <row r="56" spans="1:43">
      <c r="A56" s="2267"/>
      <c r="B56" s="2267"/>
      <c r="C56" s="2267"/>
      <c r="D56" s="2333"/>
      <c r="E56" s="187" t="s">
        <v>314</v>
      </c>
      <c r="F56" s="187" t="s">
        <v>225</v>
      </c>
      <c r="G56" s="490"/>
      <c r="H56" s="2271"/>
      <c r="I56" s="2">
        <v>205000</v>
      </c>
      <c r="J56" s="2" t="s">
        <v>34</v>
      </c>
      <c r="K56" s="2" t="s">
        <v>34</v>
      </c>
      <c r="L56" s="2" t="s">
        <v>34</v>
      </c>
      <c r="M56" s="2" t="s">
        <v>35</v>
      </c>
      <c r="N56" s="2" t="s">
        <v>36</v>
      </c>
      <c r="O56" s="2327"/>
      <c r="P56" s="2328"/>
      <c r="Q56" s="2328"/>
      <c r="R56" s="2271"/>
      <c r="S56" s="2317"/>
      <c r="T56" s="2317"/>
      <c r="U56" s="2"/>
      <c r="V56" s="2"/>
      <c r="W56" s="2"/>
      <c r="X56" s="178">
        <v>231.2</v>
      </c>
      <c r="Y56" s="178">
        <v>6.43</v>
      </c>
      <c r="Z56" s="178">
        <v>237.63</v>
      </c>
      <c r="AA56" s="178">
        <v>141.97</v>
      </c>
      <c r="AB56" s="178">
        <v>23.3</v>
      </c>
      <c r="AC56" s="178">
        <v>6.89</v>
      </c>
      <c r="AD56" s="25"/>
      <c r="AE56" s="160" t="str">
        <f t="shared" si="2"/>
        <v>A</v>
      </c>
      <c r="AF56" s="25"/>
      <c r="AG56" s="25"/>
      <c r="AH56" s="25"/>
      <c r="AI56" s="25"/>
      <c r="AJ56" s="25"/>
      <c r="AK56" s="25"/>
      <c r="AL56" s="25"/>
      <c r="AM56" s="25"/>
      <c r="AN56" s="25"/>
      <c r="AO56" s="25"/>
      <c r="AP56" s="25"/>
      <c r="AQ56" s="2393"/>
    </row>
    <row r="57" spans="1:43">
      <c r="A57" s="179">
        <v>32</v>
      </c>
      <c r="B57" s="179" t="s">
        <v>303</v>
      </c>
      <c r="C57" s="179" t="s">
        <v>29</v>
      </c>
      <c r="D57" s="188" t="s">
        <v>316</v>
      </c>
      <c r="E57" s="188" t="s">
        <v>317</v>
      </c>
      <c r="F57" s="188" t="s">
        <v>42</v>
      </c>
      <c r="G57" s="491" t="s">
        <v>1271</v>
      </c>
      <c r="H57" s="179" t="s">
        <v>300</v>
      </c>
      <c r="I57" s="179">
        <v>205000</v>
      </c>
      <c r="J57" s="179" t="s">
        <v>34</v>
      </c>
      <c r="K57" s="179" t="s">
        <v>34</v>
      </c>
      <c r="L57" s="179" t="s">
        <v>34</v>
      </c>
      <c r="M57" s="179" t="s">
        <v>35</v>
      </c>
      <c r="N57" s="180" t="s">
        <v>36</v>
      </c>
      <c r="O57" s="180" t="s">
        <v>315</v>
      </c>
      <c r="P57" s="173">
        <v>43479</v>
      </c>
      <c r="Q57" s="175">
        <v>43472</v>
      </c>
      <c r="R57" s="179">
        <v>0</v>
      </c>
      <c r="S57" s="175">
        <v>43460</v>
      </c>
      <c r="T57" s="175">
        <v>43459</v>
      </c>
      <c r="U57" s="179"/>
      <c r="V57" s="179"/>
      <c r="W57" s="179"/>
      <c r="X57" s="181">
        <v>118.23777542916267</v>
      </c>
      <c r="Y57" s="181">
        <v>4.3586585365853656</v>
      </c>
      <c r="Z57" s="181">
        <v>122.59643396574803</v>
      </c>
      <c r="AA57" s="182">
        <v>97.059294921325005</v>
      </c>
      <c r="AB57" s="182">
        <v>20.5</v>
      </c>
      <c r="AC57" s="177">
        <v>10.842399999999998</v>
      </c>
      <c r="AE57" s="160" t="str">
        <f t="shared" si="2"/>
        <v>A</v>
      </c>
      <c r="AF57" s="152"/>
      <c r="AG57" s="155"/>
      <c r="AH57" s="25"/>
      <c r="AI57" s="152"/>
      <c r="AJ57" s="152"/>
      <c r="AK57" s="157"/>
      <c r="AL57" s="152"/>
      <c r="AM57" s="152"/>
      <c r="AN57" s="152"/>
      <c r="AO57" s="152"/>
      <c r="AP57" s="152"/>
      <c r="AQ57" s="170" t="s">
        <v>357</v>
      </c>
    </row>
    <row r="58" spans="1:43" ht="15" customHeight="1">
      <c r="A58" s="2330">
        <v>33</v>
      </c>
      <c r="B58" s="2330" t="s">
        <v>303</v>
      </c>
      <c r="C58" s="2330" t="s">
        <v>29</v>
      </c>
      <c r="D58" s="2331" t="s">
        <v>318</v>
      </c>
      <c r="E58" s="187" t="s">
        <v>319</v>
      </c>
      <c r="F58" s="187" t="s">
        <v>321</v>
      </c>
      <c r="G58" s="491"/>
      <c r="H58" s="2330" t="s">
        <v>300</v>
      </c>
      <c r="I58" s="2">
        <v>205000</v>
      </c>
      <c r="J58" s="2" t="s">
        <v>34</v>
      </c>
      <c r="K58" s="2" t="s">
        <v>34</v>
      </c>
      <c r="L58" s="2" t="s">
        <v>34</v>
      </c>
      <c r="M58" s="2" t="s">
        <v>35</v>
      </c>
      <c r="N58" s="5" t="s">
        <v>36</v>
      </c>
      <c r="O58" s="2332" t="s">
        <v>322</v>
      </c>
      <c r="P58" s="2328">
        <v>43479</v>
      </c>
      <c r="Q58" s="2328">
        <v>43479</v>
      </c>
      <c r="R58" s="2329">
        <v>0</v>
      </c>
      <c r="S58" s="2322">
        <v>43462</v>
      </c>
      <c r="T58" s="2322">
        <v>43460</v>
      </c>
      <c r="U58" s="16"/>
      <c r="V58" s="16"/>
      <c r="W58" s="16"/>
      <c r="X58" s="183">
        <v>415.86</v>
      </c>
      <c r="Y58" s="183">
        <v>11.51</v>
      </c>
      <c r="Z58" s="16">
        <v>427.37</v>
      </c>
      <c r="AA58" s="16">
        <v>0</v>
      </c>
      <c r="AB58" s="183">
        <v>32.9</v>
      </c>
      <c r="AC58" s="183">
        <v>4.01</v>
      </c>
      <c r="AD58" s="16"/>
      <c r="AE58" s="160" t="str">
        <f t="shared" si="2"/>
        <v>A</v>
      </c>
      <c r="AF58" s="16"/>
      <c r="AG58" s="16"/>
      <c r="AH58" s="25"/>
      <c r="AI58" s="16"/>
      <c r="AJ58" s="16"/>
      <c r="AK58" s="16"/>
      <c r="AL58" s="16"/>
      <c r="AM58" s="16"/>
      <c r="AN58" s="16"/>
      <c r="AO58" s="16"/>
      <c r="AP58" s="16"/>
      <c r="AQ58" s="2392" t="s">
        <v>361</v>
      </c>
    </row>
    <row r="59" spans="1:43">
      <c r="A59" s="2271"/>
      <c r="B59" s="2271"/>
      <c r="C59" s="2271"/>
      <c r="D59" s="2325"/>
      <c r="E59" s="187" t="s">
        <v>320</v>
      </c>
      <c r="F59" s="187" t="s">
        <v>321</v>
      </c>
      <c r="G59" s="490"/>
      <c r="H59" s="2271"/>
      <c r="I59" s="2">
        <v>205000</v>
      </c>
      <c r="J59" s="2" t="s">
        <v>34</v>
      </c>
      <c r="K59" s="2" t="s">
        <v>34</v>
      </c>
      <c r="L59" s="2" t="s">
        <v>34</v>
      </c>
      <c r="M59" s="2" t="s">
        <v>35</v>
      </c>
      <c r="N59" s="2" t="s">
        <v>36</v>
      </c>
      <c r="O59" s="2327"/>
      <c r="P59" s="2328"/>
      <c r="Q59" s="2328"/>
      <c r="R59" s="2271"/>
      <c r="S59" s="2317"/>
      <c r="T59" s="2317"/>
      <c r="U59" s="16"/>
      <c r="V59" s="16"/>
      <c r="W59" s="16"/>
      <c r="X59" s="183">
        <v>415.86</v>
      </c>
      <c r="Y59" s="183">
        <v>11.51</v>
      </c>
      <c r="Z59" s="16">
        <v>427.37</v>
      </c>
      <c r="AA59" s="16">
        <v>0</v>
      </c>
      <c r="AB59" s="183">
        <v>32.9</v>
      </c>
      <c r="AC59" s="183">
        <v>4.01</v>
      </c>
      <c r="AD59" s="16"/>
      <c r="AE59" s="160" t="str">
        <f t="shared" si="2"/>
        <v>A</v>
      </c>
      <c r="AF59" s="16"/>
      <c r="AG59" s="16"/>
      <c r="AH59" s="25"/>
      <c r="AI59" s="16"/>
      <c r="AJ59" s="16"/>
      <c r="AK59" s="16"/>
      <c r="AL59" s="16"/>
      <c r="AM59" s="16"/>
      <c r="AN59" s="16"/>
      <c r="AO59" s="16"/>
      <c r="AP59" s="16"/>
      <c r="AQ59" s="2393"/>
    </row>
    <row r="60" spans="1:43" ht="15" customHeight="1">
      <c r="A60" s="2323">
        <v>34</v>
      </c>
      <c r="B60" s="2323" t="s">
        <v>303</v>
      </c>
      <c r="C60" s="2323" t="s">
        <v>29</v>
      </c>
      <c r="D60" s="2324" t="s">
        <v>323</v>
      </c>
      <c r="E60" s="187" t="s">
        <v>324</v>
      </c>
      <c r="F60" s="187" t="s">
        <v>326</v>
      </c>
      <c r="G60" s="491"/>
      <c r="H60" s="2323" t="s">
        <v>300</v>
      </c>
      <c r="I60" s="2">
        <v>205000</v>
      </c>
      <c r="J60" s="2" t="s">
        <v>34</v>
      </c>
      <c r="K60" s="2" t="s">
        <v>34</v>
      </c>
      <c r="L60" s="2" t="s">
        <v>34</v>
      </c>
      <c r="M60" s="2" t="s">
        <v>35</v>
      </c>
      <c r="N60" s="5" t="s">
        <v>36</v>
      </c>
      <c r="O60" s="2326" t="s">
        <v>327</v>
      </c>
      <c r="P60" s="2322">
        <v>43479</v>
      </c>
      <c r="Q60" s="2328">
        <v>43479</v>
      </c>
      <c r="R60" s="2329">
        <v>0</v>
      </c>
      <c r="S60" s="2322">
        <v>43468</v>
      </c>
      <c r="T60" s="2322">
        <v>43461</v>
      </c>
      <c r="U60" s="16"/>
      <c r="V60" s="16"/>
      <c r="W60" s="16"/>
      <c r="X60" s="183">
        <v>240.61</v>
      </c>
      <c r="Y60" s="183">
        <v>0.21</v>
      </c>
      <c r="Z60" s="183">
        <v>240.82</v>
      </c>
      <c r="AA60" s="183">
        <v>0</v>
      </c>
      <c r="AB60" s="183">
        <v>3.5</v>
      </c>
      <c r="AC60" s="183">
        <v>1.85</v>
      </c>
      <c r="AD60" s="16"/>
      <c r="AE60" s="160" t="str">
        <f t="shared" si="2"/>
        <v>A</v>
      </c>
      <c r="AF60" s="16"/>
      <c r="AG60" s="16"/>
      <c r="AH60" s="25"/>
      <c r="AI60" s="16"/>
      <c r="AJ60" s="16"/>
      <c r="AK60" s="16"/>
      <c r="AL60" s="16"/>
      <c r="AM60" s="16"/>
      <c r="AN60" s="16"/>
      <c r="AO60" s="16"/>
      <c r="AP60" s="16"/>
      <c r="AQ60" s="2392" t="s">
        <v>361</v>
      </c>
    </row>
    <row r="61" spans="1:43">
      <c r="A61" s="2271"/>
      <c r="B61" s="2271"/>
      <c r="C61" s="2271"/>
      <c r="D61" s="2325"/>
      <c r="E61" s="187" t="s">
        <v>325</v>
      </c>
      <c r="F61" s="187" t="s">
        <v>326</v>
      </c>
      <c r="G61" s="490"/>
      <c r="H61" s="2271"/>
      <c r="I61" s="2">
        <v>205000</v>
      </c>
      <c r="J61" s="2" t="s">
        <v>34</v>
      </c>
      <c r="K61" s="2" t="s">
        <v>34</v>
      </c>
      <c r="L61" s="2" t="s">
        <v>34</v>
      </c>
      <c r="M61" s="2" t="s">
        <v>35</v>
      </c>
      <c r="N61" s="2" t="s">
        <v>36</v>
      </c>
      <c r="O61" s="2327"/>
      <c r="P61" s="2317"/>
      <c r="Q61" s="2328"/>
      <c r="R61" s="2271"/>
      <c r="S61" s="2317"/>
      <c r="T61" s="2317"/>
      <c r="U61" s="16"/>
      <c r="V61" s="16"/>
      <c r="W61" s="16"/>
      <c r="X61" s="183">
        <v>240.61</v>
      </c>
      <c r="Y61" s="183">
        <v>0.21</v>
      </c>
      <c r="Z61" s="183">
        <v>240.82</v>
      </c>
      <c r="AA61" s="183">
        <v>0</v>
      </c>
      <c r="AB61" s="183">
        <v>3.5</v>
      </c>
      <c r="AC61" s="183">
        <v>1.85</v>
      </c>
      <c r="AD61" s="16"/>
      <c r="AE61" s="160" t="str">
        <f t="shared" si="2"/>
        <v>A</v>
      </c>
      <c r="AF61" s="16"/>
      <c r="AG61" s="16"/>
      <c r="AH61" s="25"/>
      <c r="AI61" s="16"/>
      <c r="AJ61" s="16"/>
      <c r="AK61" s="16"/>
      <c r="AL61" s="16"/>
      <c r="AM61" s="16"/>
      <c r="AN61" s="16"/>
      <c r="AO61" s="16"/>
      <c r="AP61" s="16"/>
      <c r="AQ61" s="2393"/>
    </row>
    <row r="62" spans="1:43">
      <c r="A62" s="2">
        <v>35</v>
      </c>
      <c r="B62" s="2" t="s">
        <v>197</v>
      </c>
      <c r="C62" s="2" t="s">
        <v>29</v>
      </c>
      <c r="D62" s="2" t="s">
        <v>328</v>
      </c>
      <c r="E62" s="172" t="s">
        <v>329</v>
      </c>
      <c r="F62" s="2" t="s">
        <v>330</v>
      </c>
      <c r="G62" s="2"/>
      <c r="H62" s="2" t="s">
        <v>341</v>
      </c>
      <c r="I62" s="2">
        <v>30000</v>
      </c>
      <c r="J62" s="2" t="s">
        <v>34</v>
      </c>
      <c r="K62" s="2" t="s">
        <v>34</v>
      </c>
      <c r="L62" s="2" t="s">
        <v>48</v>
      </c>
      <c r="M62" s="2" t="s">
        <v>331</v>
      </c>
      <c r="N62" s="2" t="s">
        <v>36</v>
      </c>
      <c r="O62" s="2" t="s">
        <v>327</v>
      </c>
      <c r="P62" s="173">
        <v>43474</v>
      </c>
      <c r="Q62" s="173">
        <v>43476</v>
      </c>
      <c r="R62" s="2">
        <v>0</v>
      </c>
      <c r="S62" s="173">
        <v>43466</v>
      </c>
      <c r="T62" s="173">
        <v>43461</v>
      </c>
      <c r="U62" s="16"/>
      <c r="V62" s="16"/>
      <c r="W62" s="16"/>
      <c r="X62" s="183">
        <v>1652.75</v>
      </c>
      <c r="Y62" s="183">
        <v>43.35</v>
      </c>
      <c r="Z62" s="183">
        <v>1676.57</v>
      </c>
      <c r="AA62" s="183">
        <v>271.45999999999998</v>
      </c>
      <c r="AB62" s="183">
        <v>315.98</v>
      </c>
      <c r="AC62" s="183">
        <v>50.48</v>
      </c>
      <c r="AD62" s="16"/>
      <c r="AE62" s="160" t="str">
        <f t="shared" si="2"/>
        <v>A</v>
      </c>
      <c r="AF62" s="16"/>
      <c r="AG62" s="16"/>
      <c r="AH62" s="25"/>
      <c r="AI62" s="16"/>
      <c r="AJ62" s="16"/>
      <c r="AK62" s="16"/>
      <c r="AL62" s="16"/>
      <c r="AM62" s="16"/>
      <c r="AN62" s="16"/>
      <c r="AO62" s="16"/>
      <c r="AP62" s="16"/>
      <c r="AQ62" s="171" t="s">
        <v>362</v>
      </c>
    </row>
    <row r="63" spans="1:43">
      <c r="A63" s="2267">
        <v>36</v>
      </c>
      <c r="B63" s="2267" t="s">
        <v>303</v>
      </c>
      <c r="C63" s="2267" t="s">
        <v>29</v>
      </c>
      <c r="D63" s="2267" t="s">
        <v>332</v>
      </c>
      <c r="E63" s="172" t="s">
        <v>333</v>
      </c>
      <c r="F63" s="2" t="s">
        <v>358</v>
      </c>
      <c r="G63" s="2"/>
      <c r="H63" s="2267" t="s">
        <v>300</v>
      </c>
      <c r="I63" s="2">
        <v>175000</v>
      </c>
      <c r="J63" s="2" t="s">
        <v>34</v>
      </c>
      <c r="K63" s="2" t="s">
        <v>34</v>
      </c>
      <c r="L63" s="2" t="s">
        <v>34</v>
      </c>
      <c r="M63" s="2" t="s">
        <v>35</v>
      </c>
      <c r="N63" s="2" t="s">
        <v>36</v>
      </c>
      <c r="O63" s="2267" t="s">
        <v>337</v>
      </c>
      <c r="P63" s="2383">
        <v>43484</v>
      </c>
      <c r="Q63" s="2384">
        <v>43482</v>
      </c>
      <c r="R63" s="2329">
        <v>0</v>
      </c>
      <c r="S63" s="2399">
        <v>43466</v>
      </c>
      <c r="T63" s="2399">
        <v>43462</v>
      </c>
      <c r="U63" s="2"/>
      <c r="V63" s="2"/>
      <c r="W63" s="2"/>
      <c r="X63" s="184">
        <v>106.33663048407983</v>
      </c>
      <c r="Y63" s="184">
        <v>2.2851219512195122</v>
      </c>
      <c r="Z63" s="184">
        <v>108.62175243529934</v>
      </c>
      <c r="AA63" s="178"/>
      <c r="AB63" s="178">
        <v>13.4</v>
      </c>
      <c r="AC63" s="178">
        <v>3.47</v>
      </c>
      <c r="AD63" s="2"/>
      <c r="AE63" s="160" t="str">
        <f t="shared" si="2"/>
        <v>A</v>
      </c>
      <c r="AF63" s="2"/>
      <c r="AG63" s="2"/>
      <c r="AH63" s="25"/>
      <c r="AI63" s="2"/>
      <c r="AJ63" s="2"/>
      <c r="AK63" s="2"/>
      <c r="AL63" s="2"/>
      <c r="AM63" s="2"/>
      <c r="AN63" s="2"/>
      <c r="AO63" s="2"/>
      <c r="AP63" s="2"/>
      <c r="AQ63" s="2392" t="s">
        <v>360</v>
      </c>
    </row>
    <row r="64" spans="1:43">
      <c r="A64" s="2267"/>
      <c r="B64" s="2267"/>
      <c r="C64" s="2267"/>
      <c r="D64" s="2267"/>
      <c r="E64" s="172" t="s">
        <v>335</v>
      </c>
      <c r="F64" s="2" t="s">
        <v>358</v>
      </c>
      <c r="G64" s="2"/>
      <c r="H64" s="2267"/>
      <c r="I64" s="2">
        <v>30000</v>
      </c>
      <c r="J64" s="2" t="s">
        <v>34</v>
      </c>
      <c r="K64" s="2" t="s">
        <v>34</v>
      </c>
      <c r="L64" s="2" t="s">
        <v>34</v>
      </c>
      <c r="M64" s="2" t="s">
        <v>35</v>
      </c>
      <c r="N64" s="2" t="s">
        <v>36</v>
      </c>
      <c r="O64" s="2267"/>
      <c r="P64" s="2398"/>
      <c r="Q64" s="2276"/>
      <c r="R64" s="2276"/>
      <c r="S64" s="2400"/>
      <c r="T64" s="2400"/>
      <c r="U64" s="2"/>
      <c r="V64" s="2"/>
      <c r="W64" s="2"/>
      <c r="X64" s="184">
        <v>106.22565315317073</v>
      </c>
      <c r="Y64" s="184">
        <v>2.2851219512195122</v>
      </c>
      <c r="Z64" s="184">
        <v>108.51077510439023</v>
      </c>
      <c r="AA64" s="178"/>
      <c r="AB64" s="178">
        <v>0</v>
      </c>
      <c r="AC64" s="178">
        <v>0</v>
      </c>
      <c r="AD64" s="2"/>
      <c r="AE64" s="160" t="str">
        <f t="shared" si="2"/>
        <v>A</v>
      </c>
      <c r="AF64" s="2"/>
      <c r="AG64" s="2"/>
      <c r="AH64" s="25"/>
      <c r="AI64" s="2"/>
      <c r="AJ64" s="2"/>
      <c r="AK64" s="2"/>
      <c r="AL64" s="2"/>
      <c r="AM64" s="2"/>
      <c r="AN64" s="2"/>
      <c r="AO64" s="2"/>
      <c r="AP64" s="2"/>
      <c r="AQ64" s="2394"/>
    </row>
    <row r="65" spans="1:43">
      <c r="A65" s="2267"/>
      <c r="B65" s="2267"/>
      <c r="C65" s="2267"/>
      <c r="D65" s="2267"/>
      <c r="E65" s="172" t="s">
        <v>336</v>
      </c>
      <c r="F65" s="2" t="s">
        <v>359</v>
      </c>
      <c r="G65" s="2"/>
      <c r="H65" s="2267"/>
      <c r="I65" s="2">
        <v>175000</v>
      </c>
      <c r="J65" s="2" t="s">
        <v>34</v>
      </c>
      <c r="K65" s="2" t="s">
        <v>34</v>
      </c>
      <c r="L65" s="2" t="s">
        <v>34</v>
      </c>
      <c r="M65" s="2" t="s">
        <v>35</v>
      </c>
      <c r="N65" s="2" t="s">
        <v>36</v>
      </c>
      <c r="O65" s="2267"/>
      <c r="P65" s="2398"/>
      <c r="Q65" s="2276"/>
      <c r="R65" s="2276"/>
      <c r="S65" s="2400"/>
      <c r="T65" s="2400"/>
      <c r="U65" s="2"/>
      <c r="V65" s="2"/>
      <c r="W65" s="2"/>
      <c r="X65" s="184">
        <v>106.08045060407984</v>
      </c>
      <c r="Y65" s="184">
        <v>2.2851219512195122</v>
      </c>
      <c r="Z65" s="184">
        <v>108.36557255529935</v>
      </c>
      <c r="AA65" s="178"/>
      <c r="AB65" s="178">
        <v>13.4</v>
      </c>
      <c r="AC65" s="178">
        <v>3.47</v>
      </c>
      <c r="AD65" s="2"/>
      <c r="AE65" s="160" t="str">
        <f t="shared" si="2"/>
        <v>A</v>
      </c>
      <c r="AF65" s="2"/>
      <c r="AG65" s="2"/>
      <c r="AH65" s="25"/>
      <c r="AI65" s="2"/>
      <c r="AJ65" s="2"/>
      <c r="AK65" s="2"/>
      <c r="AL65" s="2"/>
      <c r="AM65" s="2"/>
      <c r="AN65" s="2"/>
      <c r="AO65" s="2"/>
      <c r="AP65" s="2"/>
      <c r="AQ65" s="2394"/>
    </row>
    <row r="66" spans="1:43">
      <c r="A66" s="2267"/>
      <c r="B66" s="2267"/>
      <c r="C66" s="2267"/>
      <c r="D66" s="2267"/>
      <c r="E66" s="172" t="s">
        <v>334</v>
      </c>
      <c r="F66" s="2" t="s">
        <v>359</v>
      </c>
      <c r="G66" s="2"/>
      <c r="H66" s="2267"/>
      <c r="I66" s="2">
        <v>30000</v>
      </c>
      <c r="J66" s="2" t="s">
        <v>34</v>
      </c>
      <c r="K66" s="2" t="s">
        <v>34</v>
      </c>
      <c r="L66" s="2" t="s">
        <v>34</v>
      </c>
      <c r="M66" s="2" t="s">
        <v>35</v>
      </c>
      <c r="N66" s="2" t="s">
        <v>36</v>
      </c>
      <c r="O66" s="2267"/>
      <c r="P66" s="2317"/>
      <c r="Q66" s="2271"/>
      <c r="R66" s="2271"/>
      <c r="S66" s="2401"/>
      <c r="T66" s="2401"/>
      <c r="U66" s="2"/>
      <c r="V66" s="2"/>
      <c r="W66" s="2"/>
      <c r="X66" s="184">
        <v>105.96947327317073</v>
      </c>
      <c r="Y66" s="184">
        <v>2.2851219512195122</v>
      </c>
      <c r="Z66" s="184">
        <v>108.25459522439024</v>
      </c>
      <c r="AA66" s="178"/>
      <c r="AB66" s="178">
        <v>0</v>
      </c>
      <c r="AC66" s="178">
        <v>0</v>
      </c>
      <c r="AD66" s="2"/>
      <c r="AE66" s="160" t="str">
        <f t="shared" si="2"/>
        <v>A</v>
      </c>
      <c r="AF66" s="2"/>
      <c r="AG66" s="2"/>
      <c r="AH66" s="25"/>
      <c r="AI66" s="2"/>
      <c r="AJ66" s="2"/>
      <c r="AK66" s="2"/>
      <c r="AL66" s="2"/>
      <c r="AM66" s="2"/>
      <c r="AN66" s="2"/>
      <c r="AO66" s="2"/>
      <c r="AP66" s="2"/>
      <c r="AQ66" s="2393"/>
    </row>
    <row r="67" spans="1:43">
      <c r="A67" s="2382">
        <v>37</v>
      </c>
      <c r="B67" s="2382" t="s">
        <v>303</v>
      </c>
      <c r="C67" s="2382" t="s">
        <v>29</v>
      </c>
      <c r="D67" s="2382" t="s">
        <v>338</v>
      </c>
      <c r="E67" s="172" t="s">
        <v>339</v>
      </c>
      <c r="F67" s="2" t="s">
        <v>225</v>
      </c>
      <c r="G67" s="492"/>
      <c r="H67" s="2382" t="s">
        <v>300</v>
      </c>
      <c r="I67" s="2">
        <v>30000</v>
      </c>
      <c r="J67" s="2" t="s">
        <v>34</v>
      </c>
      <c r="K67" s="2" t="s">
        <v>34</v>
      </c>
      <c r="L67" s="2" t="s">
        <v>34</v>
      </c>
      <c r="M67" s="2" t="s">
        <v>35</v>
      </c>
      <c r="N67" s="2" t="s">
        <v>36</v>
      </c>
      <c r="O67" s="2382" t="s">
        <v>337</v>
      </c>
      <c r="P67" s="2383">
        <v>43479</v>
      </c>
      <c r="Q67" s="2383">
        <v>43479</v>
      </c>
      <c r="R67" s="2329">
        <v>0</v>
      </c>
      <c r="S67" s="2383">
        <v>43467</v>
      </c>
      <c r="T67" s="2383">
        <v>43462</v>
      </c>
      <c r="U67" s="2"/>
      <c r="V67" s="2"/>
      <c r="W67" s="2"/>
      <c r="X67" s="178">
        <v>174.75</v>
      </c>
      <c r="Y67" s="178">
        <v>4.3600000000000003</v>
      </c>
      <c r="Z67" s="178">
        <v>179.11</v>
      </c>
      <c r="AA67" s="178">
        <v>23.75</v>
      </c>
      <c r="AB67" s="178">
        <v>13.5</v>
      </c>
      <c r="AC67" s="178">
        <v>4.82</v>
      </c>
      <c r="AD67" s="2"/>
      <c r="AE67" s="160" t="str">
        <f t="shared" si="2"/>
        <v>A</v>
      </c>
      <c r="AF67" s="2"/>
      <c r="AG67" s="2"/>
      <c r="AH67" s="25"/>
      <c r="AI67" s="2"/>
      <c r="AJ67" s="2"/>
      <c r="AK67" s="2"/>
      <c r="AL67" s="2"/>
      <c r="AM67" s="2"/>
      <c r="AN67" s="2"/>
      <c r="AO67" s="2"/>
      <c r="AP67" s="2"/>
      <c r="AQ67" s="2392" t="s">
        <v>361</v>
      </c>
    </row>
    <row r="68" spans="1:43">
      <c r="A68" s="2271"/>
      <c r="B68" s="2271"/>
      <c r="C68" s="2271"/>
      <c r="D68" s="2271"/>
      <c r="E68" s="172" t="s">
        <v>340</v>
      </c>
      <c r="F68" s="2" t="s">
        <v>225</v>
      </c>
      <c r="G68" s="324"/>
      <c r="H68" s="2271"/>
      <c r="I68" s="2">
        <v>175000</v>
      </c>
      <c r="J68" s="2" t="s">
        <v>34</v>
      </c>
      <c r="K68" s="2" t="s">
        <v>34</v>
      </c>
      <c r="L68" s="2" t="s">
        <v>34</v>
      </c>
      <c r="M68" s="2" t="s">
        <v>35</v>
      </c>
      <c r="N68" s="2" t="s">
        <v>36</v>
      </c>
      <c r="O68" s="2271"/>
      <c r="P68" s="2317"/>
      <c r="Q68" s="2317"/>
      <c r="R68" s="2271"/>
      <c r="S68" s="2317"/>
      <c r="T68" s="2317"/>
      <c r="U68" s="2"/>
      <c r="V68" s="2"/>
      <c r="W68" s="2"/>
      <c r="X68" s="178">
        <v>175.25</v>
      </c>
      <c r="Y68" s="178">
        <v>4.3600000000000003</v>
      </c>
      <c r="Z68" s="178">
        <v>179.61</v>
      </c>
      <c r="AA68" s="178">
        <v>23.75</v>
      </c>
      <c r="AB68" s="178">
        <v>13.5</v>
      </c>
      <c r="AC68" s="178">
        <v>4.82</v>
      </c>
      <c r="AD68" s="2"/>
      <c r="AE68" s="160" t="str">
        <f t="shared" si="2"/>
        <v>A</v>
      </c>
      <c r="AF68" s="2"/>
      <c r="AG68" s="2"/>
      <c r="AH68" s="25"/>
      <c r="AI68" s="2"/>
      <c r="AJ68" s="2"/>
      <c r="AK68" s="2"/>
      <c r="AL68" s="2"/>
      <c r="AM68" s="2"/>
      <c r="AN68" s="2"/>
      <c r="AO68" s="2"/>
      <c r="AP68" s="2"/>
      <c r="AQ68" s="2393"/>
    </row>
    <row r="69" spans="1:43">
      <c r="A69" s="2267">
        <v>38</v>
      </c>
      <c r="B69" s="2267" t="s">
        <v>365</v>
      </c>
      <c r="C69" s="2267" t="s">
        <v>29</v>
      </c>
      <c r="D69" s="2267" t="s">
        <v>366</v>
      </c>
      <c r="E69" s="172" t="s">
        <v>367</v>
      </c>
      <c r="F69" s="2" t="s">
        <v>225</v>
      </c>
      <c r="G69" s="2"/>
      <c r="H69" s="2267" t="s">
        <v>300</v>
      </c>
      <c r="I69" s="2">
        <v>175000</v>
      </c>
      <c r="J69" s="2" t="s">
        <v>34</v>
      </c>
      <c r="K69" s="2" t="s">
        <v>34</v>
      </c>
      <c r="L69" s="2" t="s">
        <v>34</v>
      </c>
      <c r="M69" s="2" t="s">
        <v>35</v>
      </c>
      <c r="N69" s="2" t="s">
        <v>36</v>
      </c>
      <c r="O69" s="2267" t="s">
        <v>389</v>
      </c>
      <c r="P69" s="2267" t="s">
        <v>390</v>
      </c>
      <c r="Q69" s="2312" t="s">
        <v>391</v>
      </c>
      <c r="R69" s="2312"/>
      <c r="S69" s="2267" t="s">
        <v>388</v>
      </c>
      <c r="T69" s="2267" t="s">
        <v>390</v>
      </c>
      <c r="U69" s="16"/>
      <c r="V69" s="16"/>
      <c r="W69" s="16"/>
      <c r="X69" s="69">
        <v>128.19457832272602</v>
      </c>
      <c r="Y69" s="69">
        <v>5.9243902439024394</v>
      </c>
      <c r="Z69" s="69">
        <v>134.11896856662847</v>
      </c>
      <c r="AA69" s="16">
        <v>1.32</v>
      </c>
      <c r="AB69" s="16">
        <v>18</v>
      </c>
      <c r="AC69" s="16">
        <v>4.55</v>
      </c>
      <c r="AD69" s="16"/>
      <c r="AE69" s="16"/>
      <c r="AF69" s="16"/>
      <c r="AG69" s="16"/>
      <c r="AH69" s="16"/>
      <c r="AI69" s="16"/>
      <c r="AJ69" s="16"/>
      <c r="AK69" s="16"/>
      <c r="AL69" s="16"/>
      <c r="AM69" s="16"/>
      <c r="AN69" s="16"/>
      <c r="AO69" s="16"/>
      <c r="AP69" s="16"/>
      <c r="AQ69" s="16"/>
    </row>
    <row r="70" spans="1:43">
      <c r="A70" s="2267"/>
      <c r="B70" s="2267"/>
      <c r="C70" s="2267"/>
      <c r="D70" s="2267"/>
      <c r="E70" s="172" t="s">
        <v>368</v>
      </c>
      <c r="F70" s="2" t="s">
        <v>225</v>
      </c>
      <c r="G70" s="2"/>
      <c r="H70" s="2267"/>
      <c r="I70" s="2">
        <v>30000</v>
      </c>
      <c r="J70" s="2" t="s">
        <v>34</v>
      </c>
      <c r="K70" s="2" t="s">
        <v>34</v>
      </c>
      <c r="L70" s="2" t="s">
        <v>34</v>
      </c>
      <c r="M70" s="2" t="s">
        <v>35</v>
      </c>
      <c r="N70" s="2" t="s">
        <v>36</v>
      </c>
      <c r="O70" s="2267"/>
      <c r="P70" s="2267"/>
      <c r="Q70" s="2276"/>
      <c r="R70" s="2276"/>
      <c r="S70" s="2267"/>
      <c r="T70" s="2267"/>
      <c r="U70" s="16"/>
      <c r="V70" s="16"/>
      <c r="W70" s="16"/>
      <c r="X70" s="69">
        <v>128.17747517895242</v>
      </c>
      <c r="Y70" s="69">
        <v>5.9243902439024394</v>
      </c>
      <c r="Z70" s="69">
        <v>134.10186542285487</v>
      </c>
      <c r="AA70" s="16">
        <v>0</v>
      </c>
      <c r="AB70" s="16">
        <v>0</v>
      </c>
      <c r="AC70" s="16">
        <v>0</v>
      </c>
      <c r="AD70" s="16"/>
      <c r="AE70" s="16"/>
      <c r="AF70" s="16"/>
      <c r="AG70" s="16"/>
      <c r="AH70" s="16"/>
      <c r="AI70" s="16"/>
      <c r="AJ70" s="16"/>
      <c r="AK70" s="16"/>
      <c r="AL70" s="16"/>
      <c r="AM70" s="16"/>
      <c r="AN70" s="16"/>
      <c r="AO70" s="16"/>
      <c r="AP70" s="16"/>
      <c r="AQ70" s="16"/>
    </row>
    <row r="71" spans="1:43">
      <c r="A71" s="2267"/>
      <c r="B71" s="2267"/>
      <c r="C71" s="2267"/>
      <c r="D71" s="2267"/>
      <c r="E71" s="172" t="s">
        <v>369</v>
      </c>
      <c r="F71" s="2" t="s">
        <v>225</v>
      </c>
      <c r="G71" s="2"/>
      <c r="H71" s="2267"/>
      <c r="I71" s="2">
        <v>5250</v>
      </c>
      <c r="J71" s="2" t="s">
        <v>34</v>
      </c>
      <c r="K71" s="2" t="s">
        <v>34</v>
      </c>
      <c r="L71" s="2" t="s">
        <v>34</v>
      </c>
      <c r="M71" s="2" t="s">
        <v>35</v>
      </c>
      <c r="N71" s="2" t="s">
        <v>36</v>
      </c>
      <c r="O71" s="2267"/>
      <c r="P71" s="2267"/>
      <c r="Q71" s="2276"/>
      <c r="R71" s="2276"/>
      <c r="S71" s="2267"/>
      <c r="T71" s="2267"/>
      <c r="U71" s="16"/>
      <c r="V71" s="16"/>
      <c r="W71" s="16"/>
      <c r="X71" s="69">
        <v>126.5099186610279</v>
      </c>
      <c r="Y71" s="69">
        <v>5.9243902439024394</v>
      </c>
      <c r="Z71" s="69">
        <v>132.43430890493033</v>
      </c>
      <c r="AA71" s="16">
        <v>0</v>
      </c>
      <c r="AB71" s="16">
        <v>18</v>
      </c>
      <c r="AC71" s="16">
        <v>4.55</v>
      </c>
      <c r="AD71" s="16"/>
      <c r="AE71" s="16"/>
      <c r="AF71" s="16"/>
      <c r="AG71" s="16"/>
      <c r="AH71" s="16"/>
      <c r="AI71" s="16"/>
      <c r="AJ71" s="16"/>
      <c r="AK71" s="16"/>
      <c r="AL71" s="16"/>
      <c r="AM71" s="16"/>
      <c r="AN71" s="16"/>
      <c r="AO71" s="16"/>
      <c r="AP71" s="16"/>
      <c r="AQ71" s="16"/>
    </row>
    <row r="72" spans="1:43">
      <c r="A72" s="2267"/>
      <c r="B72" s="2267"/>
      <c r="C72" s="2267"/>
      <c r="D72" s="2267"/>
      <c r="E72" s="172" t="s">
        <v>370</v>
      </c>
      <c r="F72" s="2" t="s">
        <v>225</v>
      </c>
      <c r="G72" s="2"/>
      <c r="H72" s="2267"/>
      <c r="I72" s="2">
        <v>30000</v>
      </c>
      <c r="J72" s="2" t="s">
        <v>34</v>
      </c>
      <c r="K72" s="2" t="s">
        <v>34</v>
      </c>
      <c r="L72" s="2" t="s">
        <v>34</v>
      </c>
      <c r="M72" s="2" t="s">
        <v>35</v>
      </c>
      <c r="N72" s="2" t="s">
        <v>36</v>
      </c>
      <c r="O72" s="2267"/>
      <c r="P72" s="2267"/>
      <c r="Q72" s="2276"/>
      <c r="R72" s="2276"/>
      <c r="S72" s="2267"/>
      <c r="T72" s="2267"/>
      <c r="U72" s="16"/>
      <c r="V72" s="16"/>
      <c r="W72" s="16"/>
      <c r="X72" s="69">
        <v>126.4928155172543</v>
      </c>
      <c r="Y72" s="69">
        <v>5.9243902439024394</v>
      </c>
      <c r="Z72" s="69">
        <v>132.41720576115674</v>
      </c>
      <c r="AA72" s="16">
        <v>0</v>
      </c>
      <c r="AB72" s="16">
        <v>0</v>
      </c>
      <c r="AC72" s="16">
        <v>0</v>
      </c>
      <c r="AD72" s="16"/>
      <c r="AE72" s="16"/>
      <c r="AF72" s="16"/>
      <c r="AG72" s="16"/>
      <c r="AH72" s="16"/>
      <c r="AI72" s="16"/>
      <c r="AJ72" s="16"/>
      <c r="AK72" s="16"/>
      <c r="AL72" s="16"/>
      <c r="AM72" s="16"/>
      <c r="AN72" s="16"/>
      <c r="AO72" s="16"/>
      <c r="AP72" s="16"/>
      <c r="AQ72" s="16"/>
    </row>
    <row r="73" spans="1:43">
      <c r="A73" s="2267"/>
      <c r="B73" s="2267"/>
      <c r="C73" s="2267"/>
      <c r="D73" s="2267"/>
      <c r="E73" s="172" t="s">
        <v>371</v>
      </c>
      <c r="F73" s="2" t="s">
        <v>225</v>
      </c>
      <c r="G73" s="2"/>
      <c r="H73" s="2267"/>
      <c r="I73" s="2">
        <v>169750</v>
      </c>
      <c r="J73" s="2" t="s">
        <v>34</v>
      </c>
      <c r="K73" s="2" t="s">
        <v>34</v>
      </c>
      <c r="L73" s="2" t="s">
        <v>34</v>
      </c>
      <c r="M73" s="2" t="s">
        <v>35</v>
      </c>
      <c r="N73" s="2" t="s">
        <v>36</v>
      </c>
      <c r="O73" s="2267"/>
      <c r="P73" s="2267"/>
      <c r="Q73" s="2271"/>
      <c r="R73" s="2271"/>
      <c r="S73" s="2267"/>
      <c r="T73" s="2267"/>
      <c r="U73" s="16"/>
      <c r="V73" s="16"/>
      <c r="W73" s="16"/>
      <c r="X73" s="69">
        <v>124.79105271178263</v>
      </c>
      <c r="Y73" s="69">
        <v>5.9243902439024394</v>
      </c>
      <c r="Z73" s="69">
        <v>130.71544295568506</v>
      </c>
      <c r="AA73" s="16">
        <v>0</v>
      </c>
      <c r="AB73" s="16">
        <v>0</v>
      </c>
      <c r="AC73" s="16">
        <v>0</v>
      </c>
      <c r="AD73" s="16"/>
      <c r="AE73" s="16"/>
      <c r="AF73" s="16"/>
      <c r="AG73" s="16"/>
      <c r="AH73" s="16"/>
      <c r="AI73" s="16"/>
      <c r="AJ73" s="16"/>
      <c r="AK73" s="16"/>
      <c r="AL73" s="16"/>
      <c r="AM73" s="16"/>
      <c r="AN73" s="16"/>
      <c r="AO73" s="16"/>
      <c r="AP73" s="16"/>
      <c r="AQ73" s="16"/>
    </row>
    <row r="74" spans="1:43">
      <c r="A74" s="2267">
        <v>39</v>
      </c>
      <c r="B74" s="2267" t="s">
        <v>365</v>
      </c>
      <c r="C74" s="2267" t="s">
        <v>29</v>
      </c>
      <c r="D74" s="2267" t="s">
        <v>372</v>
      </c>
      <c r="E74" s="172" t="s">
        <v>373</v>
      </c>
      <c r="F74" s="2" t="s">
        <v>225</v>
      </c>
      <c r="G74" s="2" t="s">
        <v>1271</v>
      </c>
      <c r="H74" s="2267" t="s">
        <v>300</v>
      </c>
      <c r="I74" s="2">
        <v>175000</v>
      </c>
      <c r="J74" s="2" t="s">
        <v>34</v>
      </c>
      <c r="K74" s="2" t="s">
        <v>34</v>
      </c>
      <c r="L74" s="2" t="s">
        <v>34</v>
      </c>
      <c r="M74" s="2" t="s">
        <v>35</v>
      </c>
      <c r="N74" s="2" t="s">
        <v>36</v>
      </c>
      <c r="O74" s="2267" t="str">
        <f>O69</f>
        <v>01.02.2019</v>
      </c>
      <c r="P74" s="2267" t="str">
        <f>P69</f>
        <v>08.02.2019</v>
      </c>
      <c r="Q74" s="2312" t="s">
        <v>391</v>
      </c>
      <c r="R74" s="2312"/>
      <c r="S74" s="2267" t="str">
        <f>S69</f>
        <v>05.02.2019</v>
      </c>
      <c r="T74" s="2267" t="str">
        <f>T69</f>
        <v>08.02.2019</v>
      </c>
      <c r="U74" s="16"/>
      <c r="V74" s="16"/>
      <c r="W74" s="16"/>
      <c r="X74" s="69">
        <v>258.159516895514</v>
      </c>
      <c r="Y74" s="69">
        <v>8.5057317073170733</v>
      </c>
      <c r="Z74" s="69">
        <v>266.66524860283107</v>
      </c>
      <c r="AA74" s="69">
        <v>29.351060544509998</v>
      </c>
      <c r="AB74" s="16">
        <v>15</v>
      </c>
      <c r="AC74" s="69">
        <v>6.6993749999999999</v>
      </c>
      <c r="AD74" s="16"/>
      <c r="AE74" s="16"/>
      <c r="AF74" s="16"/>
      <c r="AG74" s="16"/>
      <c r="AH74" s="16"/>
      <c r="AI74" s="16"/>
      <c r="AJ74" s="16"/>
      <c r="AK74" s="16"/>
      <c r="AL74" s="16"/>
      <c r="AM74" s="16"/>
      <c r="AN74" s="16"/>
      <c r="AO74" s="16"/>
      <c r="AP74" s="16"/>
      <c r="AQ74" s="16"/>
    </row>
    <row r="75" spans="1:43">
      <c r="A75" s="2267"/>
      <c r="B75" s="2267"/>
      <c r="C75" s="2267"/>
      <c r="D75" s="2267"/>
      <c r="E75" s="172" t="s">
        <v>374</v>
      </c>
      <c r="F75" s="2" t="s">
        <v>225</v>
      </c>
      <c r="G75" s="2"/>
      <c r="H75" s="2267"/>
      <c r="I75" s="2">
        <v>30000</v>
      </c>
      <c r="J75" s="2" t="s">
        <v>34</v>
      </c>
      <c r="K75" s="2" t="s">
        <v>34</v>
      </c>
      <c r="L75" s="2" t="s">
        <v>34</v>
      </c>
      <c r="M75" s="2" t="s">
        <v>35</v>
      </c>
      <c r="N75" s="2" t="s">
        <v>36</v>
      </c>
      <c r="O75" s="2267"/>
      <c r="P75" s="2267"/>
      <c r="Q75" s="2271"/>
      <c r="R75" s="2271"/>
      <c r="S75" s="2267"/>
      <c r="T75" s="2267"/>
      <c r="U75" s="16"/>
      <c r="V75" s="16"/>
      <c r="W75" s="16"/>
      <c r="X75" s="69">
        <v>256.27801689551399</v>
      </c>
      <c r="Y75" s="69">
        <v>8.5057317073170733</v>
      </c>
      <c r="Z75" s="69">
        <v>264.78374860283105</v>
      </c>
      <c r="AA75" s="69">
        <v>29.351060544509998</v>
      </c>
      <c r="AB75" s="16">
        <v>15</v>
      </c>
      <c r="AC75" s="69">
        <v>6.6993749999999999</v>
      </c>
      <c r="AD75" s="16"/>
      <c r="AE75" s="16"/>
      <c r="AF75" s="16"/>
      <c r="AG75" s="16"/>
      <c r="AH75" s="16"/>
      <c r="AI75" s="16"/>
      <c r="AJ75" s="16"/>
      <c r="AK75" s="16"/>
      <c r="AL75" s="16"/>
      <c r="AM75" s="16"/>
      <c r="AN75" s="16"/>
      <c r="AO75" s="16"/>
      <c r="AP75" s="16"/>
      <c r="AQ75" s="16"/>
    </row>
    <row r="76" spans="1:43">
      <c r="A76" s="2267">
        <v>40</v>
      </c>
      <c r="B76" s="2267" t="s">
        <v>365</v>
      </c>
      <c r="C76" s="2312" t="s">
        <v>29</v>
      </c>
      <c r="D76" s="2267" t="s">
        <v>378</v>
      </c>
      <c r="E76" s="172" t="s">
        <v>375</v>
      </c>
      <c r="F76" s="2" t="s">
        <v>225</v>
      </c>
      <c r="G76" s="2"/>
      <c r="H76" s="2267" t="s">
        <v>300</v>
      </c>
      <c r="I76" s="2">
        <v>30000</v>
      </c>
      <c r="J76" s="2" t="s">
        <v>34</v>
      </c>
      <c r="K76" s="2" t="s">
        <v>34</v>
      </c>
      <c r="L76" s="2" t="s">
        <v>34</v>
      </c>
      <c r="M76" s="2" t="s">
        <v>35</v>
      </c>
      <c r="N76" s="2" t="s">
        <v>36</v>
      </c>
      <c r="O76" s="2267" t="str">
        <f>O74</f>
        <v>01.02.2019</v>
      </c>
      <c r="P76" s="2267" t="str">
        <f>P74</f>
        <v>08.02.2019</v>
      </c>
      <c r="Q76" s="2312" t="s">
        <v>391</v>
      </c>
      <c r="R76" s="2312"/>
      <c r="S76" s="2267" t="str">
        <f>S74</f>
        <v>05.02.2019</v>
      </c>
      <c r="T76" s="2267" t="str">
        <f>T74</f>
        <v>08.02.2019</v>
      </c>
      <c r="U76" s="16"/>
      <c r="V76" s="16"/>
      <c r="W76" s="16"/>
      <c r="X76" s="69">
        <v>364.03036101481115</v>
      </c>
      <c r="Y76" s="69">
        <v>8.5057317073170733</v>
      </c>
      <c r="Z76" s="69">
        <v>372.53609272212822</v>
      </c>
      <c r="AA76" s="69">
        <v>139.21928565689373</v>
      </c>
      <c r="AB76" s="16">
        <v>12</v>
      </c>
      <c r="AC76" s="69">
        <v>4.5172687500000004</v>
      </c>
      <c r="AD76" s="16"/>
      <c r="AE76" s="16"/>
      <c r="AF76" s="16"/>
      <c r="AG76" s="16"/>
      <c r="AH76" s="16"/>
      <c r="AI76" s="16"/>
      <c r="AJ76" s="16"/>
      <c r="AK76" s="16"/>
      <c r="AL76" s="16"/>
      <c r="AM76" s="16"/>
      <c r="AN76" s="16"/>
      <c r="AO76" s="16"/>
      <c r="AP76" s="16"/>
      <c r="AQ76" s="16"/>
    </row>
    <row r="77" spans="1:43">
      <c r="A77" s="2267"/>
      <c r="B77" s="2267"/>
      <c r="C77" s="2276"/>
      <c r="D77" s="2267"/>
      <c r="E77" s="172" t="s">
        <v>376</v>
      </c>
      <c r="F77" s="2" t="s">
        <v>225</v>
      </c>
      <c r="G77" s="2"/>
      <c r="H77" s="2267"/>
      <c r="I77" s="2">
        <v>30000</v>
      </c>
      <c r="J77" s="2" t="s">
        <v>34</v>
      </c>
      <c r="K77" s="2" t="s">
        <v>34</v>
      </c>
      <c r="L77" s="2" t="s">
        <v>34</v>
      </c>
      <c r="M77" s="2" t="s">
        <v>35</v>
      </c>
      <c r="N77" s="2" t="s">
        <v>36</v>
      </c>
      <c r="O77" s="2267"/>
      <c r="P77" s="2267"/>
      <c r="Q77" s="2276"/>
      <c r="R77" s="2276"/>
      <c r="S77" s="2267"/>
      <c r="T77" s="2267"/>
      <c r="U77" s="16"/>
      <c r="V77" s="16"/>
      <c r="W77" s="16"/>
      <c r="X77" s="69">
        <v>358.40251877592857</v>
      </c>
      <c r="Y77" s="69">
        <v>8.5057317073170733</v>
      </c>
      <c r="Z77" s="69">
        <v>366.90825048324564</v>
      </c>
      <c r="AA77" s="69">
        <v>134.51268224879374</v>
      </c>
      <c r="AB77" s="16">
        <v>12</v>
      </c>
      <c r="AC77" s="69">
        <v>4.5172687500000004</v>
      </c>
      <c r="AD77" s="16"/>
      <c r="AE77" s="16"/>
      <c r="AF77" s="16"/>
      <c r="AG77" s="16"/>
      <c r="AH77" s="16"/>
      <c r="AI77" s="16"/>
      <c r="AJ77" s="16"/>
      <c r="AK77" s="16"/>
      <c r="AL77" s="16"/>
      <c r="AM77" s="16"/>
      <c r="AN77" s="16"/>
      <c r="AO77" s="16"/>
      <c r="AP77" s="16"/>
      <c r="AQ77" s="16"/>
    </row>
    <row r="78" spans="1:43">
      <c r="A78" s="2267"/>
      <c r="B78" s="2267"/>
      <c r="C78" s="2276"/>
      <c r="D78" s="2267"/>
      <c r="E78" s="172" t="s">
        <v>377</v>
      </c>
      <c r="F78" s="2" t="s">
        <v>225</v>
      </c>
      <c r="G78" s="2"/>
      <c r="H78" s="2267"/>
      <c r="I78" s="2">
        <v>175000</v>
      </c>
      <c r="J78" s="2" t="s">
        <v>34</v>
      </c>
      <c r="K78" s="2" t="s">
        <v>34</v>
      </c>
      <c r="L78" s="2" t="s">
        <v>34</v>
      </c>
      <c r="M78" s="2" t="s">
        <v>35</v>
      </c>
      <c r="N78" s="2" t="s">
        <v>36</v>
      </c>
      <c r="O78" s="2267"/>
      <c r="P78" s="2267"/>
      <c r="Q78" s="2276"/>
      <c r="R78" s="2276"/>
      <c r="S78" s="2267"/>
      <c r="T78" s="2267"/>
      <c r="U78" s="16"/>
      <c r="V78" s="16"/>
      <c r="W78" s="16"/>
      <c r="X78" s="69">
        <v>222.8962209496521</v>
      </c>
      <c r="Y78" s="69">
        <v>8.5057317073170733</v>
      </c>
      <c r="Z78" s="69">
        <v>231.40195265696917</v>
      </c>
      <c r="AA78" s="69">
        <v>133.1300272449125</v>
      </c>
      <c r="AB78" s="16">
        <v>12</v>
      </c>
      <c r="AC78" s="69">
        <v>4.5172687500000004</v>
      </c>
      <c r="AD78" s="16"/>
      <c r="AE78" s="16"/>
      <c r="AF78" s="16"/>
      <c r="AG78" s="16"/>
      <c r="AH78" s="16"/>
      <c r="AI78" s="16"/>
      <c r="AJ78" s="16"/>
      <c r="AK78" s="16"/>
      <c r="AL78" s="16"/>
      <c r="AM78" s="16"/>
      <c r="AN78" s="16"/>
      <c r="AO78" s="16"/>
      <c r="AP78" s="16"/>
      <c r="AQ78" s="16"/>
    </row>
    <row r="79" spans="1:43">
      <c r="A79" s="2267"/>
      <c r="B79" s="2267"/>
      <c r="C79" s="2271"/>
      <c r="D79" s="2267"/>
      <c r="E79" s="172" t="s">
        <v>375</v>
      </c>
      <c r="F79" s="2" t="s">
        <v>225</v>
      </c>
      <c r="G79" s="2"/>
      <c r="H79" s="2267"/>
      <c r="I79" s="2">
        <v>175000</v>
      </c>
      <c r="J79" s="2" t="s">
        <v>34</v>
      </c>
      <c r="K79" s="2" t="s">
        <v>34</v>
      </c>
      <c r="L79" s="2" t="s">
        <v>34</v>
      </c>
      <c r="M79" s="2" t="s">
        <v>35</v>
      </c>
      <c r="N79" s="2" t="s">
        <v>36</v>
      </c>
      <c r="O79" s="2267"/>
      <c r="P79" s="2267"/>
      <c r="Q79" s="2271"/>
      <c r="R79" s="2271"/>
      <c r="S79" s="2267"/>
      <c r="T79" s="2267"/>
      <c r="U79" s="16"/>
      <c r="V79" s="16"/>
      <c r="W79" s="16"/>
      <c r="X79" s="69">
        <v>226.58296318853485</v>
      </c>
      <c r="Y79" s="69">
        <v>8.5057317073170733</v>
      </c>
      <c r="Z79" s="69">
        <v>235.08869489585192</v>
      </c>
      <c r="AA79" s="69">
        <v>137.83663065301249</v>
      </c>
      <c r="AB79" s="16">
        <v>12</v>
      </c>
      <c r="AC79" s="69">
        <v>4.5172687500000004</v>
      </c>
      <c r="AD79" s="16"/>
      <c r="AE79" s="16"/>
      <c r="AF79" s="16"/>
      <c r="AG79" s="16"/>
      <c r="AH79" s="16"/>
      <c r="AI79" s="16"/>
      <c r="AJ79" s="16"/>
      <c r="AK79" s="16"/>
      <c r="AL79" s="16"/>
      <c r="AM79" s="16"/>
      <c r="AN79" s="16"/>
      <c r="AO79" s="16"/>
      <c r="AP79" s="16"/>
      <c r="AQ79" s="16"/>
    </row>
    <row r="80" spans="1:43">
      <c r="A80" s="2267">
        <v>41</v>
      </c>
      <c r="B80" s="2267" t="s">
        <v>365</v>
      </c>
      <c r="C80" s="2267" t="s">
        <v>29</v>
      </c>
      <c r="D80" s="2267" t="s">
        <v>379</v>
      </c>
      <c r="E80" s="172" t="s">
        <v>380</v>
      </c>
      <c r="F80" s="2" t="s">
        <v>225</v>
      </c>
      <c r="G80" s="2" t="s">
        <v>1271</v>
      </c>
      <c r="H80" s="2267" t="s">
        <v>300</v>
      </c>
      <c r="I80" s="2">
        <v>205000</v>
      </c>
      <c r="J80" s="2" t="s">
        <v>34</v>
      </c>
      <c r="K80" s="2" t="s">
        <v>34</v>
      </c>
      <c r="L80" s="2" t="s">
        <v>34</v>
      </c>
      <c r="M80" s="2" t="s">
        <v>35</v>
      </c>
      <c r="N80" s="2" t="s">
        <v>36</v>
      </c>
      <c r="O80" s="2267" t="str">
        <f>O76</f>
        <v>01.02.2019</v>
      </c>
      <c r="P80" s="2267" t="str">
        <f>P76</f>
        <v>08.02.2019</v>
      </c>
      <c r="Q80" s="2312" t="s">
        <v>390</v>
      </c>
      <c r="R80" s="2312"/>
      <c r="S80" s="2267" t="str">
        <f>S76</f>
        <v>05.02.2019</v>
      </c>
      <c r="T80" s="2267" t="str">
        <f>T76</f>
        <v>08.02.2019</v>
      </c>
      <c r="U80" s="16"/>
      <c r="V80" s="16"/>
      <c r="W80" s="16"/>
      <c r="X80" s="69">
        <v>194.80130393328594</v>
      </c>
      <c r="Y80" s="69">
        <v>6.4321951219512199</v>
      </c>
      <c r="Z80" s="69">
        <v>201.23349905523716</v>
      </c>
      <c r="AA80" s="69">
        <v>133.23678011455939</v>
      </c>
      <c r="AB80" s="16">
        <v>21.5</v>
      </c>
      <c r="AC80" s="69">
        <v>8.5568500000000007</v>
      </c>
      <c r="AD80" s="16"/>
      <c r="AE80" s="16"/>
      <c r="AF80" s="16"/>
      <c r="AG80" s="16"/>
      <c r="AH80" s="16"/>
      <c r="AI80" s="16"/>
      <c r="AJ80" s="16"/>
      <c r="AK80" s="16"/>
      <c r="AL80" s="16"/>
      <c r="AM80" s="16"/>
      <c r="AN80" s="16"/>
      <c r="AO80" s="16"/>
      <c r="AP80" s="16"/>
      <c r="AQ80" s="16"/>
    </row>
    <row r="81" spans="1:43">
      <c r="A81" s="2267"/>
      <c r="B81" s="2267"/>
      <c r="C81" s="2267"/>
      <c r="D81" s="2267"/>
      <c r="E81" s="172" t="s">
        <v>381</v>
      </c>
      <c r="F81" s="2" t="s">
        <v>225</v>
      </c>
      <c r="G81" s="2"/>
      <c r="H81" s="2267"/>
      <c r="I81" s="2">
        <v>205000</v>
      </c>
      <c r="J81" s="2" t="s">
        <v>34</v>
      </c>
      <c r="K81" s="2" t="s">
        <v>34</v>
      </c>
      <c r="L81" s="2" t="s">
        <v>34</v>
      </c>
      <c r="M81" s="2" t="s">
        <v>35</v>
      </c>
      <c r="N81" s="2" t="s">
        <v>36</v>
      </c>
      <c r="O81" s="2267"/>
      <c r="P81" s="2267"/>
      <c r="Q81" s="2271"/>
      <c r="R81" s="2271"/>
      <c r="S81" s="2267"/>
      <c r="T81" s="2267"/>
      <c r="U81" s="16"/>
      <c r="V81" s="16"/>
      <c r="W81" s="16"/>
      <c r="X81" s="69">
        <v>194.80130393328594</v>
      </c>
      <c r="Y81" s="69">
        <v>6.4321951219512199</v>
      </c>
      <c r="Z81" s="69">
        <v>201.23349905523716</v>
      </c>
      <c r="AA81" s="69">
        <v>133.23678011455939</v>
      </c>
      <c r="AB81" s="16">
        <v>21.5</v>
      </c>
      <c r="AC81" s="69">
        <v>8.5568500000000007</v>
      </c>
      <c r="AD81" s="16"/>
      <c r="AE81" s="16"/>
      <c r="AF81" s="16"/>
      <c r="AG81" s="16"/>
      <c r="AH81" s="16"/>
      <c r="AI81" s="16"/>
      <c r="AJ81" s="16"/>
      <c r="AK81" s="16"/>
      <c r="AL81" s="16"/>
      <c r="AM81" s="16"/>
      <c r="AN81" s="16"/>
      <c r="AO81" s="16"/>
      <c r="AP81" s="16"/>
      <c r="AQ81" s="16"/>
    </row>
    <row r="82" spans="1:43">
      <c r="A82" s="2">
        <v>42</v>
      </c>
      <c r="B82" s="2" t="s">
        <v>365</v>
      </c>
      <c r="C82" s="2" t="s">
        <v>29</v>
      </c>
      <c r="D82" s="2" t="s">
        <v>382</v>
      </c>
      <c r="E82" s="172" t="s">
        <v>383</v>
      </c>
      <c r="F82" s="2" t="s">
        <v>384</v>
      </c>
      <c r="G82" s="2"/>
      <c r="H82" s="2" t="s">
        <v>300</v>
      </c>
      <c r="I82" s="2">
        <v>205000</v>
      </c>
      <c r="J82" s="2" t="s">
        <v>34</v>
      </c>
      <c r="K82" s="2" t="s">
        <v>34</v>
      </c>
      <c r="L82" s="2" t="s">
        <v>34</v>
      </c>
      <c r="M82" s="2" t="s">
        <v>35</v>
      </c>
      <c r="N82" s="2" t="s">
        <v>36</v>
      </c>
      <c r="O82" s="2" t="str">
        <f>O80</f>
        <v>01.02.2019</v>
      </c>
      <c r="P82" s="2" t="str">
        <f>P80</f>
        <v>08.02.2019</v>
      </c>
      <c r="Q82" s="2" t="s">
        <v>390</v>
      </c>
      <c r="R82" s="2"/>
      <c r="S82" s="2" t="str">
        <f>S80</f>
        <v>05.02.2019</v>
      </c>
      <c r="T82" s="2" t="str">
        <f>T80</f>
        <v>08.02.2019</v>
      </c>
      <c r="U82" s="16"/>
      <c r="V82" s="16"/>
      <c r="W82" s="16"/>
      <c r="X82" s="69">
        <v>241.68881867687116</v>
      </c>
      <c r="Y82" s="185">
        <v>12.991341463414635</v>
      </c>
      <c r="Z82" s="185">
        <v>254.68016014028581</v>
      </c>
      <c r="AA82" s="185">
        <v>138.321042525655</v>
      </c>
      <c r="AB82" s="185">
        <v>43</v>
      </c>
      <c r="AC82" s="16">
        <v>12.98</v>
      </c>
      <c r="AD82" s="16"/>
      <c r="AE82" s="16"/>
      <c r="AF82" s="16"/>
      <c r="AG82" s="16"/>
      <c r="AH82" s="16"/>
      <c r="AI82" s="16"/>
      <c r="AJ82" s="16"/>
      <c r="AK82" s="16"/>
      <c r="AL82" s="16"/>
      <c r="AM82" s="16"/>
      <c r="AN82" s="16"/>
      <c r="AO82" s="16"/>
      <c r="AP82" s="16"/>
      <c r="AQ82" s="16"/>
    </row>
    <row r="83" spans="1:43">
      <c r="A83" s="2267">
        <v>43</v>
      </c>
      <c r="B83" s="2267" t="s">
        <v>365</v>
      </c>
      <c r="C83" s="2267" t="s">
        <v>29</v>
      </c>
      <c r="D83" s="2267" t="s">
        <v>385</v>
      </c>
      <c r="E83" s="172" t="s">
        <v>386</v>
      </c>
      <c r="F83" s="2" t="s">
        <v>384</v>
      </c>
      <c r="G83" s="2"/>
      <c r="H83" s="2267" t="s">
        <v>300</v>
      </c>
      <c r="I83" s="2">
        <v>205000</v>
      </c>
      <c r="J83" s="2" t="s">
        <v>34</v>
      </c>
      <c r="K83" s="2" t="s">
        <v>34</v>
      </c>
      <c r="L83" s="2" t="s">
        <v>34</v>
      </c>
      <c r="M83" s="2" t="s">
        <v>35</v>
      </c>
      <c r="N83" s="2" t="s">
        <v>36</v>
      </c>
      <c r="O83" s="2267" t="str">
        <f>O82</f>
        <v>01.02.2019</v>
      </c>
      <c r="P83" s="2267" t="str">
        <f>P82</f>
        <v>08.02.2019</v>
      </c>
      <c r="Q83" s="2312" t="s">
        <v>390</v>
      </c>
      <c r="R83" s="2312"/>
      <c r="S83" s="2267" t="str">
        <f>S82</f>
        <v>05.02.2019</v>
      </c>
      <c r="T83" s="2267" t="str">
        <f>T82</f>
        <v>08.02.2019</v>
      </c>
      <c r="U83" s="16"/>
      <c r="V83" s="16"/>
      <c r="W83" s="16"/>
      <c r="X83" s="69">
        <v>139.61989402620381</v>
      </c>
      <c r="Y83" s="69">
        <v>6.4321951219512199</v>
      </c>
      <c r="Z83" s="69">
        <v>146.05208914815503</v>
      </c>
      <c r="AA83" s="69">
        <v>16.337573971975001</v>
      </c>
      <c r="AB83" s="16">
        <v>20.100000000000001</v>
      </c>
      <c r="AC83" s="69">
        <v>5.6007500000000006</v>
      </c>
      <c r="AD83" s="16"/>
      <c r="AE83" s="16"/>
      <c r="AF83" s="16"/>
      <c r="AG83" s="16"/>
      <c r="AH83" s="16"/>
      <c r="AI83" s="16"/>
      <c r="AJ83" s="16"/>
      <c r="AK83" s="16"/>
      <c r="AL83" s="16"/>
      <c r="AM83" s="16"/>
      <c r="AN83" s="16"/>
      <c r="AO83" s="16"/>
      <c r="AP83" s="16"/>
      <c r="AQ83" s="16"/>
    </row>
    <row r="84" spans="1:43">
      <c r="A84" s="2267"/>
      <c r="B84" s="2267"/>
      <c r="C84" s="2267"/>
      <c r="D84" s="2267"/>
      <c r="E84" s="172" t="s">
        <v>387</v>
      </c>
      <c r="F84" s="2" t="s">
        <v>384</v>
      </c>
      <c r="G84" s="2"/>
      <c r="H84" s="2267"/>
      <c r="I84" s="2">
        <v>205000</v>
      </c>
      <c r="J84" s="2" t="s">
        <v>34</v>
      </c>
      <c r="K84" s="2" t="s">
        <v>34</v>
      </c>
      <c r="L84" s="2" t="s">
        <v>34</v>
      </c>
      <c r="M84" s="2" t="s">
        <v>35</v>
      </c>
      <c r="N84" s="2" t="s">
        <v>36</v>
      </c>
      <c r="O84" s="2267"/>
      <c r="P84" s="2267"/>
      <c r="Q84" s="2271"/>
      <c r="R84" s="2271"/>
      <c r="S84" s="2267"/>
      <c r="T84" s="2267"/>
      <c r="U84" s="16"/>
      <c r="V84" s="16"/>
      <c r="W84" s="16"/>
      <c r="X84" s="69">
        <v>138.17529402620383</v>
      </c>
      <c r="Y84" s="69">
        <v>6.4321951219512199</v>
      </c>
      <c r="Z84" s="69">
        <v>144.60748914815505</v>
      </c>
      <c r="AA84" s="69">
        <v>16.337573971975001</v>
      </c>
      <c r="AB84" s="16">
        <v>20.100000000000001</v>
      </c>
      <c r="AC84" s="69">
        <v>5.6007500000000006</v>
      </c>
      <c r="AD84" s="16"/>
      <c r="AE84" s="16"/>
      <c r="AF84" s="16"/>
      <c r="AG84" s="16"/>
      <c r="AH84" s="16"/>
      <c r="AI84" s="16"/>
      <c r="AJ84" s="16"/>
      <c r="AK84" s="16"/>
      <c r="AL84" s="16"/>
      <c r="AM84" s="16"/>
      <c r="AN84" s="16"/>
      <c r="AO84" s="16"/>
      <c r="AP84" s="16"/>
      <c r="AQ84" s="16"/>
    </row>
    <row r="85" spans="1:43">
      <c r="A85" s="2">
        <v>44</v>
      </c>
      <c r="B85" s="2" t="s">
        <v>197</v>
      </c>
      <c r="C85" s="2" t="s">
        <v>29</v>
      </c>
      <c r="D85" s="2" t="s">
        <v>393</v>
      </c>
      <c r="E85" s="172" t="s">
        <v>394</v>
      </c>
      <c r="F85" s="2" t="s">
        <v>395</v>
      </c>
      <c r="G85" s="2"/>
      <c r="H85" s="2" t="s">
        <v>299</v>
      </c>
      <c r="I85" s="2">
        <v>30000</v>
      </c>
      <c r="J85" s="2" t="s">
        <v>34</v>
      </c>
      <c r="K85" s="2" t="s">
        <v>34</v>
      </c>
      <c r="L85" s="2" t="s">
        <v>34</v>
      </c>
      <c r="M85" s="2" t="s">
        <v>35</v>
      </c>
      <c r="N85" s="2" t="s">
        <v>36</v>
      </c>
      <c r="O85" s="2" t="s">
        <v>396</v>
      </c>
      <c r="P85" s="2" t="s">
        <v>424</v>
      </c>
      <c r="Q85" s="2" t="s">
        <v>427</v>
      </c>
      <c r="R85" s="2"/>
      <c r="S85" s="2" t="s">
        <v>397</v>
      </c>
      <c r="T85" s="2" t="s">
        <v>396</v>
      </c>
      <c r="U85" s="2"/>
      <c r="V85" s="2"/>
      <c r="W85" s="2"/>
      <c r="X85" s="178">
        <v>1135.5</v>
      </c>
      <c r="Y85" s="178">
        <v>14.17</v>
      </c>
      <c r="Z85" s="178">
        <v>1149.67</v>
      </c>
      <c r="AA85" s="178">
        <v>19.12</v>
      </c>
      <c r="AB85" s="178">
        <v>21.8</v>
      </c>
      <c r="AC85" s="178">
        <v>11.4</v>
      </c>
      <c r="AD85" s="2"/>
      <c r="AE85" s="2"/>
      <c r="AF85" s="2"/>
      <c r="AG85" s="2"/>
      <c r="AH85" s="2"/>
      <c r="AI85" s="2"/>
      <c r="AJ85" s="2"/>
      <c r="AK85" s="2"/>
      <c r="AL85" s="2"/>
      <c r="AM85" s="2"/>
      <c r="AN85" s="2"/>
      <c r="AO85" s="2"/>
      <c r="AP85" s="2"/>
      <c r="AQ85" s="2"/>
    </row>
    <row r="86" spans="1:43">
      <c r="A86" s="2267">
        <v>45</v>
      </c>
      <c r="B86" s="2267" t="s">
        <v>197</v>
      </c>
      <c r="C86" s="2267" t="s">
        <v>29</v>
      </c>
      <c r="D86" s="2267" t="s">
        <v>399</v>
      </c>
      <c r="E86" s="198" t="s">
        <v>400</v>
      </c>
      <c r="F86" s="198" t="s">
        <v>225</v>
      </c>
      <c r="G86" s="198"/>
      <c r="H86" s="2267" t="s">
        <v>299</v>
      </c>
      <c r="I86" s="2">
        <v>30000</v>
      </c>
      <c r="J86" s="187" t="s">
        <v>34</v>
      </c>
      <c r="K86" s="2" t="s">
        <v>34</v>
      </c>
      <c r="L86" s="2" t="s">
        <v>34</v>
      </c>
      <c r="M86" s="2" t="s">
        <v>35</v>
      </c>
      <c r="N86" s="2" t="s">
        <v>36</v>
      </c>
      <c r="O86" s="2267" t="s">
        <v>402</v>
      </c>
      <c r="P86" s="2267" t="s">
        <v>425</v>
      </c>
      <c r="Q86" s="2290" t="s">
        <v>425</v>
      </c>
      <c r="R86" s="2290"/>
      <c r="S86" s="2267" t="s">
        <v>403</v>
      </c>
      <c r="T86" s="2267" t="s">
        <v>402</v>
      </c>
      <c r="U86" s="2"/>
      <c r="V86" s="2"/>
      <c r="W86" s="2"/>
      <c r="X86" s="200">
        <v>85.572325000000006</v>
      </c>
      <c r="Y86" s="178">
        <v>34.68</v>
      </c>
      <c r="Z86" s="178">
        <v>120.26</v>
      </c>
      <c r="AA86" s="178">
        <v>5.12</v>
      </c>
      <c r="AB86" s="178">
        <v>15.5</v>
      </c>
      <c r="AC86" s="178">
        <v>8.5</v>
      </c>
      <c r="AD86" s="2"/>
      <c r="AE86" s="2"/>
      <c r="AF86" s="2"/>
      <c r="AG86" s="2"/>
      <c r="AH86" s="2"/>
      <c r="AI86" s="2"/>
      <c r="AJ86" s="2"/>
      <c r="AK86" s="2"/>
      <c r="AL86" s="2"/>
      <c r="AM86" s="2"/>
      <c r="AN86" s="2"/>
      <c r="AO86" s="2"/>
      <c r="AP86" s="2"/>
      <c r="AQ86" s="2"/>
    </row>
    <row r="87" spans="1:43">
      <c r="A87" s="2291"/>
      <c r="B87" s="2291"/>
      <c r="C87" s="2291"/>
      <c r="D87" s="2291"/>
      <c r="E87" s="199" t="s">
        <v>401</v>
      </c>
      <c r="F87" s="199" t="s">
        <v>225</v>
      </c>
      <c r="G87" s="493"/>
      <c r="H87" s="2291"/>
      <c r="I87" s="196">
        <v>30000</v>
      </c>
      <c r="J87" s="204" t="s">
        <v>34</v>
      </c>
      <c r="K87" s="196" t="s">
        <v>34</v>
      </c>
      <c r="L87" s="196" t="s">
        <v>34</v>
      </c>
      <c r="M87" s="196" t="s">
        <v>35</v>
      </c>
      <c r="N87" s="196" t="s">
        <v>36</v>
      </c>
      <c r="O87" s="2291"/>
      <c r="P87" s="2291"/>
      <c r="Q87" s="2276"/>
      <c r="R87" s="2276"/>
      <c r="S87" s="2291"/>
      <c r="T87" s="2291"/>
      <c r="U87" s="201"/>
      <c r="V87" s="201"/>
      <c r="W87" s="201"/>
      <c r="X87" s="202">
        <v>86.962188766216897</v>
      </c>
      <c r="Y87" s="203">
        <v>34.68</v>
      </c>
      <c r="Z87" s="203">
        <v>121.65</v>
      </c>
      <c r="AA87" s="203">
        <v>5.12</v>
      </c>
      <c r="AB87" s="203">
        <v>15.5</v>
      </c>
      <c r="AC87" s="203">
        <v>8.5</v>
      </c>
      <c r="AD87" s="201"/>
      <c r="AE87" s="201"/>
      <c r="AF87" s="201"/>
      <c r="AG87" s="201"/>
      <c r="AH87" s="201"/>
      <c r="AI87" s="201"/>
      <c r="AJ87" s="201"/>
      <c r="AK87" s="201"/>
      <c r="AL87" s="201"/>
      <c r="AM87" s="201"/>
      <c r="AN87" s="201"/>
      <c r="AO87" s="201"/>
      <c r="AP87" s="201"/>
      <c r="AQ87" s="201"/>
    </row>
    <row r="88" spans="1:43">
      <c r="A88" s="2">
        <v>46</v>
      </c>
      <c r="B88" s="2" t="s">
        <v>197</v>
      </c>
      <c r="C88" s="2" t="s">
        <v>29</v>
      </c>
      <c r="D88" s="198" t="s">
        <v>404</v>
      </c>
      <c r="E88" s="198" t="s">
        <v>409</v>
      </c>
      <c r="F88" s="198" t="s">
        <v>217</v>
      </c>
      <c r="G88" s="198"/>
      <c r="H88" s="2" t="s">
        <v>299</v>
      </c>
      <c r="I88" s="2">
        <v>300</v>
      </c>
      <c r="J88" s="2" t="s">
        <v>34</v>
      </c>
      <c r="K88" s="2" t="s">
        <v>34</v>
      </c>
      <c r="L88" s="196" t="s">
        <v>34</v>
      </c>
      <c r="M88" s="2" t="s">
        <v>35</v>
      </c>
      <c r="N88" s="2" t="s">
        <v>36</v>
      </c>
      <c r="O88" s="16" t="s">
        <v>403</v>
      </c>
      <c r="P88" s="205" t="s">
        <v>434</v>
      </c>
      <c r="Q88" s="16"/>
      <c r="R88" s="16"/>
      <c r="S88" s="2" t="s">
        <v>416</v>
      </c>
      <c r="T88" s="2" t="s">
        <v>403</v>
      </c>
      <c r="U88" s="16"/>
      <c r="V88" s="16"/>
      <c r="W88" s="16"/>
      <c r="X88" s="16"/>
      <c r="Y88" s="16"/>
      <c r="Z88" s="16"/>
      <c r="AA88" s="16"/>
      <c r="AB88" s="16"/>
      <c r="AC88" s="16"/>
      <c r="AD88" s="16"/>
      <c r="AE88" s="16"/>
      <c r="AF88" s="16"/>
      <c r="AG88" s="16"/>
      <c r="AH88" s="16"/>
      <c r="AI88" s="16"/>
      <c r="AJ88" s="16"/>
      <c r="AK88" s="16"/>
      <c r="AL88" s="16"/>
      <c r="AM88" s="16"/>
      <c r="AN88" s="16"/>
      <c r="AO88" s="16"/>
      <c r="AP88" s="16"/>
      <c r="AQ88" s="16"/>
    </row>
    <row r="89" spans="1:43">
      <c r="A89" s="2267">
        <v>47</v>
      </c>
      <c r="B89" s="2267" t="s">
        <v>197</v>
      </c>
      <c r="C89" s="2267" t="s">
        <v>29</v>
      </c>
      <c r="D89" s="2275" t="s">
        <v>405</v>
      </c>
      <c r="E89" s="198" t="s">
        <v>410</v>
      </c>
      <c r="F89" s="198" t="s">
        <v>330</v>
      </c>
      <c r="G89" s="198"/>
      <c r="H89" s="2" t="s">
        <v>299</v>
      </c>
      <c r="I89" s="2">
        <v>300</v>
      </c>
      <c r="J89" s="2" t="s">
        <v>34</v>
      </c>
      <c r="K89" s="2" t="s">
        <v>34</v>
      </c>
      <c r="L89" s="196" t="s">
        <v>34</v>
      </c>
      <c r="M89" s="2" t="s">
        <v>35</v>
      </c>
      <c r="N89" s="2" t="s">
        <v>36</v>
      </c>
      <c r="O89" s="16" t="s">
        <v>403</v>
      </c>
      <c r="P89" s="205" t="s">
        <v>435</v>
      </c>
      <c r="Q89" s="16"/>
      <c r="R89" s="16"/>
      <c r="S89" s="2" t="s">
        <v>416</v>
      </c>
      <c r="T89" s="2" t="s">
        <v>403</v>
      </c>
      <c r="U89" s="16"/>
      <c r="V89" s="16"/>
      <c r="W89" s="16"/>
      <c r="X89" s="16"/>
      <c r="Y89" s="16"/>
      <c r="Z89" s="16"/>
      <c r="AA89" s="16"/>
      <c r="AB89" s="16"/>
      <c r="AC89" s="16"/>
      <c r="AD89" s="16"/>
      <c r="AE89" s="16"/>
      <c r="AF89" s="16"/>
      <c r="AG89" s="16"/>
      <c r="AH89" s="16"/>
      <c r="AI89" s="16"/>
      <c r="AJ89" s="16"/>
      <c r="AK89" s="16"/>
      <c r="AL89" s="16"/>
      <c r="AM89" s="16"/>
      <c r="AN89" s="16"/>
      <c r="AO89" s="16"/>
      <c r="AP89" s="16"/>
      <c r="AQ89" s="16"/>
    </row>
    <row r="90" spans="1:43">
      <c r="A90" s="2267"/>
      <c r="B90" s="2267"/>
      <c r="C90" s="2267"/>
      <c r="D90" s="2275"/>
      <c r="E90" s="198" t="s">
        <v>411</v>
      </c>
      <c r="F90" s="198" t="s">
        <v>330</v>
      </c>
      <c r="G90" s="198"/>
      <c r="H90" s="2" t="s">
        <v>299</v>
      </c>
      <c r="I90" s="2">
        <v>300</v>
      </c>
      <c r="J90" s="2" t="s">
        <v>34</v>
      </c>
      <c r="K90" s="2" t="s">
        <v>34</v>
      </c>
      <c r="L90" s="196" t="s">
        <v>34</v>
      </c>
      <c r="M90" s="2" t="s">
        <v>35</v>
      </c>
      <c r="N90" s="2" t="s">
        <v>36</v>
      </c>
      <c r="O90" s="16" t="s">
        <v>403</v>
      </c>
      <c r="P90" s="2" t="s">
        <v>433</v>
      </c>
      <c r="Q90" s="16"/>
      <c r="R90" s="16"/>
      <c r="S90" s="2" t="s">
        <v>416</v>
      </c>
      <c r="T90" s="2" t="s">
        <v>403</v>
      </c>
      <c r="U90" s="16"/>
      <c r="V90" s="16"/>
      <c r="W90" s="16"/>
      <c r="X90" s="16"/>
      <c r="Y90" s="16"/>
      <c r="Z90" s="16"/>
      <c r="AA90" s="16"/>
      <c r="AB90" s="16"/>
      <c r="AC90" s="16"/>
      <c r="AD90" s="16"/>
      <c r="AE90" s="16"/>
      <c r="AF90" s="16"/>
      <c r="AG90" s="16"/>
      <c r="AH90" s="16"/>
      <c r="AI90" s="16"/>
      <c r="AJ90" s="16"/>
      <c r="AK90" s="16"/>
      <c r="AL90" s="16"/>
      <c r="AM90" s="16"/>
      <c r="AN90" s="16"/>
      <c r="AO90" s="16"/>
      <c r="AP90" s="16"/>
      <c r="AQ90" s="16"/>
    </row>
    <row r="91" spans="1:43">
      <c r="A91" s="2">
        <v>48</v>
      </c>
      <c r="B91" s="2" t="s">
        <v>197</v>
      </c>
      <c r="C91" s="2" t="s">
        <v>29</v>
      </c>
      <c r="D91" s="198" t="s">
        <v>406</v>
      </c>
      <c r="E91" s="198" t="s">
        <v>412</v>
      </c>
      <c r="F91" s="198" t="s">
        <v>415</v>
      </c>
      <c r="G91" s="198"/>
      <c r="H91" s="2" t="s">
        <v>299</v>
      </c>
      <c r="I91" s="2">
        <v>300</v>
      </c>
      <c r="J91" s="2" t="s">
        <v>34</v>
      </c>
      <c r="K91" s="2" t="s">
        <v>34</v>
      </c>
      <c r="L91" s="2" t="s">
        <v>34</v>
      </c>
      <c r="M91" s="2" t="s">
        <v>35</v>
      </c>
      <c r="N91" s="2" t="s">
        <v>36</v>
      </c>
      <c r="O91" s="16" t="s">
        <v>403</v>
      </c>
      <c r="P91" s="205" t="s">
        <v>435</v>
      </c>
      <c r="Q91" s="16"/>
      <c r="R91" s="16"/>
      <c r="S91" s="2" t="s">
        <v>416</v>
      </c>
      <c r="T91" s="2" t="s">
        <v>403</v>
      </c>
      <c r="U91" s="16"/>
      <c r="V91" s="16"/>
      <c r="W91" s="16"/>
      <c r="X91" s="16"/>
      <c r="Y91" s="16"/>
      <c r="Z91" s="16"/>
      <c r="AA91" s="16"/>
      <c r="AB91" s="16"/>
      <c r="AC91" s="16"/>
      <c r="AD91" s="16"/>
      <c r="AE91" s="16"/>
      <c r="AF91" s="16"/>
      <c r="AG91" s="16"/>
      <c r="AH91" s="16"/>
      <c r="AI91" s="16"/>
      <c r="AJ91" s="16"/>
      <c r="AK91" s="16"/>
      <c r="AL91" s="16"/>
      <c r="AM91" s="16"/>
      <c r="AN91" s="16"/>
      <c r="AO91" s="16"/>
      <c r="AP91" s="16"/>
      <c r="AQ91" s="16"/>
    </row>
    <row r="92" spans="1:43">
      <c r="A92" s="2">
        <v>49</v>
      </c>
      <c r="B92" s="2" t="s">
        <v>197</v>
      </c>
      <c r="C92" s="2" t="s">
        <v>29</v>
      </c>
      <c r="D92" s="198" t="s">
        <v>407</v>
      </c>
      <c r="E92" s="198" t="s">
        <v>413</v>
      </c>
      <c r="F92" s="198" t="s">
        <v>42</v>
      </c>
      <c r="G92" s="198"/>
      <c r="H92" s="2" t="s">
        <v>299</v>
      </c>
      <c r="I92" s="2">
        <v>300</v>
      </c>
      <c r="J92" s="2" t="s">
        <v>34</v>
      </c>
      <c r="K92" s="2" t="s">
        <v>34</v>
      </c>
      <c r="L92" s="2" t="s">
        <v>34</v>
      </c>
      <c r="M92" s="2" t="s">
        <v>35</v>
      </c>
      <c r="N92" s="2" t="s">
        <v>36</v>
      </c>
      <c r="O92" s="16" t="s">
        <v>403</v>
      </c>
      <c r="P92" s="2" t="s">
        <v>433</v>
      </c>
      <c r="Q92" s="16"/>
      <c r="R92" s="16"/>
      <c r="S92" s="2" t="s">
        <v>416</v>
      </c>
      <c r="T92" s="2" t="s">
        <v>403</v>
      </c>
      <c r="U92" s="16"/>
      <c r="V92" s="16"/>
      <c r="W92" s="16"/>
      <c r="X92" s="16"/>
      <c r="Y92" s="16"/>
      <c r="Z92" s="16"/>
      <c r="AA92" s="16"/>
      <c r="AB92" s="16"/>
      <c r="AC92" s="16"/>
      <c r="AD92" s="16"/>
      <c r="AE92" s="16"/>
      <c r="AF92" s="16"/>
      <c r="AG92" s="16"/>
      <c r="AH92" s="16"/>
      <c r="AI92" s="16"/>
      <c r="AJ92" s="16"/>
      <c r="AK92" s="16"/>
      <c r="AL92" s="16"/>
      <c r="AM92" s="16"/>
      <c r="AN92" s="16"/>
      <c r="AO92" s="16"/>
      <c r="AP92" s="16"/>
      <c r="AQ92" s="16"/>
    </row>
    <row r="93" spans="1:43">
      <c r="A93" s="2">
        <v>50</v>
      </c>
      <c r="B93" s="2" t="s">
        <v>197</v>
      </c>
      <c r="C93" s="2" t="s">
        <v>29</v>
      </c>
      <c r="D93" s="198" t="s">
        <v>408</v>
      </c>
      <c r="E93" s="198" t="s">
        <v>414</v>
      </c>
      <c r="F93" s="198" t="s">
        <v>42</v>
      </c>
      <c r="G93" s="198"/>
      <c r="H93" s="2" t="s">
        <v>299</v>
      </c>
      <c r="I93" s="2">
        <v>300</v>
      </c>
      <c r="J93" s="2" t="s">
        <v>34</v>
      </c>
      <c r="K93" s="2" t="s">
        <v>34</v>
      </c>
      <c r="L93" s="2" t="s">
        <v>34</v>
      </c>
      <c r="M93" s="2" t="s">
        <v>35</v>
      </c>
      <c r="N93" s="2" t="s">
        <v>36</v>
      </c>
      <c r="O93" s="16" t="s">
        <v>403</v>
      </c>
      <c r="P93" s="2" t="s">
        <v>433</v>
      </c>
      <c r="Q93" s="16"/>
      <c r="R93" s="16"/>
      <c r="S93" s="2" t="s">
        <v>416</v>
      </c>
      <c r="T93" s="2" t="s">
        <v>403</v>
      </c>
      <c r="U93" s="16"/>
      <c r="V93" s="16"/>
      <c r="W93" s="16"/>
      <c r="X93" s="16"/>
      <c r="Y93" s="16"/>
      <c r="Z93" s="16"/>
      <c r="AA93" s="16"/>
      <c r="AB93" s="16"/>
      <c r="AC93" s="16"/>
      <c r="AD93" s="16"/>
      <c r="AE93" s="16"/>
      <c r="AF93" s="16"/>
      <c r="AG93" s="16"/>
      <c r="AH93" s="16"/>
      <c r="AI93" s="16"/>
      <c r="AJ93" s="16"/>
      <c r="AK93" s="16"/>
      <c r="AL93" s="16"/>
      <c r="AM93" s="16"/>
      <c r="AN93" s="16"/>
      <c r="AO93" s="16"/>
      <c r="AP93" s="16"/>
      <c r="AQ93" s="16"/>
    </row>
    <row r="94" spans="1:43">
      <c r="A94" s="2">
        <v>51</v>
      </c>
      <c r="B94" s="2" t="s">
        <v>197</v>
      </c>
      <c r="C94" s="2" t="s">
        <v>29</v>
      </c>
      <c r="D94" s="198" t="s">
        <v>428</v>
      </c>
      <c r="E94" s="198" t="s">
        <v>429</v>
      </c>
      <c r="F94" s="198" t="s">
        <v>42</v>
      </c>
      <c r="G94" s="198"/>
      <c r="H94" s="2" t="s">
        <v>430</v>
      </c>
      <c r="I94" s="2">
        <v>30000</v>
      </c>
      <c r="J94" s="2" t="s">
        <v>34</v>
      </c>
      <c r="K94" s="2" t="s">
        <v>34</v>
      </c>
      <c r="L94" s="2" t="s">
        <v>34</v>
      </c>
      <c r="M94" s="2" t="s">
        <v>35</v>
      </c>
      <c r="N94" s="2" t="s">
        <v>36</v>
      </c>
      <c r="O94" s="16" t="s">
        <v>431</v>
      </c>
      <c r="P94" s="2" t="s">
        <v>426</v>
      </c>
      <c r="Q94" s="16" t="s">
        <v>426</v>
      </c>
      <c r="R94" s="16"/>
      <c r="S94" s="2" t="s">
        <v>432</v>
      </c>
      <c r="T94" s="2" t="s">
        <v>431</v>
      </c>
      <c r="U94" s="16"/>
      <c r="V94" s="16"/>
      <c r="W94" s="16"/>
      <c r="X94" s="16">
        <v>225.69</v>
      </c>
      <c r="Y94" s="16">
        <v>46.68</v>
      </c>
      <c r="Z94" s="16">
        <v>274.37</v>
      </c>
      <c r="AA94" s="16">
        <v>187.28</v>
      </c>
      <c r="AB94" s="16">
        <v>50.25</v>
      </c>
      <c r="AC94" s="16">
        <v>15.36</v>
      </c>
      <c r="AD94" s="16"/>
      <c r="AE94" s="16"/>
      <c r="AF94" s="16"/>
      <c r="AG94" s="16"/>
      <c r="AH94" s="16"/>
      <c r="AI94" s="16"/>
      <c r="AJ94" s="16"/>
      <c r="AK94" s="16"/>
      <c r="AL94" s="16"/>
      <c r="AM94" s="16"/>
      <c r="AN94" s="16"/>
      <c r="AO94" s="16"/>
      <c r="AP94" s="16"/>
      <c r="AQ94" s="16"/>
    </row>
    <row r="95" spans="1:43">
      <c r="A95" s="2">
        <v>52</v>
      </c>
      <c r="B95" s="2" t="s">
        <v>439</v>
      </c>
      <c r="C95" s="2" t="s">
        <v>29</v>
      </c>
      <c r="D95" s="206" t="s">
        <v>440</v>
      </c>
      <c r="E95" s="198" t="s">
        <v>441</v>
      </c>
      <c r="F95" s="198" t="s">
        <v>217</v>
      </c>
      <c r="G95" s="198"/>
      <c r="H95" s="2" t="s">
        <v>430</v>
      </c>
      <c r="I95" s="2">
        <v>168000</v>
      </c>
      <c r="J95" s="2" t="s">
        <v>34</v>
      </c>
      <c r="K95" s="2" t="s">
        <v>34</v>
      </c>
      <c r="L95" s="2" t="s">
        <v>48</v>
      </c>
      <c r="M95" s="2" t="s">
        <v>35</v>
      </c>
      <c r="N95" s="2" t="s">
        <v>36</v>
      </c>
      <c r="O95" s="16" t="s">
        <v>442</v>
      </c>
      <c r="P95" s="2" t="s">
        <v>443</v>
      </c>
      <c r="Q95" s="16"/>
      <c r="R95" s="16"/>
      <c r="S95" s="2" t="s">
        <v>444</v>
      </c>
      <c r="T95" s="2" t="s">
        <v>442</v>
      </c>
      <c r="U95" s="16"/>
      <c r="V95" s="16"/>
      <c r="W95" s="16"/>
      <c r="X95" s="16"/>
      <c r="Y95" s="16"/>
      <c r="Z95" s="16"/>
      <c r="AA95" s="16"/>
      <c r="AB95" s="16"/>
      <c r="AC95" s="16"/>
      <c r="AD95" s="16"/>
      <c r="AE95" s="16"/>
      <c r="AF95" s="16"/>
      <c r="AG95" s="16"/>
      <c r="AH95" s="16"/>
      <c r="AI95" s="16"/>
      <c r="AJ95" s="16"/>
      <c r="AK95" s="16"/>
      <c r="AL95" s="16"/>
      <c r="AM95" s="16"/>
      <c r="AN95" s="16"/>
      <c r="AO95" s="16"/>
      <c r="AP95" s="16"/>
      <c r="AQ95" s="16"/>
    </row>
  </sheetData>
  <autoFilter ref="A1:AQ95">
    <filterColumn colId="23" showButton="0"/>
    <filterColumn colId="24" showButton="0"/>
    <filterColumn colId="25" showButton="0"/>
    <filterColumn colId="26" showButton="0"/>
    <filterColumn colId="27" showButton="0"/>
    <filterColumn colId="31" showButton="0"/>
    <filterColumn colId="32" showButton="0"/>
    <filterColumn colId="33" showButton="0"/>
    <filterColumn colId="34" showButton="0"/>
  </autoFilter>
  <mergeCells count="370">
    <mergeCell ref="D89:D90"/>
    <mergeCell ref="A89:A90"/>
    <mergeCell ref="B89:B90"/>
    <mergeCell ref="C89:C90"/>
    <mergeCell ref="AQ36:AQ37"/>
    <mergeCell ref="AQ60:AQ61"/>
    <mergeCell ref="AQ63:AQ66"/>
    <mergeCell ref="AQ67:AQ68"/>
    <mergeCell ref="AQ38:AQ39"/>
    <mergeCell ref="AQ40:AQ41"/>
    <mergeCell ref="AQ42:AQ43"/>
    <mergeCell ref="AQ44:AQ45"/>
    <mergeCell ref="AQ46:AQ47"/>
    <mergeCell ref="AQ48:AQ49"/>
    <mergeCell ref="AQ50:AQ51"/>
    <mergeCell ref="AQ55:AQ56"/>
    <mergeCell ref="AQ58:AQ59"/>
    <mergeCell ref="P67:P68"/>
    <mergeCell ref="S67:S68"/>
    <mergeCell ref="T67:T68"/>
    <mergeCell ref="P63:P66"/>
    <mergeCell ref="S63:S66"/>
    <mergeCell ref="T63:T66"/>
    <mergeCell ref="O63:O66"/>
    <mergeCell ref="W1:W2"/>
    <mergeCell ref="F1:F2"/>
    <mergeCell ref="H1:H2"/>
    <mergeCell ref="I1:I2"/>
    <mergeCell ref="E1:E2"/>
    <mergeCell ref="D1:D2"/>
    <mergeCell ref="C1:C2"/>
    <mergeCell ref="B1:B2"/>
    <mergeCell ref="A1:A2"/>
    <mergeCell ref="J1:J2"/>
    <mergeCell ref="K1:K2"/>
    <mergeCell ref="L1:L2"/>
    <mergeCell ref="M1:M2"/>
    <mergeCell ref="S1:S2"/>
    <mergeCell ref="R1:R2"/>
    <mergeCell ref="Q1:Q2"/>
    <mergeCell ref="P1:P2"/>
    <mergeCell ref="O1:O2"/>
    <mergeCell ref="N1:N2"/>
    <mergeCell ref="T1:T2"/>
    <mergeCell ref="U1:U2"/>
    <mergeCell ref="V1:V2"/>
    <mergeCell ref="AQ19:AQ22"/>
    <mergeCell ref="AQ23:AQ24"/>
    <mergeCell ref="AQ25:AQ26"/>
    <mergeCell ref="X1:AC1"/>
    <mergeCell ref="AF1:AJ1"/>
    <mergeCell ref="AL1:AL2"/>
    <mergeCell ref="AM1:AM2"/>
    <mergeCell ref="AN1:AN2"/>
    <mergeCell ref="AO1:AO2"/>
    <mergeCell ref="AP1:AP2"/>
    <mergeCell ref="AQ1:AQ2"/>
    <mergeCell ref="AQ8:AQ9"/>
    <mergeCell ref="A63:A66"/>
    <mergeCell ref="B63:B66"/>
    <mergeCell ref="C63:C66"/>
    <mergeCell ref="D63:D66"/>
    <mergeCell ref="H63:H66"/>
    <mergeCell ref="H67:H68"/>
    <mergeCell ref="D67:D68"/>
    <mergeCell ref="C67:C68"/>
    <mergeCell ref="B67:B68"/>
    <mergeCell ref="A67:A68"/>
    <mergeCell ref="O67:O68"/>
    <mergeCell ref="Q67:Q68"/>
    <mergeCell ref="Q63:Q66"/>
    <mergeCell ref="R67:R68"/>
    <mergeCell ref="R63:R66"/>
    <mergeCell ref="O44:O45"/>
    <mergeCell ref="D38:D39"/>
    <mergeCell ref="C38:C39"/>
    <mergeCell ref="B38:B39"/>
    <mergeCell ref="P50:P51"/>
    <mergeCell ref="Q50:Q51"/>
    <mergeCell ref="R38:R39"/>
    <mergeCell ref="O50:O51"/>
    <mergeCell ref="D50:D51"/>
    <mergeCell ref="C50:C51"/>
    <mergeCell ref="B50:B51"/>
    <mergeCell ref="A8:A9"/>
    <mergeCell ref="A10:A13"/>
    <mergeCell ref="A14:A15"/>
    <mergeCell ref="B14:B15"/>
    <mergeCell ref="A38:A39"/>
    <mergeCell ref="D40:D41"/>
    <mergeCell ref="O42:O43"/>
    <mergeCell ref="A42:A43"/>
    <mergeCell ref="C40:C41"/>
    <mergeCell ref="B40:B41"/>
    <mergeCell ref="A40:A41"/>
    <mergeCell ref="O40:O41"/>
    <mergeCell ref="C34:C35"/>
    <mergeCell ref="D34:D35"/>
    <mergeCell ref="B42:B43"/>
    <mergeCell ref="C42:C43"/>
    <mergeCell ref="D42:D43"/>
    <mergeCell ref="A23:A24"/>
    <mergeCell ref="Q8:Q9"/>
    <mergeCell ref="Q10:Q13"/>
    <mergeCell ref="P14:P15"/>
    <mergeCell ref="P17:P18"/>
    <mergeCell ref="P19:P22"/>
    <mergeCell ref="P8:P9"/>
    <mergeCell ref="P10:P13"/>
    <mergeCell ref="C25:C26"/>
    <mergeCell ref="B25:B26"/>
    <mergeCell ref="Q14:Q15"/>
    <mergeCell ref="Q23:Q24"/>
    <mergeCell ref="B8:B9"/>
    <mergeCell ref="B10:B13"/>
    <mergeCell ref="C8:C9"/>
    <mergeCell ref="C10:C13"/>
    <mergeCell ref="R23:R24"/>
    <mergeCell ref="A44:A45"/>
    <mergeCell ref="B44:B45"/>
    <mergeCell ref="C44:C45"/>
    <mergeCell ref="D44:D45"/>
    <mergeCell ref="R19:R22"/>
    <mergeCell ref="R17:R18"/>
    <mergeCell ref="R14:R15"/>
    <mergeCell ref="A25:A26"/>
    <mergeCell ref="A27:A28"/>
    <mergeCell ref="B27:B28"/>
    <mergeCell ref="C27:C28"/>
    <mergeCell ref="A17:A18"/>
    <mergeCell ref="A19:A22"/>
    <mergeCell ref="B17:B18"/>
    <mergeCell ref="B19:B22"/>
    <mergeCell ref="C17:C18"/>
    <mergeCell ref="C19:C22"/>
    <mergeCell ref="C14:C15"/>
    <mergeCell ref="A34:A35"/>
    <mergeCell ref="B34:B35"/>
    <mergeCell ref="P23:P24"/>
    <mergeCell ref="B23:B24"/>
    <mergeCell ref="C23:C24"/>
    <mergeCell ref="W5:W6"/>
    <mergeCell ref="AQ5:AQ6"/>
    <mergeCell ref="A5:A6"/>
    <mergeCell ref="B5:B6"/>
    <mergeCell ref="C5:C6"/>
    <mergeCell ref="D5:D6"/>
    <mergeCell ref="H5:H6"/>
    <mergeCell ref="P5:P6"/>
    <mergeCell ref="Q5:Q6"/>
    <mergeCell ref="R5:R6"/>
    <mergeCell ref="T5:T6"/>
    <mergeCell ref="U5:U6"/>
    <mergeCell ref="S5:S6"/>
    <mergeCell ref="O5:O6"/>
    <mergeCell ref="V5:V6"/>
    <mergeCell ref="U8:U9"/>
    <mergeCell ref="V8:V9"/>
    <mergeCell ref="V14:V15"/>
    <mergeCell ref="V17:V18"/>
    <mergeCell ref="V10:V13"/>
    <mergeCell ref="V19:V22"/>
    <mergeCell ref="R10:R13"/>
    <mergeCell ref="R8:R9"/>
    <mergeCell ref="T8:T9"/>
    <mergeCell ref="T10:T13"/>
    <mergeCell ref="T14:T15"/>
    <mergeCell ref="T17:T18"/>
    <mergeCell ref="T19:T22"/>
    <mergeCell ref="S8:S9"/>
    <mergeCell ref="S10:S13"/>
    <mergeCell ref="S17:S18"/>
    <mergeCell ref="W23:W24"/>
    <mergeCell ref="W8:W9"/>
    <mergeCell ref="W10:W13"/>
    <mergeCell ref="W14:W15"/>
    <mergeCell ref="W17:W18"/>
    <mergeCell ref="W19:W22"/>
    <mergeCell ref="D8:D9"/>
    <mergeCell ref="D10:D13"/>
    <mergeCell ref="D14:D15"/>
    <mergeCell ref="D17:D18"/>
    <mergeCell ref="D19:D22"/>
    <mergeCell ref="U23:U24"/>
    <mergeCell ref="S19:S22"/>
    <mergeCell ref="S23:S24"/>
    <mergeCell ref="Q17:Q18"/>
    <mergeCell ref="Q19:Q22"/>
    <mergeCell ref="T23:T24"/>
    <mergeCell ref="U10:U13"/>
    <mergeCell ref="U14:U15"/>
    <mergeCell ref="V23:V24"/>
    <mergeCell ref="S14:S15"/>
    <mergeCell ref="U17:U18"/>
    <mergeCell ref="U19:U22"/>
    <mergeCell ref="D23:D24"/>
    <mergeCell ref="W25:W26"/>
    <mergeCell ref="W27:W28"/>
    <mergeCell ref="D27:D28"/>
    <mergeCell ref="P27:P28"/>
    <mergeCell ref="P25:P26"/>
    <mergeCell ref="Q25:Q26"/>
    <mergeCell ref="R25:R26"/>
    <mergeCell ref="Q27:Q28"/>
    <mergeCell ref="R27:R28"/>
    <mergeCell ref="D25:D26"/>
    <mergeCell ref="U27:U28"/>
    <mergeCell ref="S27:S28"/>
    <mergeCell ref="V27:V28"/>
    <mergeCell ref="V25:V26"/>
    <mergeCell ref="U25:U26"/>
    <mergeCell ref="Q34:Q35"/>
    <mergeCell ref="R31:R32"/>
    <mergeCell ref="S31:S32"/>
    <mergeCell ref="T31:T32"/>
    <mergeCell ref="A50:A51"/>
    <mergeCell ref="O46:O47"/>
    <mergeCell ref="A46:A47"/>
    <mergeCell ref="B46:B47"/>
    <mergeCell ref="C46:C47"/>
    <mergeCell ref="D46:D47"/>
    <mergeCell ref="D48:D49"/>
    <mergeCell ref="B48:B49"/>
    <mergeCell ref="C48:C49"/>
    <mergeCell ref="A48:A49"/>
    <mergeCell ref="O48:O49"/>
    <mergeCell ref="P31:P32"/>
    <mergeCell ref="P34:P35"/>
    <mergeCell ref="D31:D32"/>
    <mergeCell ref="C31:C32"/>
    <mergeCell ref="B31:B32"/>
    <mergeCell ref="A31:A32"/>
    <mergeCell ref="Q31:Q32"/>
    <mergeCell ref="P46:P47"/>
    <mergeCell ref="P48:P49"/>
    <mergeCell ref="AQ27:AQ28"/>
    <mergeCell ref="AQ31:AQ32"/>
    <mergeCell ref="S48:S49"/>
    <mergeCell ref="S50:S51"/>
    <mergeCell ref="S40:S41"/>
    <mergeCell ref="S42:S43"/>
    <mergeCell ref="S44:S45"/>
    <mergeCell ref="S46:S47"/>
    <mergeCell ref="S38:S39"/>
    <mergeCell ref="T40:T41"/>
    <mergeCell ref="T42:T43"/>
    <mergeCell ref="T44:T45"/>
    <mergeCell ref="T46:T47"/>
    <mergeCell ref="T48:T49"/>
    <mergeCell ref="T50:T51"/>
    <mergeCell ref="V34:V35"/>
    <mergeCell ref="V31:V32"/>
    <mergeCell ref="U31:U32"/>
    <mergeCell ref="U34:U35"/>
    <mergeCell ref="T55:T56"/>
    <mergeCell ref="S55:S56"/>
    <mergeCell ref="O55:O56"/>
    <mergeCell ref="D55:D56"/>
    <mergeCell ref="C55:C56"/>
    <mergeCell ref="B55:B56"/>
    <mergeCell ref="A55:A56"/>
    <mergeCell ref="H55:H56"/>
    <mergeCell ref="P55:P56"/>
    <mergeCell ref="Q55:Q56"/>
    <mergeCell ref="R55:R56"/>
    <mergeCell ref="S58:S59"/>
    <mergeCell ref="T58:T59"/>
    <mergeCell ref="A60:A61"/>
    <mergeCell ref="B60:B61"/>
    <mergeCell ref="C60:C61"/>
    <mergeCell ref="D60:D61"/>
    <mergeCell ref="H60:H61"/>
    <mergeCell ref="O60:O61"/>
    <mergeCell ref="P60:P61"/>
    <mergeCell ref="S60:S61"/>
    <mergeCell ref="T60:T61"/>
    <mergeCell ref="Q60:Q61"/>
    <mergeCell ref="R60:R61"/>
    <mergeCell ref="B58:B59"/>
    <mergeCell ref="C58:C59"/>
    <mergeCell ref="D58:D59"/>
    <mergeCell ref="A58:A59"/>
    <mergeCell ref="H58:H59"/>
    <mergeCell ref="O58:O59"/>
    <mergeCell ref="P58:P59"/>
    <mergeCell ref="Q58:Q59"/>
    <mergeCell ref="R58:R59"/>
    <mergeCell ref="C69:C73"/>
    <mergeCell ref="D69:D73"/>
    <mergeCell ref="H74:H75"/>
    <mergeCell ref="D74:D75"/>
    <mergeCell ref="C74:C75"/>
    <mergeCell ref="B74:B75"/>
    <mergeCell ref="A74:A75"/>
    <mergeCell ref="R34:R35"/>
    <mergeCell ref="R40:R41"/>
    <mergeCell ref="R42:R43"/>
    <mergeCell ref="R44:R45"/>
    <mergeCell ref="R46:R47"/>
    <mergeCell ref="R48:R49"/>
    <mergeCell ref="R50:R51"/>
    <mergeCell ref="Q48:Q49"/>
    <mergeCell ref="Q38:Q39"/>
    <mergeCell ref="Q40:Q41"/>
    <mergeCell ref="Q42:Q43"/>
    <mergeCell ref="Q46:Q47"/>
    <mergeCell ref="Q44:Q45"/>
    <mergeCell ref="P38:P39"/>
    <mergeCell ref="P40:P41"/>
    <mergeCell ref="P42:P43"/>
    <mergeCell ref="P44:P45"/>
    <mergeCell ref="R83:R84"/>
    <mergeCell ref="R74:R75"/>
    <mergeCell ref="H83:H84"/>
    <mergeCell ref="D83:D84"/>
    <mergeCell ref="C83:C84"/>
    <mergeCell ref="B83:B84"/>
    <mergeCell ref="A83:A84"/>
    <mergeCell ref="O69:O73"/>
    <mergeCell ref="O74:O75"/>
    <mergeCell ref="O76:O79"/>
    <mergeCell ref="O80:O81"/>
    <mergeCell ref="O83:O84"/>
    <mergeCell ref="H76:H79"/>
    <mergeCell ref="D76:D79"/>
    <mergeCell ref="A76:A79"/>
    <mergeCell ref="H80:H81"/>
    <mergeCell ref="D80:D81"/>
    <mergeCell ref="C80:C81"/>
    <mergeCell ref="B80:B81"/>
    <mergeCell ref="A80:A81"/>
    <mergeCell ref="B76:B79"/>
    <mergeCell ref="H69:H73"/>
    <mergeCell ref="A69:A73"/>
    <mergeCell ref="B69:B73"/>
    <mergeCell ref="T69:T73"/>
    <mergeCell ref="T74:T75"/>
    <mergeCell ref="T76:T79"/>
    <mergeCell ref="T80:T81"/>
    <mergeCell ref="T83:T84"/>
    <mergeCell ref="C76:C79"/>
    <mergeCell ref="P69:P73"/>
    <mergeCell ref="P74:P75"/>
    <mergeCell ref="P76:P79"/>
    <mergeCell ref="P80:P81"/>
    <mergeCell ref="P83:P84"/>
    <mergeCell ref="S69:S73"/>
    <mergeCell ref="S74:S75"/>
    <mergeCell ref="S76:S79"/>
    <mergeCell ref="S80:S81"/>
    <mergeCell ref="S83:S84"/>
    <mergeCell ref="Q69:Q73"/>
    <mergeCell ref="R69:R73"/>
    <mergeCell ref="Q74:Q75"/>
    <mergeCell ref="Q76:Q79"/>
    <mergeCell ref="R76:R79"/>
    <mergeCell ref="Q80:Q81"/>
    <mergeCell ref="R80:R81"/>
    <mergeCell ref="Q83:Q84"/>
    <mergeCell ref="O86:O87"/>
    <mergeCell ref="P86:P87"/>
    <mergeCell ref="S86:S87"/>
    <mergeCell ref="T86:T87"/>
    <mergeCell ref="H86:H87"/>
    <mergeCell ref="D86:D87"/>
    <mergeCell ref="C86:C87"/>
    <mergeCell ref="B86:B87"/>
    <mergeCell ref="A86:A87"/>
    <mergeCell ref="Q86:Q87"/>
    <mergeCell ref="R86:R87"/>
  </mergeCells>
  <conditionalFormatting sqref="AC29 AC37:AC39 AC48:AC49 AC53 AC57">
    <cfRule type="beginsWith" dxfId="1" priority="12" operator="beginsWith" text="W">
      <formula>LEFT(AC29,LEN("W"))="W"</formula>
    </cfRule>
  </conditionalFormatting>
  <conditionalFormatting sqref="AE1:AE1048576">
    <cfRule type="beginsWith" dxfId="0" priority="1" operator="beginsWith" text="W">
      <formula>LEFT(AE1,LEN("W"))="W"</formula>
    </cfRule>
  </conditionalFormatting>
  <pageMargins left="0.7" right="0.7" top="0.75" bottom="0.75" header="0.3" footer="0.3"/>
  <pageSetup scale="60" orientation="landscape"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F3"/>
  <sheetViews>
    <sheetView showGridLines="0" workbookViewId="0">
      <selection activeCell="A2" sqref="A2"/>
    </sheetView>
  </sheetViews>
  <sheetFormatPr defaultRowHeight="15"/>
  <cols>
    <col min="1" max="1" width="5.7109375" bestFit="1" customWidth="1"/>
    <col min="2" max="2" width="7.7109375" bestFit="1" customWidth="1"/>
    <col min="3" max="3" width="9.85546875" customWidth="1"/>
    <col min="4" max="4" width="12.28515625" bestFit="1" customWidth="1"/>
    <col min="5" max="5" width="29.85546875" bestFit="1" customWidth="1"/>
    <col min="6" max="6" width="20.140625" bestFit="1" customWidth="1"/>
    <col min="7" max="7" width="10.5703125" customWidth="1"/>
    <col min="8" max="8" width="8" bestFit="1" customWidth="1"/>
    <col min="10" max="10" width="7.5703125" bestFit="1" customWidth="1"/>
    <col min="11" max="11" width="9" customWidth="1"/>
    <col min="12" max="12" width="8.85546875" bestFit="1" customWidth="1"/>
    <col min="13" max="13" width="8.42578125" bestFit="1" customWidth="1"/>
    <col min="14" max="14" width="9.85546875" bestFit="1" customWidth="1"/>
    <col min="15" max="15" width="10.7109375" customWidth="1"/>
    <col min="16" max="16" width="11" customWidth="1"/>
    <col min="17" max="17" width="9.28515625" bestFit="1" customWidth="1"/>
    <col min="18" max="18" width="8.85546875" bestFit="1" customWidth="1"/>
    <col min="19" max="20" width="9.85546875" bestFit="1" customWidth="1"/>
    <col min="21" max="21" width="9.28515625" bestFit="1" customWidth="1"/>
    <col min="22" max="22" width="9" bestFit="1" customWidth="1"/>
    <col min="23" max="23" width="12.140625" customWidth="1"/>
    <col min="24" max="24" width="13.5703125" customWidth="1"/>
    <col min="25" max="25" width="16.7109375" customWidth="1"/>
    <col min="26" max="26" width="6.85546875" bestFit="1" customWidth="1"/>
    <col min="27" max="27" width="7.28515625" bestFit="1" customWidth="1"/>
    <col min="28" max="28" width="7" bestFit="1" customWidth="1"/>
    <col min="29" max="30" width="8" bestFit="1" customWidth="1"/>
    <col min="31" max="31" width="8.28515625" customWidth="1"/>
    <col min="32" max="32" width="17" customWidth="1"/>
  </cols>
  <sheetData>
    <row r="1" spans="1:32" s="8" customFormat="1" ht="60.75" customHeight="1">
      <c r="A1" s="12" t="s">
        <v>0</v>
      </c>
      <c r="B1" s="12" t="s">
        <v>1</v>
      </c>
      <c r="C1" s="12" t="s">
        <v>2</v>
      </c>
      <c r="D1" s="12" t="s">
        <v>3</v>
      </c>
      <c r="E1" s="12" t="s">
        <v>4</v>
      </c>
      <c r="F1" s="13" t="s">
        <v>5</v>
      </c>
      <c r="G1" s="12" t="s">
        <v>6</v>
      </c>
      <c r="H1" s="13" t="s">
        <v>7</v>
      </c>
      <c r="I1" s="13" t="s">
        <v>8</v>
      </c>
      <c r="J1" s="13" t="s">
        <v>9</v>
      </c>
      <c r="K1" s="13" t="s">
        <v>10</v>
      </c>
      <c r="L1" s="12" t="s">
        <v>11</v>
      </c>
      <c r="M1" s="12" t="s">
        <v>12</v>
      </c>
      <c r="N1" s="12" t="s">
        <v>55</v>
      </c>
      <c r="O1" s="12" t="s">
        <v>54</v>
      </c>
      <c r="P1" s="12" t="s">
        <v>13</v>
      </c>
      <c r="Q1" s="12" t="s">
        <v>14</v>
      </c>
      <c r="R1" s="12" t="s">
        <v>15</v>
      </c>
      <c r="S1" s="12" t="s">
        <v>16</v>
      </c>
      <c r="T1" s="12" t="s">
        <v>17</v>
      </c>
      <c r="U1" s="12" t="s">
        <v>18</v>
      </c>
      <c r="V1" s="12" t="s">
        <v>56</v>
      </c>
      <c r="W1" s="12" t="s">
        <v>19</v>
      </c>
      <c r="X1" s="12" t="s">
        <v>20</v>
      </c>
      <c r="Y1" s="12" t="s">
        <v>58</v>
      </c>
      <c r="Z1" s="12" t="s">
        <v>21</v>
      </c>
      <c r="AA1" s="12" t="s">
        <v>22</v>
      </c>
      <c r="AB1" s="12" t="s">
        <v>23</v>
      </c>
      <c r="AC1" s="12" t="s">
        <v>24</v>
      </c>
      <c r="AD1" s="12" t="s">
        <v>25</v>
      </c>
      <c r="AE1" s="12" t="s">
        <v>26</v>
      </c>
      <c r="AF1" s="12" t="s">
        <v>27</v>
      </c>
    </row>
    <row r="2" spans="1:32">
      <c r="A2" s="4">
        <v>1</v>
      </c>
      <c r="B2" s="4" t="s">
        <v>28</v>
      </c>
      <c r="C2" s="4" t="s">
        <v>29</v>
      </c>
      <c r="D2" s="1" t="s">
        <v>30</v>
      </c>
      <c r="E2" s="4" t="s">
        <v>31</v>
      </c>
      <c r="F2" s="4" t="s">
        <v>32</v>
      </c>
      <c r="G2" s="5" t="s">
        <v>33</v>
      </c>
      <c r="H2" s="2">
        <v>7495</v>
      </c>
      <c r="I2" s="5" t="s">
        <v>34</v>
      </c>
      <c r="J2" s="5" t="s">
        <v>34</v>
      </c>
      <c r="K2" s="5" t="s">
        <v>34</v>
      </c>
      <c r="L2" s="4" t="s">
        <v>35</v>
      </c>
      <c r="M2" s="4" t="s">
        <v>36</v>
      </c>
      <c r="N2" s="6">
        <v>43178</v>
      </c>
      <c r="O2" s="6">
        <v>43187</v>
      </c>
      <c r="P2" s="6">
        <v>43186</v>
      </c>
      <c r="Q2" s="7">
        <f>P2-O2</f>
        <v>-1</v>
      </c>
      <c r="R2" s="6"/>
      <c r="S2" s="6">
        <v>43186</v>
      </c>
      <c r="T2" s="6">
        <v>43186</v>
      </c>
      <c r="U2" s="7">
        <f>T2-S2</f>
        <v>0</v>
      </c>
      <c r="V2" s="9">
        <v>221.69</v>
      </c>
      <c r="W2" s="10">
        <f>V2*H2/10000000</f>
        <v>0.16615665500000001</v>
      </c>
      <c r="X2" s="3"/>
      <c r="Y2" s="11" t="s">
        <v>57</v>
      </c>
      <c r="Z2" s="3"/>
      <c r="AA2" s="3"/>
      <c r="AB2" s="3"/>
      <c r="AC2" s="3"/>
      <c r="AD2" s="3"/>
      <c r="AE2" s="3"/>
      <c r="AF2" s="4"/>
    </row>
    <row r="3" spans="1:32">
      <c r="A3" s="4">
        <v>2</v>
      </c>
      <c r="B3" s="4" t="s">
        <v>28</v>
      </c>
      <c r="C3" s="5" t="s">
        <v>29</v>
      </c>
      <c r="D3" s="1" t="s">
        <v>37</v>
      </c>
      <c r="E3" s="4" t="s">
        <v>38</v>
      </c>
      <c r="F3" s="4" t="s">
        <v>39</v>
      </c>
      <c r="G3" s="5" t="s">
        <v>33</v>
      </c>
      <c r="H3" s="2">
        <v>7495</v>
      </c>
      <c r="I3" s="5" t="s">
        <v>34</v>
      </c>
      <c r="J3" s="5" t="s">
        <v>34</v>
      </c>
      <c r="K3" s="5" t="s">
        <v>34</v>
      </c>
      <c r="L3" s="4" t="s">
        <v>35</v>
      </c>
      <c r="M3" s="4" t="s">
        <v>36</v>
      </c>
      <c r="N3" s="6">
        <v>43178</v>
      </c>
      <c r="O3" s="6">
        <v>43187</v>
      </c>
      <c r="P3" s="6">
        <v>43186</v>
      </c>
      <c r="Q3" s="7">
        <f>P3-O3</f>
        <v>-1</v>
      </c>
      <c r="R3" s="6"/>
      <c r="S3" s="6">
        <v>43186</v>
      </c>
      <c r="T3" s="6">
        <v>43186</v>
      </c>
      <c r="U3" s="7">
        <f>T3-S3</f>
        <v>0</v>
      </c>
      <c r="V3" s="9">
        <v>221.69</v>
      </c>
      <c r="W3" s="10">
        <f>V3*H3/10000000</f>
        <v>0.16615665500000001</v>
      </c>
      <c r="X3" s="3"/>
      <c r="Y3" s="11" t="s">
        <v>57</v>
      </c>
      <c r="Z3" s="3"/>
      <c r="AA3" s="3"/>
      <c r="AB3" s="3"/>
      <c r="AC3" s="3"/>
      <c r="AD3" s="3"/>
      <c r="AE3" s="3"/>
      <c r="AF3" s="4"/>
    </row>
  </sheetData>
  <pageMargins left="0.7" right="0.7" top="0.75" bottom="0.75" header="0.3" footer="0.3"/>
  <pageSetup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J14"/>
  <sheetViews>
    <sheetView workbookViewId="0">
      <selection activeCell="J1" sqref="J1:J3"/>
    </sheetView>
  </sheetViews>
  <sheetFormatPr defaultRowHeight="17.25" customHeight="1"/>
  <cols>
    <col min="1" max="1" width="6" bestFit="1" customWidth="1"/>
    <col min="2" max="2" width="12" bestFit="1" customWidth="1"/>
    <col min="3" max="3" width="36.85546875" bestFit="1" customWidth="1"/>
    <col min="4" max="4" width="28.5703125" bestFit="1" customWidth="1"/>
    <col min="5" max="5" width="13.42578125" bestFit="1" customWidth="1"/>
    <col min="6" max="6" width="11.5703125" bestFit="1" customWidth="1"/>
    <col min="7" max="7" width="8" bestFit="1" customWidth="1"/>
    <col min="8" max="9" width="12.140625" bestFit="1" customWidth="1"/>
    <col min="10" max="10" width="12" customWidth="1"/>
  </cols>
  <sheetData>
    <row r="1" spans="1:10" ht="26.25" customHeight="1">
      <c r="A1" s="2404" t="s">
        <v>161</v>
      </c>
      <c r="B1" s="2404" t="s">
        <v>162</v>
      </c>
      <c r="C1" s="2404" t="s">
        <v>163</v>
      </c>
      <c r="D1" s="2404" t="s">
        <v>164</v>
      </c>
      <c r="E1" s="26" t="s">
        <v>165</v>
      </c>
      <c r="F1" s="26" t="s">
        <v>166</v>
      </c>
      <c r="G1" s="27" t="s">
        <v>167</v>
      </c>
      <c r="H1" s="28" t="s">
        <v>168</v>
      </c>
      <c r="I1" s="28" t="s">
        <v>169</v>
      </c>
      <c r="J1" s="2403" t="s">
        <v>187</v>
      </c>
    </row>
    <row r="2" spans="1:10" ht="17.25" customHeight="1">
      <c r="A2" s="2405"/>
      <c r="B2" s="2405"/>
      <c r="C2" s="2405"/>
      <c r="D2" s="2405"/>
      <c r="E2" s="26" t="s">
        <v>170</v>
      </c>
      <c r="F2" s="26" t="s">
        <v>170</v>
      </c>
      <c r="G2" s="29" t="s">
        <v>170</v>
      </c>
      <c r="H2" s="26" t="s">
        <v>171</v>
      </c>
      <c r="I2" s="26" t="s">
        <v>171</v>
      </c>
      <c r="J2" s="2403"/>
    </row>
    <row r="3" spans="1:10" ht="17.25" customHeight="1">
      <c r="A3" s="2267">
        <v>2</v>
      </c>
      <c r="B3" s="2340" t="s">
        <v>172</v>
      </c>
      <c r="C3" s="19" t="s">
        <v>154</v>
      </c>
      <c r="D3" s="19" t="s">
        <v>173</v>
      </c>
      <c r="E3" s="20">
        <v>361.28734338642585</v>
      </c>
      <c r="F3" s="21">
        <v>8.201257142857143</v>
      </c>
      <c r="G3" s="20">
        <f>E3-F3</f>
        <v>353.08608624356873</v>
      </c>
      <c r="H3" s="19" t="s">
        <v>174</v>
      </c>
      <c r="I3" s="19" t="str">
        <f>H3</f>
        <v>CUST. SCOPE</v>
      </c>
      <c r="J3" s="2" t="s">
        <v>57</v>
      </c>
    </row>
    <row r="4" spans="1:10" ht="17.25" customHeight="1">
      <c r="A4" s="2267"/>
      <c r="B4" s="2340"/>
      <c r="C4" s="19" t="s">
        <v>155</v>
      </c>
      <c r="D4" s="19" t="s">
        <v>175</v>
      </c>
      <c r="E4" s="20">
        <v>361.18234338642588</v>
      </c>
      <c r="F4" s="21">
        <v>8.1988571428571433</v>
      </c>
      <c r="G4" s="20">
        <f t="shared" ref="G4:G8" si="0">E4-F4</f>
        <v>352.98348624356873</v>
      </c>
      <c r="H4" s="19" t="s">
        <v>174</v>
      </c>
      <c r="I4" s="19" t="str">
        <f t="shared" ref="I4:I11" si="1">H4</f>
        <v>CUST. SCOPE</v>
      </c>
      <c r="J4" s="2" t="s">
        <v>57</v>
      </c>
    </row>
    <row r="5" spans="1:10" ht="17.25" customHeight="1">
      <c r="A5" s="2267"/>
      <c r="B5" s="2340"/>
      <c r="C5" s="19" t="s">
        <v>156</v>
      </c>
      <c r="D5" s="19" t="s">
        <v>176</v>
      </c>
      <c r="E5" s="20">
        <v>445.67639423065475</v>
      </c>
      <c r="F5" s="21">
        <v>14.080605405405406</v>
      </c>
      <c r="G5" s="20">
        <f t="shared" si="0"/>
        <v>431.59578882524937</v>
      </c>
      <c r="H5" s="19" t="s">
        <v>174</v>
      </c>
      <c r="I5" s="19" t="str">
        <f t="shared" si="1"/>
        <v>CUST. SCOPE</v>
      </c>
      <c r="J5" s="2" t="s">
        <v>57</v>
      </c>
    </row>
    <row r="6" spans="1:10" ht="17.25" customHeight="1">
      <c r="A6" s="2267"/>
      <c r="B6" s="2340"/>
      <c r="C6" s="19" t="s">
        <v>157</v>
      </c>
      <c r="D6" s="19" t="s">
        <v>177</v>
      </c>
      <c r="E6" s="20">
        <v>445.67639423065475</v>
      </c>
      <c r="F6" s="21">
        <v>14.080605405405406</v>
      </c>
      <c r="G6" s="20">
        <f t="shared" si="0"/>
        <v>431.59578882524937</v>
      </c>
      <c r="H6" s="19" t="s">
        <v>174</v>
      </c>
      <c r="I6" s="19" t="str">
        <f t="shared" si="1"/>
        <v>CUST. SCOPE</v>
      </c>
      <c r="J6" s="2" t="s">
        <v>57</v>
      </c>
    </row>
    <row r="7" spans="1:10" ht="17.25" customHeight="1">
      <c r="A7" s="2267"/>
      <c r="B7" s="2340"/>
      <c r="C7" s="19" t="s">
        <v>158</v>
      </c>
      <c r="D7" s="19" t="s">
        <v>178</v>
      </c>
      <c r="E7" s="20">
        <v>247.41424168342854</v>
      </c>
      <c r="F7" s="21">
        <v>5.7387428571428574</v>
      </c>
      <c r="G7" s="20">
        <f t="shared" si="0"/>
        <v>241.67549882628569</v>
      </c>
      <c r="H7" s="19" t="s">
        <v>174</v>
      </c>
      <c r="I7" s="19" t="str">
        <f t="shared" si="1"/>
        <v>CUST. SCOPE</v>
      </c>
      <c r="J7" s="2" t="s">
        <v>57</v>
      </c>
    </row>
    <row r="8" spans="1:10" ht="17.25" customHeight="1">
      <c r="A8" s="2267"/>
      <c r="B8" s="2340"/>
      <c r="C8" s="19" t="s">
        <v>159</v>
      </c>
      <c r="D8" s="19" t="s">
        <v>178</v>
      </c>
      <c r="E8" s="20">
        <v>366.4363320444611</v>
      </c>
      <c r="F8" s="21">
        <v>6.184342857142858</v>
      </c>
      <c r="G8" s="20">
        <f t="shared" si="0"/>
        <v>360.25198918731826</v>
      </c>
      <c r="H8" s="19" t="s">
        <v>174</v>
      </c>
      <c r="I8" s="19" t="str">
        <f t="shared" si="1"/>
        <v>CUST. SCOPE</v>
      </c>
      <c r="J8" s="2" t="s">
        <v>57</v>
      </c>
    </row>
    <row r="9" spans="1:10" ht="17.25" customHeight="1">
      <c r="A9" s="2267"/>
      <c r="B9" s="2340"/>
      <c r="C9" s="21" t="s">
        <v>160</v>
      </c>
      <c r="D9" s="21" t="s">
        <v>176</v>
      </c>
      <c r="E9" s="21">
        <v>442.82215311096365</v>
      </c>
      <c r="F9" s="21">
        <v>6.1859142857142864</v>
      </c>
      <c r="G9" s="20">
        <f>E9-F9</f>
        <v>436.63623882524939</v>
      </c>
      <c r="H9" s="19" t="s">
        <v>174</v>
      </c>
      <c r="I9" s="19" t="str">
        <f t="shared" si="1"/>
        <v>CUST. SCOPE</v>
      </c>
      <c r="J9" s="2" t="s">
        <v>57</v>
      </c>
    </row>
    <row r="10" spans="1:10" ht="17.25" customHeight="1">
      <c r="A10" s="2267"/>
      <c r="B10" s="2340"/>
      <c r="C10" s="21" t="s">
        <v>179</v>
      </c>
      <c r="D10" s="21" t="s">
        <v>177</v>
      </c>
      <c r="E10" s="21">
        <v>442.82215311096365</v>
      </c>
      <c r="F10" s="21">
        <v>6.1859142857142864</v>
      </c>
      <c r="G10" s="20">
        <f>E10-F10</f>
        <v>436.63623882524939</v>
      </c>
      <c r="H10" s="19" t="s">
        <v>174</v>
      </c>
      <c r="I10" s="19" t="str">
        <f t="shared" si="1"/>
        <v>CUST. SCOPE</v>
      </c>
      <c r="J10" s="2" t="s">
        <v>57</v>
      </c>
    </row>
    <row r="11" spans="1:10" ht="17.25" customHeight="1">
      <c r="A11" s="2267"/>
      <c r="B11" s="2340"/>
      <c r="C11" s="22" t="s">
        <v>180</v>
      </c>
      <c r="D11" s="19"/>
      <c r="E11" s="23">
        <v>435.00389913333339</v>
      </c>
      <c r="F11" s="23">
        <v>2.9184000000000001</v>
      </c>
      <c r="G11" s="24">
        <f>E11-F11</f>
        <v>432.08549913333337</v>
      </c>
      <c r="H11" s="19" t="s">
        <v>174</v>
      </c>
      <c r="I11" s="19" t="str">
        <f t="shared" si="1"/>
        <v>CUST. SCOPE</v>
      </c>
      <c r="J11" s="2" t="s">
        <v>57</v>
      </c>
    </row>
    <row r="12" spans="1:10" ht="17.25" customHeight="1">
      <c r="A12" s="2267"/>
      <c r="B12" s="2340"/>
      <c r="C12" s="2402"/>
      <c r="D12" s="19" t="s">
        <v>181</v>
      </c>
      <c r="E12" s="19">
        <v>384.1</v>
      </c>
      <c r="F12" s="19"/>
      <c r="G12" s="25"/>
      <c r="H12" s="19"/>
      <c r="I12" s="19"/>
    </row>
    <row r="13" spans="1:10" ht="17.25" customHeight="1">
      <c r="A13" s="2267"/>
      <c r="B13" s="2340"/>
      <c r="C13" s="2402"/>
      <c r="D13" s="19" t="s">
        <v>182</v>
      </c>
      <c r="E13" s="19">
        <v>298439639</v>
      </c>
      <c r="F13" s="19"/>
      <c r="G13" s="25"/>
      <c r="H13" s="19"/>
      <c r="I13" s="19"/>
    </row>
    <row r="14" spans="1:10" ht="17.25" customHeight="1">
      <c r="A14" s="2267"/>
      <c r="B14" s="2340"/>
      <c r="C14" s="2402"/>
      <c r="D14" s="19" t="s">
        <v>183</v>
      </c>
      <c r="E14" s="19">
        <f>E13/10^7</f>
        <v>29.843963899999999</v>
      </c>
      <c r="F14" s="19"/>
      <c r="G14" s="25"/>
      <c r="H14" s="19"/>
      <c r="I14" s="19"/>
    </row>
  </sheetData>
  <mergeCells count="8">
    <mergeCell ref="A3:A14"/>
    <mergeCell ref="B3:B14"/>
    <mergeCell ref="C12:C14"/>
    <mergeCell ref="J1:J2"/>
    <mergeCell ref="A1:A2"/>
    <mergeCell ref="B1:B2"/>
    <mergeCell ref="C1:C2"/>
    <mergeCell ref="D1:D2"/>
  </mergeCells>
  <pageMargins left="0.7" right="0.7" top="0.75" bottom="0.75" header="0.3" footer="0.3"/>
  <pageSetup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J6"/>
  <sheetViews>
    <sheetView workbookViewId="0">
      <selection activeCell="E21" sqref="E21"/>
    </sheetView>
  </sheetViews>
  <sheetFormatPr defaultRowHeight="15"/>
  <cols>
    <col min="1" max="1" width="6" bestFit="1" customWidth="1"/>
    <col min="2" max="2" width="20.85546875" bestFit="1" customWidth="1"/>
    <col min="3" max="3" width="11.7109375" bestFit="1" customWidth="1"/>
    <col min="4" max="4" width="28.5703125" bestFit="1" customWidth="1"/>
    <col min="5" max="5" width="13.42578125" bestFit="1" customWidth="1"/>
    <col min="6" max="6" width="11.5703125" bestFit="1" customWidth="1"/>
    <col min="7" max="7" width="6.5703125" bestFit="1" customWidth="1"/>
    <col min="8" max="9" width="9.28515625" bestFit="1" customWidth="1"/>
  </cols>
  <sheetData>
    <row r="1" spans="1:10" ht="15" customHeight="1">
      <c r="A1" s="2404" t="s">
        <v>161</v>
      </c>
      <c r="B1" s="2404" t="s">
        <v>162</v>
      </c>
      <c r="C1" s="2404" t="s">
        <v>163</v>
      </c>
      <c r="D1" s="2404" t="s">
        <v>164</v>
      </c>
      <c r="E1" s="26" t="s">
        <v>165</v>
      </c>
      <c r="F1" s="26" t="s">
        <v>166</v>
      </c>
      <c r="G1" s="27" t="s">
        <v>167</v>
      </c>
      <c r="H1" s="28" t="s">
        <v>168</v>
      </c>
      <c r="I1" s="28" t="s">
        <v>169</v>
      </c>
      <c r="J1" s="2403" t="s">
        <v>187</v>
      </c>
    </row>
    <row r="2" spans="1:10">
      <c r="A2" s="2405"/>
      <c r="B2" s="2405"/>
      <c r="C2" s="2405"/>
      <c r="D2" s="2405"/>
      <c r="E2" s="26" t="s">
        <v>170</v>
      </c>
      <c r="F2" s="26" t="s">
        <v>170</v>
      </c>
      <c r="G2" s="29" t="s">
        <v>170</v>
      </c>
      <c r="H2" s="26" t="s">
        <v>171</v>
      </c>
      <c r="I2" s="26" t="s">
        <v>171</v>
      </c>
      <c r="J2" s="2403"/>
    </row>
    <row r="3" spans="1:10">
      <c r="A3" s="2415">
        <v>1</v>
      </c>
      <c r="B3" s="2415" t="s">
        <v>184</v>
      </c>
      <c r="C3" s="2415" t="s">
        <v>185</v>
      </c>
      <c r="D3" s="18" t="s">
        <v>186</v>
      </c>
      <c r="E3" s="30">
        <v>495.99976419877123</v>
      </c>
      <c r="F3" s="30">
        <v>18.496934457402599</v>
      </c>
      <c r="G3" s="31">
        <f>E3-F3</f>
        <v>477.50282974136866</v>
      </c>
      <c r="H3" s="30">
        <v>137.76181720975256</v>
      </c>
      <c r="I3" s="30">
        <v>34.002625000000002</v>
      </c>
      <c r="J3" s="2" t="s">
        <v>57</v>
      </c>
    </row>
    <row r="4" spans="1:10">
      <c r="A4" s="2276"/>
      <c r="B4" s="2276"/>
      <c r="C4" s="2276"/>
      <c r="D4" s="18" t="s">
        <v>181</v>
      </c>
      <c r="E4" s="30">
        <f>E3</f>
        <v>495.99976419877123</v>
      </c>
      <c r="F4" s="2406"/>
      <c r="G4" s="2407"/>
      <c r="H4" s="2407"/>
      <c r="I4" s="2408"/>
    </row>
    <row r="5" spans="1:10">
      <c r="A5" s="2276"/>
      <c r="B5" s="2276"/>
      <c r="C5" s="2276"/>
      <c r="D5" s="19" t="s">
        <v>182</v>
      </c>
      <c r="E5" s="32">
        <f>E4*530000</f>
        <v>262879875.02534875</v>
      </c>
      <c r="F5" s="2409"/>
      <c r="G5" s="2410"/>
      <c r="H5" s="2410"/>
      <c r="I5" s="2411"/>
    </row>
    <row r="6" spans="1:10">
      <c r="A6" s="2271"/>
      <c r="B6" s="2271"/>
      <c r="C6" s="2271"/>
      <c r="D6" s="19" t="s">
        <v>183</v>
      </c>
      <c r="E6" s="30">
        <f>E5/10^7</f>
        <v>26.287987502534875</v>
      </c>
      <c r="F6" s="2412"/>
      <c r="G6" s="2413"/>
      <c r="H6" s="2413"/>
      <c r="I6" s="2414"/>
    </row>
  </sheetData>
  <mergeCells count="9">
    <mergeCell ref="J1:J2"/>
    <mergeCell ref="F4:I6"/>
    <mergeCell ref="A1:A2"/>
    <mergeCell ref="B1:B2"/>
    <mergeCell ref="C1:C2"/>
    <mergeCell ref="D1:D2"/>
    <mergeCell ref="A3:A6"/>
    <mergeCell ref="B3:B6"/>
    <mergeCell ref="C3:C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6"/>
  <sheetViews>
    <sheetView workbookViewId="0">
      <selection activeCell="A3" sqref="A3"/>
    </sheetView>
  </sheetViews>
  <sheetFormatPr defaultColWidth="36" defaultRowHeight="15"/>
  <cols>
    <col min="1" max="1" width="6" bestFit="1" customWidth="1"/>
    <col min="2" max="2" width="15.7109375" bestFit="1" customWidth="1"/>
    <col min="3" max="3" width="36.140625" bestFit="1" customWidth="1"/>
    <col min="4" max="4" width="10.7109375" customWidth="1"/>
    <col min="5" max="5" width="10.42578125" customWidth="1"/>
    <col min="6" max="6" width="8.5703125" customWidth="1"/>
    <col min="7" max="7" width="9.28515625" customWidth="1"/>
    <col min="8" max="8" width="8.85546875" customWidth="1"/>
    <col min="9" max="9" width="8.85546875" style="147" customWidth="1"/>
    <col min="10" max="10" width="8.140625" customWidth="1"/>
    <col min="11" max="11" width="7.42578125" customWidth="1"/>
    <col min="12" max="12" width="7.140625" customWidth="1"/>
    <col min="13" max="13" width="8.5703125" customWidth="1"/>
    <col min="14" max="14" width="8.140625" customWidth="1"/>
    <col min="15" max="15" width="8.5703125" customWidth="1"/>
    <col min="16" max="16" width="8.28515625" customWidth="1"/>
    <col min="17" max="20" width="10.7109375" customWidth="1"/>
    <col min="21" max="21" width="10.7109375" hidden="1" customWidth="1"/>
    <col min="22" max="22" width="10.7109375" customWidth="1"/>
    <col min="23" max="23" width="10.7109375" hidden="1" customWidth="1"/>
    <col min="24" max="24" width="10.7109375" customWidth="1"/>
    <col min="25" max="25" width="10.7109375" hidden="1" customWidth="1"/>
    <col min="26" max="27" width="10.7109375" customWidth="1"/>
    <col min="28" max="28" width="12.5703125" hidden="1" customWidth="1"/>
    <col min="29" max="29" width="8.85546875" customWidth="1"/>
    <col min="30" max="30" width="8.5703125" customWidth="1"/>
    <col min="31" max="31" width="9" customWidth="1"/>
    <col min="32" max="32" width="8.85546875" customWidth="1"/>
    <col min="33" max="33" width="7.85546875" bestFit="1" customWidth="1"/>
    <col min="34" max="34" width="8.42578125" bestFit="1" customWidth="1"/>
    <col min="35" max="35" width="8.42578125" customWidth="1"/>
    <col min="36" max="36" width="13.85546875" customWidth="1"/>
    <col min="37" max="37" width="38.28515625" bestFit="1" customWidth="1"/>
  </cols>
  <sheetData>
    <row r="1" spans="1:37" ht="50.25" customHeight="1">
      <c r="A1" s="2419" t="s">
        <v>161</v>
      </c>
      <c r="B1" s="2420" t="s">
        <v>163</v>
      </c>
      <c r="C1" s="2420" t="s">
        <v>164</v>
      </c>
      <c r="D1" s="57" t="s">
        <v>238</v>
      </c>
      <c r="E1" s="57" t="s">
        <v>239</v>
      </c>
      <c r="F1" s="57" t="s">
        <v>240</v>
      </c>
      <c r="G1" s="57" t="s">
        <v>241</v>
      </c>
      <c r="H1" s="58" t="s">
        <v>242</v>
      </c>
      <c r="I1" s="57" t="s">
        <v>243</v>
      </c>
      <c r="J1" s="59" t="s">
        <v>244</v>
      </c>
      <c r="K1" s="59" t="s">
        <v>245</v>
      </c>
      <c r="L1" s="60" t="s">
        <v>246</v>
      </c>
      <c r="M1" s="59" t="s">
        <v>247</v>
      </c>
      <c r="N1" s="59" t="s">
        <v>248</v>
      </c>
      <c r="O1" s="59" t="s">
        <v>249</v>
      </c>
      <c r="P1" s="57" t="s">
        <v>250</v>
      </c>
      <c r="Q1" s="59" t="s">
        <v>165</v>
      </c>
      <c r="R1" s="59" t="s">
        <v>166</v>
      </c>
      <c r="S1" s="59" t="s">
        <v>167</v>
      </c>
      <c r="T1" s="59" t="s">
        <v>251</v>
      </c>
      <c r="U1" s="59" t="s">
        <v>252</v>
      </c>
      <c r="V1" s="59" t="s">
        <v>253</v>
      </c>
      <c r="W1" s="59" t="s">
        <v>254</v>
      </c>
      <c r="X1" s="59" t="s">
        <v>255</v>
      </c>
      <c r="Y1" s="59" t="s">
        <v>256</v>
      </c>
      <c r="Z1" s="2421" t="s">
        <v>257</v>
      </c>
      <c r="AA1" s="59" t="s">
        <v>258</v>
      </c>
      <c r="AB1" s="57" t="s">
        <v>259</v>
      </c>
      <c r="AC1" s="2417" t="s">
        <v>260</v>
      </c>
      <c r="AD1" s="2417" t="s">
        <v>261</v>
      </c>
      <c r="AE1" s="2417" t="s">
        <v>262</v>
      </c>
      <c r="AF1" s="2417" t="s">
        <v>260</v>
      </c>
      <c r="AG1" s="2417" t="s">
        <v>261</v>
      </c>
      <c r="AH1" s="2417" t="s">
        <v>262</v>
      </c>
      <c r="AI1" s="2417" t="s">
        <v>263</v>
      </c>
      <c r="AJ1" s="2417" t="s">
        <v>264</v>
      </c>
      <c r="AK1" s="2416" t="s">
        <v>265</v>
      </c>
    </row>
    <row r="2" spans="1:37" ht="31.5" customHeight="1">
      <c r="A2" s="2419"/>
      <c r="B2" s="2420"/>
      <c r="C2" s="2420"/>
      <c r="D2" s="58" t="s">
        <v>266</v>
      </c>
      <c r="E2" s="58" t="s">
        <v>266</v>
      </c>
      <c r="F2" s="58" t="s">
        <v>267</v>
      </c>
      <c r="G2" s="58" t="s">
        <v>268</v>
      </c>
      <c r="H2" s="61" t="s">
        <v>268</v>
      </c>
      <c r="I2" s="61" t="s">
        <v>269</v>
      </c>
      <c r="J2" s="62" t="s">
        <v>170</v>
      </c>
      <c r="K2" s="62" t="s">
        <v>170</v>
      </c>
      <c r="L2" s="62" t="s">
        <v>170</v>
      </c>
      <c r="M2" s="62" t="s">
        <v>170</v>
      </c>
      <c r="N2" s="62" t="s">
        <v>170</v>
      </c>
      <c r="O2" s="62" t="s">
        <v>170</v>
      </c>
      <c r="P2" s="62" t="s">
        <v>170</v>
      </c>
      <c r="Q2" s="62" t="s">
        <v>170</v>
      </c>
      <c r="R2" s="62" t="s">
        <v>170</v>
      </c>
      <c r="S2" s="62" t="s">
        <v>170</v>
      </c>
      <c r="T2" s="63" t="s">
        <v>171</v>
      </c>
      <c r="U2" s="63" t="s">
        <v>171</v>
      </c>
      <c r="V2" s="63" t="s">
        <v>171</v>
      </c>
      <c r="W2" s="63" t="s">
        <v>171</v>
      </c>
      <c r="X2" s="63" t="s">
        <v>171</v>
      </c>
      <c r="Y2" s="57" t="s">
        <v>267</v>
      </c>
      <c r="Z2" s="2422"/>
      <c r="AA2" s="57" t="s">
        <v>267</v>
      </c>
      <c r="AB2" s="64" t="s">
        <v>270</v>
      </c>
      <c r="AC2" s="2418"/>
      <c r="AD2" s="2418"/>
      <c r="AE2" s="2418"/>
      <c r="AF2" s="2418"/>
      <c r="AG2" s="2418"/>
      <c r="AH2" s="2418"/>
      <c r="AI2" s="2418"/>
      <c r="AJ2" s="2418"/>
      <c r="AK2" s="2416"/>
    </row>
    <row r="3" spans="1:37" ht="15" customHeight="1">
      <c r="A3" s="65" t="s">
        <v>271</v>
      </c>
      <c r="B3" s="66" t="s">
        <v>53</v>
      </c>
      <c r="C3" s="66" t="s">
        <v>272</v>
      </c>
      <c r="D3" s="67">
        <v>4.4460827137757573</v>
      </c>
      <c r="E3" s="67">
        <v>2.2755000000000001</v>
      </c>
      <c r="F3" s="68">
        <f t="shared" ref="F3:F15" si="0">E3/D3</f>
        <v>0.51179884552070598</v>
      </c>
      <c r="G3" s="69">
        <v>182.10709081159473</v>
      </c>
      <c r="H3" s="70">
        <v>36.205000000000013</v>
      </c>
      <c r="I3" s="71">
        <f t="shared" ref="I3:I15" si="1">G3+H3</f>
        <v>218.31209081159474</v>
      </c>
      <c r="J3" s="69">
        <v>1.4503846153846158</v>
      </c>
      <c r="K3" s="72">
        <v>9.0512500000000031</v>
      </c>
      <c r="L3" s="69">
        <v>5.5641634615384614</v>
      </c>
      <c r="M3" s="69">
        <v>1.0915604540579738</v>
      </c>
      <c r="N3" s="69">
        <v>1.8210709081159473</v>
      </c>
      <c r="O3" s="69">
        <v>16.313891816231898</v>
      </c>
      <c r="P3" s="67">
        <v>0</v>
      </c>
      <c r="Q3" s="73">
        <f t="shared" ref="Q3:Q15" si="2">SUM(I3:P3)</f>
        <v>253.60441206692366</v>
      </c>
      <c r="R3" s="69">
        <v>6.5396153846153844</v>
      </c>
      <c r="S3" s="73">
        <f t="shared" ref="S3:S15" si="3">Q3+R3</f>
        <v>260.14402745153905</v>
      </c>
      <c r="T3" s="74">
        <v>61.977414400418922</v>
      </c>
      <c r="U3" s="69"/>
      <c r="V3" s="69">
        <v>24.25</v>
      </c>
      <c r="W3" s="16"/>
      <c r="X3" s="69">
        <v>6.5250000000000004</v>
      </c>
      <c r="Y3" s="75"/>
      <c r="Z3" s="69">
        <f t="shared" ref="Z3:Z15" si="4">SUM(T3:X3)</f>
        <v>92.752414400418928</v>
      </c>
      <c r="AA3" s="75">
        <f t="shared" ref="AA3:AA15" si="5">G3/Q3</f>
        <v>0.71807540463270214</v>
      </c>
      <c r="AB3" s="75"/>
      <c r="AC3" s="76">
        <v>1.4999999999999999E-2</v>
      </c>
      <c r="AD3" s="76">
        <v>1.4999999999999999E-2</v>
      </c>
      <c r="AE3" s="76">
        <v>1.4999999999999999E-2</v>
      </c>
      <c r="AF3" s="67">
        <f>-AC3*$S$3</f>
        <v>-3.9021604117730857</v>
      </c>
      <c r="AG3" s="67">
        <f t="shared" ref="AG3:AH15" si="6">AF3</f>
        <v>-3.9021604117730857</v>
      </c>
      <c r="AH3" s="67">
        <f t="shared" si="6"/>
        <v>-3.9021604117730857</v>
      </c>
      <c r="AI3" s="67">
        <f t="shared" ref="AI3:AI15" si="7">S3+AF3+AG3+AH3</f>
        <v>248.4375462162198</v>
      </c>
      <c r="AJ3" s="77">
        <f t="shared" ref="AJ3:AJ15" si="8">G3/(AI3-R3)</f>
        <v>0.75282616178460549</v>
      </c>
      <c r="AK3" s="78" t="s">
        <v>273</v>
      </c>
    </row>
    <row r="4" spans="1:37" s="95" customFormat="1" ht="15.75" thickBot="1">
      <c r="A4" s="79" t="s">
        <v>274</v>
      </c>
      <c r="B4" s="80" t="s">
        <v>50</v>
      </c>
      <c r="C4" s="80" t="s">
        <v>275</v>
      </c>
      <c r="D4" s="81">
        <v>4.4460827137757573</v>
      </c>
      <c r="E4" s="81">
        <v>2.2755000000000001</v>
      </c>
      <c r="F4" s="82">
        <f t="shared" si="0"/>
        <v>0.51179884552070598</v>
      </c>
      <c r="G4" s="83">
        <v>182.10709081159473</v>
      </c>
      <c r="H4" s="83">
        <v>36.205000000000013</v>
      </c>
      <c r="I4" s="84">
        <f t="shared" si="1"/>
        <v>218.31209081159474</v>
      </c>
      <c r="J4" s="85">
        <v>1.4503846153846158</v>
      </c>
      <c r="K4" s="86">
        <v>9.0512500000000031</v>
      </c>
      <c r="L4" s="85">
        <v>5.5641634615384614</v>
      </c>
      <c r="M4" s="85">
        <v>1.0915604540579738</v>
      </c>
      <c r="N4" s="85">
        <v>1.8210709081159473</v>
      </c>
      <c r="O4" s="85">
        <v>16.313891816231898</v>
      </c>
      <c r="P4" s="87">
        <v>0</v>
      </c>
      <c r="Q4" s="88">
        <f t="shared" si="2"/>
        <v>253.60441206692366</v>
      </c>
      <c r="R4" s="89">
        <v>6.5396153846153844</v>
      </c>
      <c r="S4" s="88">
        <f t="shared" si="3"/>
        <v>260.14402745153905</v>
      </c>
      <c r="T4" s="85">
        <v>61.977414400418922</v>
      </c>
      <c r="U4" s="90"/>
      <c r="V4" s="89">
        <v>24.25</v>
      </c>
      <c r="W4" s="90"/>
      <c r="X4" s="89">
        <v>6.5250000000000004</v>
      </c>
      <c r="Y4" s="91"/>
      <c r="Z4" s="89">
        <f t="shared" si="4"/>
        <v>92.752414400418928</v>
      </c>
      <c r="AA4" s="92">
        <f t="shared" si="5"/>
        <v>0.71807540463270214</v>
      </c>
      <c r="AB4" s="91"/>
      <c r="AC4" s="93">
        <v>1.4999999999999999E-2</v>
      </c>
      <c r="AD4" s="93">
        <v>1.4999999999999999E-2</v>
      </c>
      <c r="AE4" s="93">
        <v>1.4999999999999999E-2</v>
      </c>
      <c r="AF4" s="87">
        <f>-AC4*$S$3</f>
        <v>-3.9021604117730857</v>
      </c>
      <c r="AG4" s="87">
        <f t="shared" si="6"/>
        <v>-3.9021604117730857</v>
      </c>
      <c r="AH4" s="87">
        <f t="shared" si="6"/>
        <v>-3.9021604117730857</v>
      </c>
      <c r="AI4" s="87">
        <f t="shared" si="7"/>
        <v>248.4375462162198</v>
      </c>
      <c r="AJ4" s="94">
        <f t="shared" si="8"/>
        <v>0.75282616178460549</v>
      </c>
      <c r="AK4" s="90" t="s">
        <v>273</v>
      </c>
    </row>
    <row r="5" spans="1:37" ht="16.5" thickTop="1" thickBot="1">
      <c r="A5" s="96" t="s">
        <v>276</v>
      </c>
      <c r="B5" s="97" t="s">
        <v>277</v>
      </c>
      <c r="C5" s="97" t="s">
        <v>278</v>
      </c>
      <c r="D5" s="98">
        <v>2.6625040524628227</v>
      </c>
      <c r="E5" s="98">
        <v>1.5640000000000001</v>
      </c>
      <c r="F5" s="99">
        <f t="shared" si="0"/>
        <v>0.58741694629658736</v>
      </c>
      <c r="G5" s="100">
        <v>121.35882743802908</v>
      </c>
      <c r="H5" s="101">
        <v>37.019999999999996</v>
      </c>
      <c r="I5" s="102">
        <f t="shared" si="1"/>
        <v>158.37882743802908</v>
      </c>
      <c r="J5" s="103">
        <v>1.4815384615384612</v>
      </c>
      <c r="K5" s="98">
        <v>9.254999999999999</v>
      </c>
      <c r="L5" s="103">
        <v>3.7538113186813189</v>
      </c>
      <c r="M5" s="103">
        <v>0.79189413719014545</v>
      </c>
      <c r="N5" s="103">
        <v>1.2135882743802908</v>
      </c>
      <c r="O5" s="103">
        <v>15.384176548760578</v>
      </c>
      <c r="P5" s="104">
        <v>0</v>
      </c>
      <c r="Q5" s="105">
        <f t="shared" si="2"/>
        <v>190.25883617857988</v>
      </c>
      <c r="R5" s="103">
        <v>12.278461538461539</v>
      </c>
      <c r="S5" s="105">
        <f t="shared" si="3"/>
        <v>202.53729771704141</v>
      </c>
      <c r="T5" s="103">
        <v>75.999442903244415</v>
      </c>
      <c r="U5" s="97"/>
      <c r="V5" s="103">
        <v>28</v>
      </c>
      <c r="W5" s="97"/>
      <c r="X5" s="103">
        <v>9.24</v>
      </c>
      <c r="Y5" s="97"/>
      <c r="Z5" s="103">
        <f t="shared" si="4"/>
        <v>113.23944290324441</v>
      </c>
      <c r="AA5" s="106">
        <f t="shared" si="5"/>
        <v>0.63786171447049012</v>
      </c>
      <c r="AB5" s="97"/>
      <c r="AC5" s="107">
        <v>1.4999999999999999E-2</v>
      </c>
      <c r="AD5" s="107">
        <v>1.4999999999999999E-2</v>
      </c>
      <c r="AE5" s="107">
        <v>1.4999999999999999E-2</v>
      </c>
      <c r="AF5" s="104">
        <f t="shared" ref="AF5:AF15" si="9">-AC5*S5</f>
        <v>-3.0380594657556212</v>
      </c>
      <c r="AG5" s="104">
        <f t="shared" si="6"/>
        <v>-3.0380594657556212</v>
      </c>
      <c r="AH5" s="104">
        <f t="shared" si="6"/>
        <v>-3.0380594657556212</v>
      </c>
      <c r="AI5" s="104">
        <f t="shared" si="7"/>
        <v>193.42311931977454</v>
      </c>
      <c r="AJ5" s="108">
        <f t="shared" si="8"/>
        <v>0.66995532147870229</v>
      </c>
      <c r="AK5" s="109" t="s">
        <v>273</v>
      </c>
    </row>
    <row r="6" spans="1:37" ht="15.75" thickTop="1">
      <c r="A6" s="110" t="s">
        <v>279</v>
      </c>
      <c r="B6" s="111" t="s">
        <v>101</v>
      </c>
      <c r="C6" s="111" t="s">
        <v>280</v>
      </c>
      <c r="D6" s="112">
        <v>1.9660254349999999</v>
      </c>
      <c r="E6" s="112">
        <v>1.2529999999999997</v>
      </c>
      <c r="F6" s="113">
        <f t="shared" si="0"/>
        <v>0.63732644435497843</v>
      </c>
      <c r="G6" s="114">
        <v>102.43309580230002</v>
      </c>
      <c r="H6" s="115">
        <v>23.690000000000008</v>
      </c>
      <c r="I6" s="116">
        <f t="shared" si="1"/>
        <v>126.12309580230003</v>
      </c>
      <c r="J6" s="114">
        <v>0.94759999999999955</v>
      </c>
      <c r="K6" s="112">
        <v>5.9225000000000021</v>
      </c>
      <c r="L6" s="114">
        <v>4.7972884615384617</v>
      </c>
      <c r="M6" s="114">
        <v>0.63061547901150017</v>
      </c>
      <c r="N6" s="114">
        <v>1.0243309580230002</v>
      </c>
      <c r="O6" s="114">
        <v>10.340161916046004</v>
      </c>
      <c r="P6" s="117">
        <v>0</v>
      </c>
      <c r="Q6" s="118">
        <f t="shared" si="2"/>
        <v>149.78559261691902</v>
      </c>
      <c r="R6" s="114">
        <v>8.4748076923076923</v>
      </c>
      <c r="S6" s="118">
        <f t="shared" si="3"/>
        <v>158.26040030922672</v>
      </c>
      <c r="T6" s="114">
        <v>89.447550752850717</v>
      </c>
      <c r="U6" s="111"/>
      <c r="V6" s="114">
        <v>19</v>
      </c>
      <c r="W6" s="111"/>
      <c r="X6" s="114">
        <v>6.23</v>
      </c>
      <c r="Y6" s="111"/>
      <c r="Z6" s="114">
        <f t="shared" si="4"/>
        <v>114.67755075285072</v>
      </c>
      <c r="AA6" s="119">
        <f t="shared" si="5"/>
        <v>0.68386480977696984</v>
      </c>
      <c r="AB6" s="111"/>
      <c r="AC6" s="120">
        <v>1.4999999999999999E-2</v>
      </c>
      <c r="AD6" s="120">
        <v>1.4999999999999999E-2</v>
      </c>
      <c r="AE6" s="120">
        <v>1.4999999999999999E-2</v>
      </c>
      <c r="AF6" s="117">
        <f t="shared" si="9"/>
        <v>-2.3739060046384006</v>
      </c>
      <c r="AG6" s="117">
        <f t="shared" si="6"/>
        <v>-2.3739060046384006</v>
      </c>
      <c r="AH6" s="117">
        <f t="shared" si="6"/>
        <v>-2.3739060046384006</v>
      </c>
      <c r="AI6" s="117">
        <f t="shared" si="7"/>
        <v>151.13868229531153</v>
      </c>
      <c r="AJ6" s="121">
        <f t="shared" si="8"/>
        <v>0.71800304097547107</v>
      </c>
      <c r="AK6" s="122" t="s">
        <v>273</v>
      </c>
    </row>
    <row r="7" spans="1:37" ht="15.75" thickBot="1">
      <c r="A7" s="123" t="s">
        <v>281</v>
      </c>
      <c r="B7" s="124" t="s">
        <v>102</v>
      </c>
      <c r="C7" s="124" t="s">
        <v>282</v>
      </c>
      <c r="D7" s="125">
        <v>2.3693967599999999</v>
      </c>
      <c r="E7" s="125">
        <v>1.395</v>
      </c>
      <c r="F7" s="82">
        <f t="shared" si="0"/>
        <v>0.58875745233989429</v>
      </c>
      <c r="G7" s="126">
        <v>115.19237493480001</v>
      </c>
      <c r="H7" s="127">
        <v>24.210000000000008</v>
      </c>
      <c r="I7" s="84">
        <f t="shared" si="1"/>
        <v>139.40237493480004</v>
      </c>
      <c r="J7" s="89">
        <v>0.96840000000000082</v>
      </c>
      <c r="K7" s="125">
        <v>6.052500000000002</v>
      </c>
      <c r="L7" s="89">
        <v>4.9037884615384613</v>
      </c>
      <c r="M7" s="89">
        <v>0.69701187467400005</v>
      </c>
      <c r="N7" s="89">
        <v>1.1519237493480001</v>
      </c>
      <c r="O7" s="89">
        <v>10.777347498696003</v>
      </c>
      <c r="P7" s="87">
        <v>0</v>
      </c>
      <c r="Q7" s="88">
        <f t="shared" si="2"/>
        <v>163.95334651905648</v>
      </c>
      <c r="R7" s="89">
        <v>8.4748076923076923</v>
      </c>
      <c r="S7" s="88">
        <f t="shared" si="3"/>
        <v>172.42815421136419</v>
      </c>
      <c r="T7" s="89">
        <v>90.540706645085251</v>
      </c>
      <c r="U7" s="124"/>
      <c r="V7" s="89">
        <v>19</v>
      </c>
      <c r="W7" s="124"/>
      <c r="X7" s="89">
        <v>6.23</v>
      </c>
      <c r="Y7" s="124"/>
      <c r="Z7" s="89">
        <f t="shared" si="4"/>
        <v>115.77070664508526</v>
      </c>
      <c r="AA7" s="92">
        <f t="shared" si="5"/>
        <v>0.70259239826746123</v>
      </c>
      <c r="AB7" s="124"/>
      <c r="AC7" s="93">
        <v>1.4999999999999999E-2</v>
      </c>
      <c r="AD7" s="93">
        <v>1.4999999999999999E-2</v>
      </c>
      <c r="AE7" s="93">
        <v>1.4999999999999999E-2</v>
      </c>
      <c r="AF7" s="87">
        <f t="shared" si="9"/>
        <v>-2.5864223131704627</v>
      </c>
      <c r="AG7" s="87">
        <f t="shared" si="6"/>
        <v>-2.5864223131704627</v>
      </c>
      <c r="AH7" s="87">
        <f t="shared" si="6"/>
        <v>-2.5864223131704627</v>
      </c>
      <c r="AI7" s="87">
        <f t="shared" si="7"/>
        <v>164.66888727185281</v>
      </c>
      <c r="AJ7" s="94">
        <f t="shared" si="8"/>
        <v>0.73749514222871593</v>
      </c>
      <c r="AK7" s="90" t="s">
        <v>273</v>
      </c>
    </row>
    <row r="8" spans="1:37" ht="15.75" thickTop="1">
      <c r="A8" s="110" t="s">
        <v>283</v>
      </c>
      <c r="B8" s="111" t="s">
        <v>81</v>
      </c>
      <c r="C8" s="111" t="s">
        <v>95</v>
      </c>
      <c r="D8" s="112">
        <v>4.514339189857143</v>
      </c>
      <c r="E8" s="112">
        <v>2.9590000000000005</v>
      </c>
      <c r="F8" s="113">
        <f t="shared" si="0"/>
        <v>0.65546691897859777</v>
      </c>
      <c r="G8" s="128">
        <v>225.3111013374143</v>
      </c>
      <c r="H8" s="115">
        <v>47.490000000000009</v>
      </c>
      <c r="I8" s="116">
        <f t="shared" si="1"/>
        <v>272.80110133741431</v>
      </c>
      <c r="J8" s="114">
        <v>1.8996000000000013</v>
      </c>
      <c r="K8" s="112">
        <v>11.872500000000002</v>
      </c>
      <c r="L8" s="114">
        <v>4.4209400769230776</v>
      </c>
      <c r="M8" s="114">
        <v>1.3640055066870718</v>
      </c>
      <c r="N8" s="114">
        <v>2.2531110133741432</v>
      </c>
      <c r="O8" s="114">
        <v>21.127722026748287</v>
      </c>
      <c r="P8" s="117">
        <v>5.2987623284489995</v>
      </c>
      <c r="Q8" s="118">
        <f t="shared" si="2"/>
        <v>321.037742289596</v>
      </c>
      <c r="R8" s="114">
        <v>9.8094230769230766</v>
      </c>
      <c r="S8" s="118">
        <f t="shared" si="3"/>
        <v>330.84716536651905</v>
      </c>
      <c r="T8" s="114">
        <v>51.861460819927345</v>
      </c>
      <c r="U8" s="111"/>
      <c r="V8" s="114">
        <v>13.65</v>
      </c>
      <c r="W8" s="111"/>
      <c r="X8" s="114">
        <v>7.3174999999999999</v>
      </c>
      <c r="Y8" s="111"/>
      <c r="Z8" s="114">
        <f t="shared" si="4"/>
        <v>72.828960819927346</v>
      </c>
      <c r="AA8" s="119">
        <f t="shared" si="5"/>
        <v>0.7018212242913473</v>
      </c>
      <c r="AB8" s="111"/>
      <c r="AC8" s="120">
        <v>1.4999999999999999E-2</v>
      </c>
      <c r="AD8" s="120">
        <v>1.4999999999999999E-2</v>
      </c>
      <c r="AE8" s="120">
        <v>1.4999999999999999E-2</v>
      </c>
      <c r="AF8" s="117">
        <f t="shared" si="9"/>
        <v>-4.9627074804977855</v>
      </c>
      <c r="AG8" s="117">
        <f t="shared" si="6"/>
        <v>-4.9627074804977855</v>
      </c>
      <c r="AH8" s="117">
        <f t="shared" si="6"/>
        <v>-4.9627074804977855</v>
      </c>
      <c r="AI8" s="117">
        <f t="shared" si="7"/>
        <v>315.9590429250257</v>
      </c>
      <c r="AJ8" s="121">
        <f t="shared" si="8"/>
        <v>0.73595094270965711</v>
      </c>
      <c r="AK8" s="122" t="s">
        <v>273</v>
      </c>
    </row>
    <row r="9" spans="1:37">
      <c r="A9" s="55" t="s">
        <v>284</v>
      </c>
      <c r="B9" s="16" t="s">
        <v>84</v>
      </c>
      <c r="C9" s="16" t="s">
        <v>96</v>
      </c>
      <c r="D9" s="129">
        <v>4.514339189857143</v>
      </c>
      <c r="E9" s="129">
        <v>2.9590000000000005</v>
      </c>
      <c r="F9" s="68">
        <f t="shared" si="0"/>
        <v>0.65546691897859777</v>
      </c>
      <c r="G9" s="70">
        <v>225.3111013374143</v>
      </c>
      <c r="H9" s="130">
        <v>47.490000000000009</v>
      </c>
      <c r="I9" s="71">
        <f t="shared" si="1"/>
        <v>272.80110133741431</v>
      </c>
      <c r="J9" s="69">
        <v>1.8996000000000013</v>
      </c>
      <c r="K9" s="129">
        <v>11.872500000000002</v>
      </c>
      <c r="L9" s="69">
        <v>4.4209400769230776</v>
      </c>
      <c r="M9" s="69">
        <v>1.3640055066870718</v>
      </c>
      <c r="N9" s="69">
        <v>2.2531110133741432</v>
      </c>
      <c r="O9" s="69">
        <v>21.127722026748287</v>
      </c>
      <c r="P9" s="67">
        <v>5.2987623284489995</v>
      </c>
      <c r="Q9" s="73">
        <f t="shared" si="2"/>
        <v>321.037742289596</v>
      </c>
      <c r="R9" s="69">
        <v>9.8094230769230766</v>
      </c>
      <c r="S9" s="73">
        <f t="shared" si="3"/>
        <v>330.84716536651905</v>
      </c>
      <c r="T9" s="69">
        <v>51.861460819927345</v>
      </c>
      <c r="U9" s="16"/>
      <c r="V9" s="69">
        <v>13.65</v>
      </c>
      <c r="W9" s="16"/>
      <c r="X9" s="69">
        <v>7.3174999999999999</v>
      </c>
      <c r="Y9" s="16"/>
      <c r="Z9" s="69">
        <f t="shared" si="4"/>
        <v>72.828960819927346</v>
      </c>
      <c r="AA9" s="75">
        <f t="shared" si="5"/>
        <v>0.7018212242913473</v>
      </c>
      <c r="AB9" s="16"/>
      <c r="AC9" s="76">
        <v>1.4999999999999999E-2</v>
      </c>
      <c r="AD9" s="76">
        <v>1.4999999999999999E-2</v>
      </c>
      <c r="AE9" s="76">
        <v>1.4999999999999999E-2</v>
      </c>
      <c r="AF9" s="67">
        <f t="shared" si="9"/>
        <v>-4.9627074804977855</v>
      </c>
      <c r="AG9" s="67">
        <f t="shared" si="6"/>
        <v>-4.9627074804977855</v>
      </c>
      <c r="AH9" s="67">
        <f t="shared" si="6"/>
        <v>-4.9627074804977855</v>
      </c>
      <c r="AI9" s="67">
        <f t="shared" si="7"/>
        <v>315.9590429250257</v>
      </c>
      <c r="AJ9" s="77">
        <f t="shared" si="8"/>
        <v>0.73595094270965711</v>
      </c>
      <c r="AK9" s="78" t="s">
        <v>273</v>
      </c>
    </row>
    <row r="10" spans="1:37">
      <c r="A10" s="55" t="s">
        <v>285</v>
      </c>
      <c r="B10" s="16" t="s">
        <v>82</v>
      </c>
      <c r="C10" s="16" t="s">
        <v>95</v>
      </c>
      <c r="D10" s="129">
        <v>4.6616016898571431</v>
      </c>
      <c r="E10" s="129">
        <v>3.0290000000000004</v>
      </c>
      <c r="F10" s="68">
        <f t="shared" si="0"/>
        <v>0.6497766650871506</v>
      </c>
      <c r="G10" s="70">
        <v>231.77963721241431</v>
      </c>
      <c r="H10" s="130">
        <v>50.230000000000004</v>
      </c>
      <c r="I10" s="71">
        <f t="shared" si="1"/>
        <v>282.0096372124143</v>
      </c>
      <c r="J10" s="69">
        <v>2.0091999999999999</v>
      </c>
      <c r="K10" s="129">
        <v>12.557500000000001</v>
      </c>
      <c r="L10" s="69">
        <v>4.4734400769230778</v>
      </c>
      <c r="M10" s="69">
        <v>1.4100481860620719</v>
      </c>
      <c r="N10" s="69">
        <v>2.317796372124143</v>
      </c>
      <c r="O10" s="69">
        <v>22.216092744248286</v>
      </c>
      <c r="P10" s="67">
        <v>5.5900805500533748</v>
      </c>
      <c r="Q10" s="73">
        <f t="shared" si="2"/>
        <v>332.58379514182519</v>
      </c>
      <c r="R10" s="69">
        <v>9.8094230769230766</v>
      </c>
      <c r="S10" s="73">
        <f t="shared" si="3"/>
        <v>342.39321821874825</v>
      </c>
      <c r="T10" s="69">
        <v>54.361460819927345</v>
      </c>
      <c r="U10" s="16"/>
      <c r="V10" s="69">
        <v>13.65</v>
      </c>
      <c r="W10" s="16"/>
      <c r="X10" s="69">
        <v>7.3174999999999999</v>
      </c>
      <c r="Y10" s="16"/>
      <c r="Z10" s="69">
        <f t="shared" si="4"/>
        <v>75.328960819927346</v>
      </c>
      <c r="AA10" s="75">
        <f t="shared" si="5"/>
        <v>0.69690598459126818</v>
      </c>
      <c r="AB10" s="16"/>
      <c r="AC10" s="76">
        <v>1.4999999999999999E-2</v>
      </c>
      <c r="AD10" s="76">
        <v>1.4999999999999999E-2</v>
      </c>
      <c r="AE10" s="76">
        <v>1.4999999999999999E-2</v>
      </c>
      <c r="AF10" s="67">
        <f t="shared" si="9"/>
        <v>-5.1358982732812235</v>
      </c>
      <c r="AG10" s="67">
        <f t="shared" si="6"/>
        <v>-5.1358982732812235</v>
      </c>
      <c r="AH10" s="67">
        <f t="shared" si="6"/>
        <v>-5.1358982732812235</v>
      </c>
      <c r="AI10" s="67">
        <f t="shared" si="7"/>
        <v>326.9855233989046</v>
      </c>
      <c r="AJ10" s="77">
        <f t="shared" si="8"/>
        <v>0.73076009502961614</v>
      </c>
      <c r="AK10" s="78" t="s">
        <v>273</v>
      </c>
    </row>
    <row r="11" spans="1:37" ht="15.75" thickBot="1">
      <c r="A11" s="123" t="s">
        <v>286</v>
      </c>
      <c r="B11" s="124" t="s">
        <v>83</v>
      </c>
      <c r="C11" s="124" t="s">
        <v>96</v>
      </c>
      <c r="D11" s="125">
        <v>4.6616016898571431</v>
      </c>
      <c r="E11" s="125">
        <v>3.0290000000000004</v>
      </c>
      <c r="F11" s="82">
        <f t="shared" si="0"/>
        <v>0.6497766650871506</v>
      </c>
      <c r="G11" s="126">
        <v>231.77963721241431</v>
      </c>
      <c r="H11" s="127">
        <v>50.230000000000004</v>
      </c>
      <c r="I11" s="84">
        <f t="shared" si="1"/>
        <v>282.0096372124143</v>
      </c>
      <c r="J11" s="89">
        <v>2.0091999999999999</v>
      </c>
      <c r="K11" s="125">
        <v>12.557500000000001</v>
      </c>
      <c r="L11" s="89">
        <v>4.4734400769230778</v>
      </c>
      <c r="M11" s="89">
        <v>1.4100481860620719</v>
      </c>
      <c r="N11" s="89">
        <v>2.317796372124143</v>
      </c>
      <c r="O11" s="89">
        <v>22.216092744248286</v>
      </c>
      <c r="P11" s="87">
        <v>5.5900805500533748</v>
      </c>
      <c r="Q11" s="88">
        <f t="shared" si="2"/>
        <v>332.58379514182519</v>
      </c>
      <c r="R11" s="89">
        <v>9.8094230769230766</v>
      </c>
      <c r="S11" s="88">
        <f t="shared" si="3"/>
        <v>342.39321821874825</v>
      </c>
      <c r="T11" s="89">
        <v>54.361460819927345</v>
      </c>
      <c r="U11" s="124"/>
      <c r="V11" s="89">
        <v>13.65</v>
      </c>
      <c r="W11" s="124"/>
      <c r="X11" s="89">
        <v>7.3174999999999999</v>
      </c>
      <c r="Y11" s="124"/>
      <c r="Z11" s="89">
        <f t="shared" si="4"/>
        <v>75.328960819927346</v>
      </c>
      <c r="AA11" s="92">
        <f t="shared" si="5"/>
        <v>0.69690598459126818</v>
      </c>
      <c r="AB11" s="124"/>
      <c r="AC11" s="93">
        <v>1.4999999999999999E-2</v>
      </c>
      <c r="AD11" s="93">
        <v>1.4999999999999999E-2</v>
      </c>
      <c r="AE11" s="93">
        <v>1.4999999999999999E-2</v>
      </c>
      <c r="AF11" s="87">
        <f t="shared" si="9"/>
        <v>-5.1358982732812235</v>
      </c>
      <c r="AG11" s="87">
        <f t="shared" si="6"/>
        <v>-5.1358982732812235</v>
      </c>
      <c r="AH11" s="87">
        <f t="shared" si="6"/>
        <v>-5.1358982732812235</v>
      </c>
      <c r="AI11" s="87">
        <f t="shared" si="7"/>
        <v>326.9855233989046</v>
      </c>
      <c r="AJ11" s="94">
        <f t="shared" si="8"/>
        <v>0.73076009502961614</v>
      </c>
      <c r="AK11" s="90" t="s">
        <v>273</v>
      </c>
    </row>
    <row r="12" spans="1:37" ht="15.75" thickTop="1">
      <c r="A12" s="110" t="s">
        <v>287</v>
      </c>
      <c r="B12" s="111" t="s">
        <v>126</v>
      </c>
      <c r="C12" s="111" t="s">
        <v>288</v>
      </c>
      <c r="D12" s="112">
        <v>3.6003959673913042</v>
      </c>
      <c r="E12" s="112">
        <v>1.679</v>
      </c>
      <c r="F12" s="113">
        <f t="shared" si="0"/>
        <v>0.46633759597740382</v>
      </c>
      <c r="G12" s="128">
        <v>145.00617245467393</v>
      </c>
      <c r="H12" s="115">
        <v>21.25</v>
      </c>
      <c r="I12" s="116">
        <f t="shared" si="1"/>
        <v>166.25617245467393</v>
      </c>
      <c r="J12" s="114">
        <v>0.85</v>
      </c>
      <c r="K12" s="112">
        <v>5.3125</v>
      </c>
      <c r="L12" s="114">
        <v>4.7976230769230765</v>
      </c>
      <c r="M12" s="114">
        <v>0.83128086227336984</v>
      </c>
      <c r="N12" s="114">
        <v>1.4500617245467393</v>
      </c>
      <c r="O12" s="114">
        <v>10.337623449093478</v>
      </c>
      <c r="P12" s="117"/>
      <c r="Q12" s="118">
        <f t="shared" si="2"/>
        <v>189.8352615675106</v>
      </c>
      <c r="R12" s="131">
        <v>0</v>
      </c>
      <c r="S12" s="118">
        <f t="shared" si="3"/>
        <v>189.8352615675106</v>
      </c>
      <c r="T12" s="114">
        <v>4.5</v>
      </c>
      <c r="U12" s="111"/>
      <c r="V12" s="114">
        <v>12.5</v>
      </c>
      <c r="W12" s="111"/>
      <c r="X12" s="114">
        <v>0.98</v>
      </c>
      <c r="Y12" s="111"/>
      <c r="Z12" s="114">
        <f t="shared" si="4"/>
        <v>17.98</v>
      </c>
      <c r="AA12" s="119">
        <f t="shared" si="5"/>
        <v>0.76385267551100233</v>
      </c>
      <c r="AB12" s="111"/>
      <c r="AC12" s="120">
        <v>1.4999999999999999E-2</v>
      </c>
      <c r="AD12" s="120">
        <v>1.4999999999999999E-2</v>
      </c>
      <c r="AE12" s="120">
        <v>1.4999999999999999E-2</v>
      </c>
      <c r="AF12" s="117">
        <f t="shared" si="9"/>
        <v>-2.8475289235126588</v>
      </c>
      <c r="AG12" s="117">
        <f t="shared" si="6"/>
        <v>-2.8475289235126588</v>
      </c>
      <c r="AH12" s="117">
        <f t="shared" si="6"/>
        <v>-2.8475289235126588</v>
      </c>
      <c r="AI12" s="117">
        <f t="shared" si="7"/>
        <v>181.29267479697259</v>
      </c>
      <c r="AJ12" s="121">
        <f t="shared" si="8"/>
        <v>0.79984573351937438</v>
      </c>
      <c r="AK12" s="122" t="s">
        <v>273</v>
      </c>
    </row>
    <row r="13" spans="1:37" ht="15.75" thickBot="1">
      <c r="A13" s="123" t="s">
        <v>289</v>
      </c>
      <c r="B13" s="124" t="s">
        <v>124</v>
      </c>
      <c r="C13" s="124" t="s">
        <v>290</v>
      </c>
      <c r="D13" s="125">
        <v>3.7608695652173911</v>
      </c>
      <c r="E13" s="125">
        <v>1.73</v>
      </c>
      <c r="F13" s="82">
        <f t="shared" si="0"/>
        <v>0.46</v>
      </c>
      <c r="G13" s="126">
        <v>151.18770869565216</v>
      </c>
      <c r="H13" s="127">
        <v>19.5</v>
      </c>
      <c r="I13" s="84">
        <f t="shared" si="1"/>
        <v>170.68770869565216</v>
      </c>
      <c r="J13" s="89">
        <v>0.78</v>
      </c>
      <c r="K13" s="125">
        <v>4.875</v>
      </c>
      <c r="L13" s="89">
        <v>2.4065423076923076</v>
      </c>
      <c r="M13" s="89">
        <v>0.85343854347826087</v>
      </c>
      <c r="N13" s="89">
        <v>1.5118770869565217</v>
      </c>
      <c r="O13" s="89">
        <v>9.8487541739130435</v>
      </c>
      <c r="P13" s="87"/>
      <c r="Q13" s="88">
        <f t="shared" si="2"/>
        <v>190.96332080769233</v>
      </c>
      <c r="R13" s="132">
        <v>0</v>
      </c>
      <c r="S13" s="88">
        <f t="shared" si="3"/>
        <v>190.96332080769233</v>
      </c>
      <c r="T13" s="125">
        <v>0</v>
      </c>
      <c r="U13" s="125"/>
      <c r="V13" s="125">
        <v>0</v>
      </c>
      <c r="W13" s="125"/>
      <c r="X13" s="125">
        <v>0</v>
      </c>
      <c r="Y13" s="124"/>
      <c r="Z13" s="125">
        <f t="shared" si="4"/>
        <v>0</v>
      </c>
      <c r="AA13" s="92">
        <f t="shared" si="5"/>
        <v>0.79171072254186559</v>
      </c>
      <c r="AB13" s="124"/>
      <c r="AC13" s="93">
        <v>1.4999999999999999E-2</v>
      </c>
      <c r="AD13" s="93">
        <v>1.4999999999999999E-2</v>
      </c>
      <c r="AE13" s="93">
        <v>1.4999999999999999E-2</v>
      </c>
      <c r="AF13" s="87">
        <f t="shared" si="9"/>
        <v>-2.8644498121153847</v>
      </c>
      <c r="AG13" s="87">
        <f t="shared" si="6"/>
        <v>-2.8644498121153847</v>
      </c>
      <c r="AH13" s="87">
        <f t="shared" si="6"/>
        <v>-2.8644498121153847</v>
      </c>
      <c r="AI13" s="87">
        <f t="shared" si="7"/>
        <v>182.36997137134614</v>
      </c>
      <c r="AJ13" s="94">
        <f t="shared" si="8"/>
        <v>0.82901646339462376</v>
      </c>
      <c r="AK13" s="90" t="s">
        <v>273</v>
      </c>
    </row>
    <row r="14" spans="1:37" ht="15.75" thickTop="1">
      <c r="A14" s="56" t="s">
        <v>291</v>
      </c>
      <c r="B14" s="133" t="s">
        <v>70</v>
      </c>
      <c r="C14" s="133" t="s">
        <v>292</v>
      </c>
      <c r="D14" s="134">
        <v>0.66601919999999992</v>
      </c>
      <c r="E14" s="134">
        <v>0.52800000000000002</v>
      </c>
      <c r="F14" s="135">
        <f t="shared" si="0"/>
        <v>0.79276993816394492</v>
      </c>
      <c r="G14" s="136">
        <v>33.844963679999999</v>
      </c>
      <c r="H14" s="137">
        <v>8.1180096000000006</v>
      </c>
      <c r="I14" s="138">
        <f t="shared" si="1"/>
        <v>41.96297328</v>
      </c>
      <c r="J14" s="139">
        <v>0.32472038400000003</v>
      </c>
      <c r="K14" s="134">
        <v>2.0295024000000002</v>
      </c>
      <c r="L14" s="139">
        <v>0.58887692307692308</v>
      </c>
      <c r="M14" s="139">
        <v>0.20981486639999999</v>
      </c>
      <c r="N14" s="139">
        <v>0.33844963680000001</v>
      </c>
      <c r="O14" s="139">
        <v>3.5182026336000001</v>
      </c>
      <c r="P14" s="140"/>
      <c r="Q14" s="141">
        <f t="shared" si="2"/>
        <v>48.972540123876925</v>
      </c>
      <c r="R14" s="142">
        <v>0.41378205128205126</v>
      </c>
      <c r="S14" s="141">
        <f t="shared" si="3"/>
        <v>49.386322175158973</v>
      </c>
      <c r="T14" s="134">
        <v>47.040472881389064</v>
      </c>
      <c r="U14" s="134"/>
      <c r="V14" s="134">
        <v>0.46</v>
      </c>
      <c r="W14" s="134"/>
      <c r="X14" s="134">
        <v>0</v>
      </c>
      <c r="Y14" s="133"/>
      <c r="Z14" s="139">
        <f t="shared" si="4"/>
        <v>47.500472881389065</v>
      </c>
      <c r="AA14" s="143">
        <f t="shared" si="5"/>
        <v>0.69110084129572513</v>
      </c>
      <c r="AB14" s="133"/>
      <c r="AC14" s="144">
        <v>1.4999999999999999E-2</v>
      </c>
      <c r="AD14" s="144">
        <v>1.4999999999999999E-2</v>
      </c>
      <c r="AE14" s="144">
        <v>1.4999999999999999E-2</v>
      </c>
      <c r="AF14" s="140">
        <f t="shared" si="9"/>
        <v>-0.74079483262738455</v>
      </c>
      <c r="AG14" s="140">
        <f t="shared" si="6"/>
        <v>-0.74079483262738455</v>
      </c>
      <c r="AH14" s="140">
        <f t="shared" si="6"/>
        <v>-0.74079483262738455</v>
      </c>
      <c r="AI14" s="140">
        <f t="shared" si="7"/>
        <v>47.163937677276813</v>
      </c>
      <c r="AJ14" s="145">
        <f t="shared" si="8"/>
        <v>0.72395403238360523</v>
      </c>
      <c r="AK14" s="146" t="s">
        <v>273</v>
      </c>
    </row>
    <row r="15" spans="1:37">
      <c r="A15" s="55" t="s">
        <v>293</v>
      </c>
      <c r="B15" s="16" t="s">
        <v>71</v>
      </c>
      <c r="C15" s="16" t="s">
        <v>294</v>
      </c>
      <c r="D15" s="129">
        <v>0.69740378400000003</v>
      </c>
      <c r="E15" s="129">
        <v>0.53200000000000003</v>
      </c>
      <c r="F15" s="68">
        <f t="shared" si="0"/>
        <v>0.7628292421195122</v>
      </c>
      <c r="G15" s="70">
        <v>35.066688683600006</v>
      </c>
      <c r="H15" s="130">
        <v>8.1337018920000013</v>
      </c>
      <c r="I15" s="71">
        <f t="shared" si="1"/>
        <v>43.200390575600011</v>
      </c>
      <c r="J15" s="69">
        <v>0.32534807568000013</v>
      </c>
      <c r="K15" s="129">
        <v>2.0334254730000003</v>
      </c>
      <c r="L15" s="69">
        <v>0.59187692307692308</v>
      </c>
      <c r="M15" s="69">
        <v>0.21600195287800003</v>
      </c>
      <c r="N15" s="69">
        <v>0.35066688683600006</v>
      </c>
      <c r="O15" s="69">
        <v>3.5481294358720006</v>
      </c>
      <c r="P15" s="67"/>
      <c r="Q15" s="73">
        <f t="shared" si="2"/>
        <v>50.265839322942938</v>
      </c>
      <c r="R15" s="72">
        <v>0.41378205128205126</v>
      </c>
      <c r="S15" s="73">
        <f t="shared" si="3"/>
        <v>50.679621374224986</v>
      </c>
      <c r="T15" s="129">
        <v>47.040472881389064</v>
      </c>
      <c r="U15" s="129"/>
      <c r="V15" s="129">
        <v>0.46</v>
      </c>
      <c r="W15" s="129"/>
      <c r="X15" s="129">
        <v>0</v>
      </c>
      <c r="Y15" s="16"/>
      <c r="Z15" s="69">
        <f t="shared" si="4"/>
        <v>47.500472881389065</v>
      </c>
      <c r="AA15" s="75">
        <f t="shared" si="5"/>
        <v>0.69762465236692961</v>
      </c>
      <c r="AB15" s="16"/>
      <c r="AC15" s="76">
        <v>1.4999999999999999E-2</v>
      </c>
      <c r="AD15" s="76">
        <v>1.4999999999999999E-2</v>
      </c>
      <c r="AE15" s="76">
        <v>1.4999999999999999E-2</v>
      </c>
      <c r="AF15" s="67">
        <f t="shared" si="9"/>
        <v>-0.76019432061337477</v>
      </c>
      <c r="AG15" s="67">
        <f t="shared" si="6"/>
        <v>-0.76019432061337477</v>
      </c>
      <c r="AH15" s="67">
        <f t="shared" si="6"/>
        <v>-0.76019432061337477</v>
      </c>
      <c r="AI15" s="67">
        <f t="shared" si="7"/>
        <v>48.399038412384868</v>
      </c>
      <c r="AJ15" s="77">
        <f t="shared" si="8"/>
        <v>0.73078048014817543</v>
      </c>
      <c r="AK15" s="78" t="s">
        <v>273</v>
      </c>
    </row>
    <row r="16" spans="1:37">
      <c r="T16" s="148"/>
      <c r="V16" s="148"/>
      <c r="X16" s="148"/>
      <c r="AA16" s="148"/>
    </row>
  </sheetData>
  <mergeCells count="13">
    <mergeCell ref="AD1:AD2"/>
    <mergeCell ref="A1:A2"/>
    <mergeCell ref="B1:B2"/>
    <mergeCell ref="C1:C2"/>
    <mergeCell ref="Z1:Z2"/>
    <mergeCell ref="AC1:AC2"/>
    <mergeCell ref="AK1:AK2"/>
    <mergeCell ref="AE1:AE2"/>
    <mergeCell ref="AF1:AF2"/>
    <mergeCell ref="AG1:AG2"/>
    <mergeCell ref="AH1:AH2"/>
    <mergeCell ref="AI1:AI2"/>
    <mergeCell ref="AJ1:AJ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5:I32"/>
  <sheetViews>
    <sheetView workbookViewId="0">
      <selection activeCell="A3" sqref="A3"/>
    </sheetView>
  </sheetViews>
  <sheetFormatPr defaultRowHeight="15"/>
  <cols>
    <col min="4" max="4" width="20.140625" bestFit="1" customWidth="1"/>
    <col min="5" max="5" width="20.5703125" bestFit="1" customWidth="1"/>
    <col min="6" max="6" width="14.140625" bestFit="1" customWidth="1"/>
    <col min="7" max="8" width="4" bestFit="1" customWidth="1"/>
  </cols>
  <sheetData>
    <row r="5" spans="4:9">
      <c r="D5" s="197" t="s">
        <v>417</v>
      </c>
      <c r="E5" s="197" t="s">
        <v>418</v>
      </c>
      <c r="F5" s="197" t="s">
        <v>419</v>
      </c>
      <c r="G5" s="197" t="s">
        <v>420</v>
      </c>
      <c r="H5" s="197" t="s">
        <v>421</v>
      </c>
      <c r="I5" s="197" t="s">
        <v>423</v>
      </c>
    </row>
    <row r="6" spans="4:9">
      <c r="D6" s="198" t="s">
        <v>404</v>
      </c>
      <c r="E6" s="198" t="s">
        <v>217</v>
      </c>
      <c r="F6" s="198" t="s">
        <v>409</v>
      </c>
      <c r="G6" s="198" t="s">
        <v>422</v>
      </c>
      <c r="H6" s="198" t="s">
        <v>422</v>
      </c>
      <c r="I6" s="198" t="s">
        <v>34</v>
      </c>
    </row>
    <row r="7" spans="4:9">
      <c r="D7" s="2275" t="s">
        <v>405</v>
      </c>
      <c r="E7" s="198" t="s">
        <v>330</v>
      </c>
      <c r="F7" s="198" t="s">
        <v>410</v>
      </c>
      <c r="G7" s="198" t="s">
        <v>422</v>
      </c>
      <c r="H7" s="198" t="s">
        <v>422</v>
      </c>
      <c r="I7" s="198" t="s">
        <v>34</v>
      </c>
    </row>
    <row r="8" spans="4:9">
      <c r="D8" s="2275"/>
      <c r="E8" s="198" t="s">
        <v>330</v>
      </c>
      <c r="F8" s="198" t="s">
        <v>411</v>
      </c>
      <c r="G8" s="198" t="s">
        <v>422</v>
      </c>
      <c r="H8" s="198" t="s">
        <v>422</v>
      </c>
      <c r="I8" s="198" t="s">
        <v>34</v>
      </c>
    </row>
    <row r="9" spans="4:9">
      <c r="D9" s="198" t="s">
        <v>406</v>
      </c>
      <c r="E9" s="198" t="s">
        <v>415</v>
      </c>
      <c r="F9" s="198" t="s">
        <v>412</v>
      </c>
      <c r="G9" s="198" t="s">
        <v>422</v>
      </c>
      <c r="H9" s="198" t="s">
        <v>422</v>
      </c>
      <c r="I9" s="198" t="s">
        <v>34</v>
      </c>
    </row>
    <row r="10" spans="4:9">
      <c r="D10" s="198" t="s">
        <v>407</v>
      </c>
      <c r="E10" s="198" t="s">
        <v>42</v>
      </c>
      <c r="F10" s="198" t="s">
        <v>413</v>
      </c>
      <c r="G10" s="198" t="s">
        <v>422</v>
      </c>
      <c r="H10" s="198" t="s">
        <v>422</v>
      </c>
      <c r="I10" s="198" t="s">
        <v>34</v>
      </c>
    </row>
    <row r="11" spans="4:9">
      <c r="D11" s="198" t="s">
        <v>408</v>
      </c>
      <c r="E11" s="198" t="s">
        <v>42</v>
      </c>
      <c r="F11" s="198" t="s">
        <v>414</v>
      </c>
      <c r="G11" s="198" t="s">
        <v>422</v>
      </c>
      <c r="H11" s="198" t="s">
        <v>422</v>
      </c>
      <c r="I11" s="198" t="s">
        <v>34</v>
      </c>
    </row>
    <row r="12" spans="4:9">
      <c r="D12" s="2267" t="s">
        <v>399</v>
      </c>
      <c r="E12" s="198" t="s">
        <v>225</v>
      </c>
      <c r="F12" s="198" t="s">
        <v>400</v>
      </c>
      <c r="G12" s="198" t="s">
        <v>48</v>
      </c>
      <c r="H12" s="198" t="s">
        <v>422</v>
      </c>
      <c r="I12" s="198" t="s">
        <v>34</v>
      </c>
    </row>
    <row r="13" spans="4:9">
      <c r="D13" s="2267"/>
      <c r="E13" s="198" t="s">
        <v>225</v>
      </c>
      <c r="F13" s="198" t="s">
        <v>401</v>
      </c>
      <c r="G13" s="198" t="s">
        <v>48</v>
      </c>
      <c r="H13" s="198" t="s">
        <v>422</v>
      </c>
      <c r="I13" s="198" t="s">
        <v>34</v>
      </c>
    </row>
    <row r="18" spans="4:9">
      <c r="E18">
        <f>336960</f>
        <v>336960</v>
      </c>
    </row>
    <row r="19" spans="4:9">
      <c r="E19">
        <f>E18-E18*10%</f>
        <v>303264</v>
      </c>
      <c r="F19">
        <v>11600</v>
      </c>
    </row>
    <row r="20" spans="4:9">
      <c r="F20">
        <v>9062</v>
      </c>
    </row>
    <row r="23" spans="4:9">
      <c r="E23">
        <v>7680</v>
      </c>
    </row>
    <row r="24" spans="4:9">
      <c r="D24" t="s">
        <v>1367</v>
      </c>
      <c r="E24" s="2">
        <f>E23+E23*18%</f>
        <v>9062.4</v>
      </c>
      <c r="F24" s="2" t="s">
        <v>1364</v>
      </c>
      <c r="G24" s="2" t="s">
        <v>1365</v>
      </c>
      <c r="H24" s="2"/>
      <c r="I24" s="2"/>
    </row>
    <row r="25" spans="4:9">
      <c r="E25" s="2" t="s">
        <v>1366</v>
      </c>
      <c r="F25" s="2">
        <v>9740</v>
      </c>
      <c r="G25" s="2"/>
      <c r="H25" s="2"/>
      <c r="I25" s="2"/>
    </row>
    <row r="27" spans="4:9">
      <c r="D27" t="s">
        <v>1368</v>
      </c>
      <c r="F27">
        <v>10385</v>
      </c>
      <c r="I27">
        <f>10385-9740</f>
        <v>645</v>
      </c>
    </row>
    <row r="28" spans="4:9">
      <c r="E28" t="s">
        <v>1369</v>
      </c>
    </row>
    <row r="29" spans="4:9">
      <c r="E29" t="s">
        <v>1370</v>
      </c>
    </row>
    <row r="30" spans="4:9">
      <c r="E30" t="s">
        <v>1371</v>
      </c>
    </row>
    <row r="31" spans="4:9">
      <c r="E31" t="s">
        <v>1372</v>
      </c>
    </row>
    <row r="32" spans="4:9">
      <c r="E32" t="s">
        <v>1373</v>
      </c>
    </row>
  </sheetData>
  <mergeCells count="2">
    <mergeCell ref="D7:D8"/>
    <mergeCell ref="D12:D13"/>
  </mergeCells>
  <pageMargins left="0.7" right="0.7" top="0.75" bottom="0.75" header="0.3" footer="0.3"/>
  <pageSetup orientation="portrait"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1:P7"/>
  <sheetViews>
    <sheetView topLeftCell="E1" workbookViewId="0">
      <selection activeCell="A3" sqref="A3"/>
    </sheetView>
  </sheetViews>
  <sheetFormatPr defaultRowHeight="15"/>
  <cols>
    <col min="6" max="6" width="15.42578125" bestFit="1" customWidth="1"/>
    <col min="8" max="8" width="23.140625" bestFit="1" customWidth="1"/>
    <col min="11" max="11" width="20.140625" bestFit="1" customWidth="1"/>
    <col min="12" max="12" width="11.7109375" bestFit="1" customWidth="1"/>
    <col min="13" max="13" width="27.85546875" bestFit="1" customWidth="1"/>
    <col min="15" max="15" width="21.42578125" bestFit="1" customWidth="1"/>
  </cols>
  <sheetData>
    <row r="1" spans="6:16" ht="15.75" thickBot="1"/>
    <row r="2" spans="6:16" ht="15.75" thickBot="1">
      <c r="F2" s="210" t="s">
        <v>162</v>
      </c>
      <c r="G2" s="211" t="s">
        <v>437</v>
      </c>
      <c r="H2" s="212" t="s">
        <v>438</v>
      </c>
    </row>
    <row r="3" spans="6:16" ht="15.75" thickBot="1">
      <c r="F3" s="207" t="s">
        <v>436</v>
      </c>
      <c r="G3" s="208">
        <v>85000</v>
      </c>
      <c r="H3" s="209">
        <v>44317</v>
      </c>
      <c r="J3" s="300" t="s">
        <v>445</v>
      </c>
      <c r="K3" s="300" t="s">
        <v>417</v>
      </c>
      <c r="L3" s="300" t="s">
        <v>419</v>
      </c>
      <c r="M3" s="300" t="s">
        <v>418</v>
      </c>
      <c r="N3" s="300" t="s">
        <v>437</v>
      </c>
      <c r="O3" s="300" t="s">
        <v>446</v>
      </c>
    </row>
    <row r="4" spans="6:16" ht="36" customHeight="1">
      <c r="J4" s="280">
        <v>1</v>
      </c>
      <c r="K4" s="280" t="s">
        <v>815</v>
      </c>
      <c r="L4" s="301" t="s">
        <v>816</v>
      </c>
      <c r="M4" s="301" t="s">
        <v>817</v>
      </c>
      <c r="N4" s="301">
        <v>150000</v>
      </c>
      <c r="O4" s="280" t="s">
        <v>827</v>
      </c>
      <c r="P4" s="298"/>
    </row>
    <row r="5" spans="6:16" ht="19.5" customHeight="1">
      <c r="J5" s="2423">
        <v>2</v>
      </c>
      <c r="K5" s="2423" t="s">
        <v>819</v>
      </c>
      <c r="L5" s="301" t="s">
        <v>820</v>
      </c>
      <c r="M5" s="301" t="s">
        <v>310</v>
      </c>
      <c r="N5" s="301">
        <v>75000</v>
      </c>
      <c r="O5" s="2366" t="s">
        <v>827</v>
      </c>
      <c r="P5" s="298"/>
    </row>
    <row r="6" spans="6:16" ht="19.5" customHeight="1">
      <c r="J6" s="2381"/>
      <c r="K6" s="2381"/>
      <c r="L6" s="301" t="s">
        <v>821</v>
      </c>
      <c r="M6" s="301" t="s">
        <v>310</v>
      </c>
      <c r="N6" s="301">
        <v>75000</v>
      </c>
      <c r="O6" s="2366"/>
      <c r="P6" s="298"/>
    </row>
    <row r="7" spans="6:16" ht="19.5" customHeight="1"/>
  </sheetData>
  <mergeCells count="3">
    <mergeCell ref="J5:J6"/>
    <mergeCell ref="K5:K6"/>
    <mergeCell ref="O5:O6"/>
  </mergeCells>
  <pageMargins left="0.7" right="0.7" top="0.75" bottom="0.75" header="0.3" footer="0.3"/>
  <pageSetup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8"/>
  <sheetViews>
    <sheetView zoomScale="90" zoomScaleNormal="90" zoomScaleSheetLayoutView="70" workbookViewId="0">
      <pane xSplit="1" ySplit="1" topLeftCell="B16" activePane="bottomRight" state="frozen"/>
      <selection activeCell="A3" sqref="A3"/>
      <selection pane="topRight" activeCell="A3" sqref="A3"/>
      <selection pane="bottomLeft" activeCell="A3" sqref="A3"/>
      <selection pane="bottomRight" activeCell="A3" sqref="A3"/>
    </sheetView>
  </sheetViews>
  <sheetFormatPr defaultColWidth="11.42578125" defaultRowHeight="15"/>
  <cols>
    <col min="1" max="1" width="4.28515625" customWidth="1"/>
    <col min="3" max="3" width="13.85546875" bestFit="1" customWidth="1"/>
    <col min="4" max="4" width="27.85546875" bestFit="1" customWidth="1"/>
    <col min="6" max="6" width="11.42578125" customWidth="1"/>
    <col min="7" max="8" width="11.42578125" hidden="1" customWidth="1"/>
    <col min="11" max="11" width="17.85546875" customWidth="1"/>
  </cols>
  <sheetData>
    <row r="1" spans="1:11" ht="36.75" thickBot="1">
      <c r="A1" s="292" t="s">
        <v>445</v>
      </c>
      <c r="B1" s="293" t="s">
        <v>417</v>
      </c>
      <c r="C1" s="293" t="s">
        <v>419</v>
      </c>
      <c r="D1" s="293" t="s">
        <v>418</v>
      </c>
      <c r="E1" s="293" t="s">
        <v>437</v>
      </c>
      <c r="F1" s="293" t="s">
        <v>447</v>
      </c>
      <c r="G1" s="294" t="s">
        <v>499</v>
      </c>
      <c r="H1" s="294" t="s">
        <v>500</v>
      </c>
      <c r="I1" s="294" t="s">
        <v>810</v>
      </c>
      <c r="J1" s="304"/>
      <c r="K1" s="295" t="s">
        <v>811</v>
      </c>
    </row>
    <row r="2" spans="1:11" ht="15" customHeight="1">
      <c r="A2" s="2425">
        <v>1</v>
      </c>
      <c r="B2" s="2427" t="s">
        <v>448</v>
      </c>
      <c r="C2" s="282" t="s">
        <v>449</v>
      </c>
      <c r="D2" s="282" t="s">
        <v>450</v>
      </c>
      <c r="E2" s="282">
        <v>24000</v>
      </c>
      <c r="F2" s="2427" t="s">
        <v>452</v>
      </c>
      <c r="G2" s="2429"/>
      <c r="H2" s="2429"/>
      <c r="I2" s="2431" t="s">
        <v>814</v>
      </c>
      <c r="J2" s="2431" t="s">
        <v>827</v>
      </c>
      <c r="K2" s="2438" t="s">
        <v>812</v>
      </c>
    </row>
    <row r="3" spans="1:11">
      <c r="A3" s="2436"/>
      <c r="B3" s="2437"/>
      <c r="C3" s="299" t="s">
        <v>453</v>
      </c>
      <c r="D3" s="299" t="s">
        <v>454</v>
      </c>
      <c r="E3" s="299">
        <v>24000</v>
      </c>
      <c r="F3" s="2437"/>
      <c r="G3" s="2435"/>
      <c r="H3" s="2435"/>
      <c r="I3" s="2440"/>
      <c r="J3" s="2440"/>
      <c r="K3" s="2441"/>
    </row>
    <row r="4" spans="1:11">
      <c r="A4" s="2436"/>
      <c r="B4" s="2437"/>
      <c r="C4" s="299" t="s">
        <v>455</v>
      </c>
      <c r="D4" s="299" t="s">
        <v>450</v>
      </c>
      <c r="E4" s="299">
        <v>136000</v>
      </c>
      <c r="F4" s="2437"/>
      <c r="G4" s="2435"/>
      <c r="H4" s="2435"/>
      <c r="I4" s="2440"/>
      <c r="J4" s="2440"/>
      <c r="K4" s="2441"/>
    </row>
    <row r="5" spans="1:11" ht="15.75" thickBot="1">
      <c r="A5" s="2426"/>
      <c r="B5" s="2428"/>
      <c r="C5" s="283" t="s">
        <v>456</v>
      </c>
      <c r="D5" s="283" t="s">
        <v>454</v>
      </c>
      <c r="E5" s="283">
        <v>136000</v>
      </c>
      <c r="F5" s="2428"/>
      <c r="G5" s="2430"/>
      <c r="H5" s="2430"/>
      <c r="I5" s="2432"/>
      <c r="J5" s="2432"/>
      <c r="K5" s="2439"/>
    </row>
    <row r="6" spans="1:11" ht="15" customHeight="1">
      <c r="A6" s="2425">
        <v>2</v>
      </c>
      <c r="B6" s="2427" t="s">
        <v>457</v>
      </c>
      <c r="C6" s="281" t="s">
        <v>458</v>
      </c>
      <c r="D6" s="281" t="s">
        <v>459</v>
      </c>
      <c r="E6" s="281">
        <v>160000</v>
      </c>
      <c r="F6" s="2427" t="s">
        <v>461</v>
      </c>
      <c r="G6" s="2429" t="s">
        <v>504</v>
      </c>
      <c r="H6" s="2429" t="s">
        <v>503</v>
      </c>
      <c r="I6" s="2431" t="s">
        <v>814</v>
      </c>
      <c r="J6" s="2431" t="s">
        <v>827</v>
      </c>
      <c r="K6" s="2438" t="s">
        <v>812</v>
      </c>
    </row>
    <row r="7" spans="1:11" ht="18" customHeight="1" thickBot="1">
      <c r="A7" s="2426"/>
      <c r="B7" s="2428"/>
      <c r="C7" s="296" t="s">
        <v>462</v>
      </c>
      <c r="D7" s="296" t="s">
        <v>463</v>
      </c>
      <c r="E7" s="296">
        <v>160000</v>
      </c>
      <c r="F7" s="2428"/>
      <c r="G7" s="2430"/>
      <c r="H7" s="2430"/>
      <c r="I7" s="2432"/>
      <c r="J7" s="2432"/>
      <c r="K7" s="2439"/>
    </row>
    <row r="8" spans="1:11" ht="15" customHeight="1">
      <c r="A8" s="2425">
        <v>3</v>
      </c>
      <c r="B8" s="2427" t="s">
        <v>464</v>
      </c>
      <c r="C8" s="282" t="s">
        <v>465</v>
      </c>
      <c r="D8" s="282" t="s">
        <v>466</v>
      </c>
      <c r="E8" s="282">
        <v>160000</v>
      </c>
      <c r="F8" s="2427" t="s">
        <v>452</v>
      </c>
      <c r="G8" s="2429"/>
      <c r="H8" s="2429"/>
      <c r="I8" s="2427" t="s">
        <v>814</v>
      </c>
      <c r="J8" s="2427" t="s">
        <v>827</v>
      </c>
      <c r="K8" s="2438" t="s">
        <v>812</v>
      </c>
    </row>
    <row r="9" spans="1:11" ht="18" customHeight="1" thickBot="1">
      <c r="A9" s="2426"/>
      <c r="B9" s="2428"/>
      <c r="C9" s="283" t="s">
        <v>467</v>
      </c>
      <c r="D9" s="283" t="s">
        <v>468</v>
      </c>
      <c r="E9" s="283">
        <v>160000</v>
      </c>
      <c r="F9" s="2428"/>
      <c r="G9" s="2430"/>
      <c r="H9" s="2430"/>
      <c r="I9" s="2428"/>
      <c r="J9" s="2428"/>
      <c r="K9" s="2439"/>
    </row>
    <row r="10" spans="1:11" ht="15" customHeight="1">
      <c r="A10" s="2425">
        <v>4</v>
      </c>
      <c r="B10" s="2427" t="s">
        <v>469</v>
      </c>
      <c r="C10" s="281" t="s">
        <v>470</v>
      </c>
      <c r="D10" s="281" t="s">
        <v>471</v>
      </c>
      <c r="E10" s="281">
        <v>160000</v>
      </c>
      <c r="F10" s="2427" t="s">
        <v>461</v>
      </c>
      <c r="G10" s="2429" t="s">
        <v>504</v>
      </c>
      <c r="H10" s="2429" t="s">
        <v>503</v>
      </c>
      <c r="I10" s="2427" t="s">
        <v>814</v>
      </c>
      <c r="J10" s="2427" t="s">
        <v>827</v>
      </c>
      <c r="K10" s="2438" t="s">
        <v>812</v>
      </c>
    </row>
    <row r="11" spans="1:11" ht="17.25" customHeight="1" thickBot="1">
      <c r="A11" s="2426"/>
      <c r="B11" s="2428"/>
      <c r="C11" s="296" t="s">
        <v>472</v>
      </c>
      <c r="D11" s="296" t="s">
        <v>473</v>
      </c>
      <c r="E11" s="296">
        <v>160000</v>
      </c>
      <c r="F11" s="2428"/>
      <c r="G11" s="2430"/>
      <c r="H11" s="2430"/>
      <c r="I11" s="2428"/>
      <c r="J11" s="2428"/>
      <c r="K11" s="2439"/>
    </row>
    <row r="12" spans="1:11" ht="15" customHeight="1">
      <c r="A12" s="2425">
        <v>5</v>
      </c>
      <c r="B12" s="2427" t="s">
        <v>474</v>
      </c>
      <c r="C12" s="282" t="s">
        <v>475</v>
      </c>
      <c r="D12" s="282" t="s">
        <v>476</v>
      </c>
      <c r="E12" s="282">
        <v>160000</v>
      </c>
      <c r="F12" s="2427" t="s">
        <v>452</v>
      </c>
      <c r="G12" s="2429" t="s">
        <v>504</v>
      </c>
      <c r="H12" s="2429" t="s">
        <v>503</v>
      </c>
      <c r="I12" s="2431" t="s">
        <v>824</v>
      </c>
      <c r="J12" s="2431" t="s">
        <v>827</v>
      </c>
      <c r="K12" s="2438" t="s">
        <v>812</v>
      </c>
    </row>
    <row r="13" spans="1:11" ht="13.5" customHeight="1" thickBot="1">
      <c r="A13" s="2426"/>
      <c r="B13" s="2428"/>
      <c r="C13" s="283" t="s">
        <v>477</v>
      </c>
      <c r="D13" s="283" t="s">
        <v>478</v>
      </c>
      <c r="E13" s="283">
        <v>160000</v>
      </c>
      <c r="F13" s="2428"/>
      <c r="G13" s="2430"/>
      <c r="H13" s="2430"/>
      <c r="I13" s="2432"/>
      <c r="J13" s="2432"/>
      <c r="K13" s="2439"/>
    </row>
    <row r="14" spans="1:11" ht="24.75" thickBot="1">
      <c r="A14" s="284">
        <v>6</v>
      </c>
      <c r="B14" s="285" t="s">
        <v>479</v>
      </c>
      <c r="C14" s="286" t="s">
        <v>480</v>
      </c>
      <c r="D14" s="286" t="s">
        <v>481</v>
      </c>
      <c r="E14" s="286">
        <v>160000</v>
      </c>
      <c r="F14" s="285" t="s">
        <v>452</v>
      </c>
      <c r="G14" s="287"/>
      <c r="H14" s="287"/>
      <c r="I14" s="286" t="s">
        <v>814</v>
      </c>
      <c r="J14" s="305" t="s">
        <v>827</v>
      </c>
      <c r="K14" s="288" t="s">
        <v>812</v>
      </c>
    </row>
    <row r="15" spans="1:11" ht="24.75" thickBot="1">
      <c r="A15" s="297">
        <v>7</v>
      </c>
      <c r="B15" s="291" t="s">
        <v>482</v>
      </c>
      <c r="C15" s="290" t="s">
        <v>483</v>
      </c>
      <c r="D15" s="290" t="s">
        <v>484</v>
      </c>
      <c r="E15" s="290">
        <v>160000</v>
      </c>
      <c r="F15" s="291" t="s">
        <v>452</v>
      </c>
      <c r="G15" s="290" t="s">
        <v>502</v>
      </c>
      <c r="H15" s="303" t="s">
        <v>506</v>
      </c>
      <c r="I15" s="284" t="s">
        <v>809</v>
      </c>
      <c r="J15" s="288"/>
      <c r="K15" s="306" t="s">
        <v>812</v>
      </c>
    </row>
    <row r="16" spans="1:11" ht="15" customHeight="1">
      <c r="A16" s="2425">
        <v>8</v>
      </c>
      <c r="B16" s="2427" t="s">
        <v>485</v>
      </c>
      <c r="C16" s="282" t="s">
        <v>486</v>
      </c>
      <c r="D16" s="282" t="s">
        <v>487</v>
      </c>
      <c r="E16" s="282">
        <v>160000</v>
      </c>
      <c r="F16" s="2427" t="s">
        <v>461</v>
      </c>
      <c r="G16" s="2429" t="s">
        <v>502</v>
      </c>
      <c r="H16" s="2429" t="s">
        <v>506</v>
      </c>
      <c r="I16" s="2444" t="s">
        <v>824</v>
      </c>
      <c r="J16" s="2444" t="s">
        <v>827</v>
      </c>
      <c r="K16" s="2448" t="s">
        <v>812</v>
      </c>
    </row>
    <row r="17" spans="1:12" ht="15.75" thickBot="1">
      <c r="A17" s="2426"/>
      <c r="B17" s="2428"/>
      <c r="C17" s="283" t="s">
        <v>488</v>
      </c>
      <c r="D17" s="283" t="s">
        <v>489</v>
      </c>
      <c r="E17" s="283">
        <v>160000</v>
      </c>
      <c r="F17" s="2428"/>
      <c r="G17" s="2430"/>
      <c r="H17" s="2430"/>
      <c r="I17" s="2445"/>
      <c r="J17" s="2445"/>
      <c r="K17" s="2449"/>
    </row>
    <row r="18" spans="1:12" ht="15" customHeight="1">
      <c r="A18" s="2425">
        <v>9</v>
      </c>
      <c r="B18" s="2427" t="s">
        <v>490</v>
      </c>
      <c r="C18" s="281" t="s">
        <v>491</v>
      </c>
      <c r="D18" s="281" t="s">
        <v>492</v>
      </c>
      <c r="E18" s="281">
        <v>160000</v>
      </c>
      <c r="F18" s="2427" t="s">
        <v>461</v>
      </c>
      <c r="G18" s="2433" t="s">
        <v>504</v>
      </c>
      <c r="H18" s="2429" t="s">
        <v>503</v>
      </c>
      <c r="I18" s="2431" t="s">
        <v>824</v>
      </c>
      <c r="J18" s="2431" t="s">
        <v>827</v>
      </c>
      <c r="K18" s="2448" t="s">
        <v>812</v>
      </c>
    </row>
    <row r="19" spans="1:12" ht="15.75" thickBot="1">
      <c r="A19" s="2426"/>
      <c r="B19" s="2428"/>
      <c r="C19" s="296" t="s">
        <v>493</v>
      </c>
      <c r="D19" s="296" t="s">
        <v>494</v>
      </c>
      <c r="E19" s="296">
        <v>160000</v>
      </c>
      <c r="F19" s="2428"/>
      <c r="G19" s="2434"/>
      <c r="H19" s="2430"/>
      <c r="I19" s="2432"/>
      <c r="J19" s="2432"/>
      <c r="K19" s="2449"/>
    </row>
    <row r="20" spans="1:12" ht="24.75" thickBot="1">
      <c r="A20" s="289">
        <v>10</v>
      </c>
      <c r="B20" s="285" t="s">
        <v>507</v>
      </c>
      <c r="C20" s="286" t="s">
        <v>508</v>
      </c>
      <c r="D20" s="286" t="s">
        <v>138</v>
      </c>
      <c r="E20" s="286">
        <v>160000</v>
      </c>
      <c r="F20" s="285" t="s">
        <v>452</v>
      </c>
      <c r="G20" s="287"/>
      <c r="H20" s="287"/>
      <c r="I20" s="286" t="s">
        <v>824</v>
      </c>
      <c r="J20" s="305" t="s">
        <v>827</v>
      </c>
      <c r="K20" s="288" t="s">
        <v>812</v>
      </c>
    </row>
    <row r="21" spans="1:12" ht="24.75" thickBot="1">
      <c r="A21" s="307">
        <v>11</v>
      </c>
      <c r="B21" s="308" t="s">
        <v>789</v>
      </c>
      <c r="C21" s="309" t="s">
        <v>790</v>
      </c>
      <c r="D21" s="309" t="s">
        <v>791</v>
      </c>
      <c r="E21" s="309">
        <v>150000</v>
      </c>
      <c r="F21" s="308" t="s">
        <v>452</v>
      </c>
      <c r="G21" s="310"/>
      <c r="H21" s="310"/>
      <c r="I21" s="309" t="s">
        <v>825</v>
      </c>
      <c r="J21" s="311" t="s">
        <v>818</v>
      </c>
      <c r="K21" s="312" t="s">
        <v>826</v>
      </c>
      <c r="L21" s="322" t="s">
        <v>503</v>
      </c>
    </row>
    <row r="22" spans="1:12" ht="15" customHeight="1">
      <c r="A22" s="2455">
        <v>12</v>
      </c>
      <c r="B22" s="2457" t="s">
        <v>793</v>
      </c>
      <c r="C22" s="313" t="s">
        <v>794</v>
      </c>
      <c r="D22" s="313" t="s">
        <v>797</v>
      </c>
      <c r="E22" s="313">
        <v>150000</v>
      </c>
      <c r="F22" s="2457" t="s">
        <v>452</v>
      </c>
      <c r="G22" s="314"/>
      <c r="H22" s="314"/>
      <c r="I22" s="2442" t="s">
        <v>823</v>
      </c>
      <c r="J22" s="2442" t="s">
        <v>828</v>
      </c>
      <c r="K22" s="2450" t="s">
        <v>813</v>
      </c>
      <c r="L22" s="322"/>
    </row>
    <row r="23" spans="1:12" ht="22.5" customHeight="1" thickBot="1">
      <c r="A23" s="2456"/>
      <c r="B23" s="2458"/>
      <c r="C23" s="315" t="s">
        <v>795</v>
      </c>
      <c r="D23" s="315" t="s">
        <v>796</v>
      </c>
      <c r="E23" s="315">
        <v>150000</v>
      </c>
      <c r="F23" s="2458"/>
      <c r="G23" s="316"/>
      <c r="H23" s="316"/>
      <c r="I23" s="2443"/>
      <c r="J23" s="2443"/>
      <c r="K23" s="2451"/>
      <c r="L23" s="322"/>
    </row>
    <row r="24" spans="1:12" ht="15" customHeight="1">
      <c r="A24" s="2455">
        <v>13</v>
      </c>
      <c r="B24" s="2457" t="s">
        <v>798</v>
      </c>
      <c r="C24" s="313" t="s">
        <v>799</v>
      </c>
      <c r="D24" s="313" t="s">
        <v>800</v>
      </c>
      <c r="E24" s="313">
        <v>150000</v>
      </c>
      <c r="F24" s="2457" t="s">
        <v>452</v>
      </c>
      <c r="G24" s="314"/>
      <c r="H24" s="314"/>
      <c r="I24" s="2442" t="s">
        <v>823</v>
      </c>
      <c r="J24" s="2442" t="s">
        <v>830</v>
      </c>
      <c r="K24" s="2450" t="s">
        <v>813</v>
      </c>
      <c r="L24" s="2424" t="s">
        <v>503</v>
      </c>
    </row>
    <row r="25" spans="1:12" ht="24.75" customHeight="1" thickBot="1">
      <c r="A25" s="2459"/>
      <c r="B25" s="2460"/>
      <c r="C25" s="317" t="s">
        <v>801</v>
      </c>
      <c r="D25" s="317" t="s">
        <v>802</v>
      </c>
      <c r="E25" s="317">
        <v>150000</v>
      </c>
      <c r="F25" s="2460"/>
      <c r="G25" s="310"/>
      <c r="H25" s="310"/>
      <c r="I25" s="2461"/>
      <c r="J25" s="2443"/>
      <c r="K25" s="2454"/>
      <c r="L25" s="2424"/>
    </row>
    <row r="26" spans="1:12" ht="26.25" customHeight="1">
      <c r="A26" s="318">
        <v>14</v>
      </c>
      <c r="B26" s="318" t="s">
        <v>815</v>
      </c>
      <c r="C26" s="319" t="s">
        <v>816</v>
      </c>
      <c r="D26" s="319" t="s">
        <v>817</v>
      </c>
      <c r="E26" s="319">
        <v>150000</v>
      </c>
      <c r="F26" s="318"/>
      <c r="G26" s="318"/>
      <c r="H26" s="318"/>
      <c r="I26" s="318" t="s">
        <v>818</v>
      </c>
      <c r="J26" s="318" t="s">
        <v>829</v>
      </c>
      <c r="K26" s="320" t="s">
        <v>822</v>
      </c>
      <c r="L26" s="321" t="s">
        <v>831</v>
      </c>
    </row>
    <row r="27" spans="1:12" ht="19.5" customHeight="1">
      <c r="A27" s="2452">
        <v>15</v>
      </c>
      <c r="B27" s="2452" t="s">
        <v>819</v>
      </c>
      <c r="C27" s="319" t="s">
        <v>820</v>
      </c>
      <c r="D27" s="319" t="s">
        <v>310</v>
      </c>
      <c r="E27" s="319">
        <v>75000</v>
      </c>
      <c r="F27" s="318"/>
      <c r="G27" s="318"/>
      <c r="H27" s="318"/>
      <c r="I27" s="2446" t="s">
        <v>818</v>
      </c>
      <c r="J27" s="2446" t="s">
        <v>829</v>
      </c>
      <c r="K27" s="2447" t="s">
        <v>822</v>
      </c>
    </row>
    <row r="28" spans="1:12">
      <c r="A28" s="2453"/>
      <c r="B28" s="2453"/>
      <c r="C28" s="319" t="s">
        <v>821</v>
      </c>
      <c r="D28" s="319" t="s">
        <v>310</v>
      </c>
      <c r="E28" s="319">
        <v>75000</v>
      </c>
      <c r="F28" s="318"/>
      <c r="G28" s="318"/>
      <c r="H28" s="318"/>
      <c r="I28" s="2446"/>
      <c r="J28" s="2446"/>
      <c r="K28" s="2447"/>
    </row>
  </sheetData>
  <mergeCells count="74">
    <mergeCell ref="B27:B28"/>
    <mergeCell ref="A27:A28"/>
    <mergeCell ref="K18:K19"/>
    <mergeCell ref="K24:K25"/>
    <mergeCell ref="A22:A23"/>
    <mergeCell ref="B22:B23"/>
    <mergeCell ref="F22:F23"/>
    <mergeCell ref="A24:A25"/>
    <mergeCell ref="B24:B25"/>
    <mergeCell ref="I24:I25"/>
    <mergeCell ref="F24:F25"/>
    <mergeCell ref="A18:A19"/>
    <mergeCell ref="B18:B19"/>
    <mergeCell ref="F18:F19"/>
    <mergeCell ref="J27:J28"/>
    <mergeCell ref="J22:J23"/>
    <mergeCell ref="H10:H11"/>
    <mergeCell ref="K12:K13"/>
    <mergeCell ref="I22:I23"/>
    <mergeCell ref="I16:I17"/>
    <mergeCell ref="I27:I28"/>
    <mergeCell ref="K27:K28"/>
    <mergeCell ref="K16:K17"/>
    <mergeCell ref="K22:K23"/>
    <mergeCell ref="J24:J25"/>
    <mergeCell ref="J12:J13"/>
    <mergeCell ref="J16:J17"/>
    <mergeCell ref="J18:J19"/>
    <mergeCell ref="H2:H5"/>
    <mergeCell ref="H6:H7"/>
    <mergeCell ref="G6:G7"/>
    <mergeCell ref="K6:K7"/>
    <mergeCell ref="K10:K11"/>
    <mergeCell ref="I2:I5"/>
    <mergeCell ref="K2:K5"/>
    <mergeCell ref="K8:K9"/>
    <mergeCell ref="H8:H9"/>
    <mergeCell ref="J8:J9"/>
    <mergeCell ref="J6:J7"/>
    <mergeCell ref="J2:J5"/>
    <mergeCell ref="J10:J11"/>
    <mergeCell ref="I6:I7"/>
    <mergeCell ref="I8:I9"/>
    <mergeCell ref="I10:I11"/>
    <mergeCell ref="A10:A11"/>
    <mergeCell ref="B10:B11"/>
    <mergeCell ref="F10:F11"/>
    <mergeCell ref="G2:G5"/>
    <mergeCell ref="G8:G9"/>
    <mergeCell ref="G10:G11"/>
    <mergeCell ref="A2:A5"/>
    <mergeCell ref="B2:B5"/>
    <mergeCell ref="F2:F5"/>
    <mergeCell ref="A6:A7"/>
    <mergeCell ref="B6:B7"/>
    <mergeCell ref="F6:F7"/>
    <mergeCell ref="A8:A9"/>
    <mergeCell ref="B8:B9"/>
    <mergeCell ref="F8:F9"/>
    <mergeCell ref="L24:L25"/>
    <mergeCell ref="A12:A13"/>
    <mergeCell ref="B12:B13"/>
    <mergeCell ref="F12:F13"/>
    <mergeCell ref="A16:A17"/>
    <mergeCell ref="B16:B17"/>
    <mergeCell ref="F16:F17"/>
    <mergeCell ref="G12:G13"/>
    <mergeCell ref="H12:H13"/>
    <mergeCell ref="I18:I19"/>
    <mergeCell ref="I12:I13"/>
    <mergeCell ref="G16:G17"/>
    <mergeCell ref="H16:H17"/>
    <mergeCell ref="G18:G19"/>
    <mergeCell ref="H18:H19"/>
  </mergeCells>
  <pageMargins left="0.7" right="0.7" top="0.75" bottom="0.75" header="0.3" footer="0.3"/>
  <pageSetup scale="92"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3:K42"/>
  <sheetViews>
    <sheetView topLeftCell="A14" workbookViewId="0">
      <selection activeCell="A3" sqref="A3"/>
    </sheetView>
  </sheetViews>
  <sheetFormatPr defaultRowHeight="15"/>
  <cols>
    <col min="2" max="2" width="4.42578125" bestFit="1" customWidth="1"/>
    <col min="3" max="3" width="17" bestFit="1" customWidth="1"/>
    <col min="4" max="4" width="11.7109375" bestFit="1" customWidth="1"/>
    <col min="5" max="5" width="27.85546875" bestFit="1" customWidth="1"/>
    <col min="6" max="6" width="7.28515625" bestFit="1" customWidth="1"/>
    <col min="7" max="7" width="10.5703125" customWidth="1"/>
    <col min="8" max="8" width="10.85546875" bestFit="1" customWidth="1"/>
    <col min="9" max="9" width="10.140625" bestFit="1" customWidth="1"/>
    <col min="10" max="11" width="12.85546875" bestFit="1" customWidth="1"/>
  </cols>
  <sheetData>
    <row r="3" spans="2:11" ht="48">
      <c r="B3" s="213" t="s">
        <v>445</v>
      </c>
      <c r="C3" s="213" t="s">
        <v>417</v>
      </c>
      <c r="D3" s="213" t="s">
        <v>419</v>
      </c>
      <c r="E3" s="213" t="s">
        <v>418</v>
      </c>
      <c r="F3" s="213" t="s">
        <v>437</v>
      </c>
      <c r="G3" s="216" t="s">
        <v>515</v>
      </c>
      <c r="H3" s="216" t="s">
        <v>447</v>
      </c>
      <c r="I3" s="216" t="s">
        <v>516</v>
      </c>
      <c r="J3" s="216" t="s">
        <v>519</v>
      </c>
      <c r="K3" s="216" t="s">
        <v>510</v>
      </c>
    </row>
    <row r="4" spans="2:11">
      <c r="B4" s="2273">
        <v>1</v>
      </c>
      <c r="C4" s="2462" t="s">
        <v>448</v>
      </c>
      <c r="D4" s="218" t="s">
        <v>449</v>
      </c>
      <c r="E4" s="218" t="s">
        <v>450</v>
      </c>
      <c r="F4" s="218">
        <v>24000</v>
      </c>
      <c r="G4" s="2273" t="s">
        <v>497</v>
      </c>
      <c r="H4" s="2274" t="s">
        <v>452</v>
      </c>
      <c r="I4" s="2467" t="s">
        <v>517</v>
      </c>
      <c r="J4" s="2267" t="s">
        <v>511</v>
      </c>
      <c r="K4" s="2267" t="s">
        <v>513</v>
      </c>
    </row>
    <row r="5" spans="2:11">
      <c r="B5" s="2273"/>
      <c r="C5" s="2466"/>
      <c r="D5" s="218" t="s">
        <v>453</v>
      </c>
      <c r="E5" s="218" t="s">
        <v>454</v>
      </c>
      <c r="F5" s="218">
        <v>24000</v>
      </c>
      <c r="G5" s="2273"/>
      <c r="H5" s="2274"/>
      <c r="I5" s="2276"/>
      <c r="J5" s="2267"/>
      <c r="K5" s="2267"/>
    </row>
    <row r="6" spans="2:11">
      <c r="B6" s="2273"/>
      <c r="C6" s="2466"/>
      <c r="D6" s="218" t="s">
        <v>455</v>
      </c>
      <c r="E6" s="218" t="s">
        <v>450</v>
      </c>
      <c r="F6" s="218">
        <v>136000</v>
      </c>
      <c r="G6" s="2273"/>
      <c r="H6" s="2274"/>
      <c r="I6" s="2276"/>
      <c r="J6" s="2267"/>
      <c r="K6" s="2267"/>
    </row>
    <row r="7" spans="2:11">
      <c r="B7" s="2273"/>
      <c r="C7" s="2463"/>
      <c r="D7" s="218" t="s">
        <v>456</v>
      </c>
      <c r="E7" s="218" t="s">
        <v>454</v>
      </c>
      <c r="F7" s="218">
        <v>136000</v>
      </c>
      <c r="G7" s="2273"/>
      <c r="H7" s="2274"/>
      <c r="I7" s="2271"/>
      <c r="J7" s="2267"/>
      <c r="K7" s="2267"/>
    </row>
    <row r="8" spans="2:11">
      <c r="B8" s="2273">
        <v>2</v>
      </c>
      <c r="C8" s="2462" t="s">
        <v>457</v>
      </c>
      <c r="D8" s="218" t="s">
        <v>458</v>
      </c>
      <c r="E8" s="218" t="s">
        <v>459</v>
      </c>
      <c r="F8" s="218">
        <v>160000</v>
      </c>
      <c r="G8" s="2464" t="s">
        <v>498</v>
      </c>
      <c r="H8" s="2274" t="s">
        <v>461</v>
      </c>
      <c r="I8" s="2467" t="s">
        <v>518</v>
      </c>
      <c r="J8" s="2468" t="s">
        <v>497</v>
      </c>
      <c r="K8" s="2267" t="s">
        <v>509</v>
      </c>
    </row>
    <row r="9" spans="2:11">
      <c r="B9" s="2273"/>
      <c r="C9" s="2463"/>
      <c r="D9" s="218" t="s">
        <v>462</v>
      </c>
      <c r="E9" s="218" t="s">
        <v>463</v>
      </c>
      <c r="F9" s="218">
        <v>160000</v>
      </c>
      <c r="G9" s="2465"/>
      <c r="H9" s="2274"/>
      <c r="I9" s="2271"/>
      <c r="J9" s="2271"/>
      <c r="K9" s="2267"/>
    </row>
    <row r="10" spans="2:11">
      <c r="B10" s="2273">
        <v>3</v>
      </c>
      <c r="C10" s="2462" t="s">
        <v>464</v>
      </c>
      <c r="D10" s="218" t="s">
        <v>465</v>
      </c>
      <c r="E10" s="218" t="s">
        <v>466</v>
      </c>
      <c r="F10" s="218">
        <v>160000</v>
      </c>
      <c r="G10" s="2464" t="s">
        <v>497</v>
      </c>
      <c r="H10" s="2274" t="s">
        <v>452</v>
      </c>
      <c r="I10" s="2467" t="s">
        <v>497</v>
      </c>
      <c r="J10" s="2468"/>
      <c r="K10" s="2267" t="s">
        <v>511</v>
      </c>
    </row>
    <row r="11" spans="2:11">
      <c r="B11" s="2273"/>
      <c r="C11" s="2463"/>
      <c r="D11" s="218" t="s">
        <v>467</v>
      </c>
      <c r="E11" s="218" t="s">
        <v>468</v>
      </c>
      <c r="F11" s="218">
        <v>160000</v>
      </c>
      <c r="G11" s="2465"/>
      <c r="H11" s="2274"/>
      <c r="I11" s="2271"/>
      <c r="J11" s="2271"/>
      <c r="K11" s="2267"/>
    </row>
    <row r="12" spans="2:11">
      <c r="B12" s="2273">
        <v>4</v>
      </c>
      <c r="C12" s="2462" t="s">
        <v>469</v>
      </c>
      <c r="D12" s="218" t="s">
        <v>470</v>
      </c>
      <c r="E12" s="218" t="s">
        <v>471</v>
      </c>
      <c r="F12" s="218">
        <v>160000</v>
      </c>
      <c r="G12" s="2273" t="s">
        <v>498</v>
      </c>
      <c r="H12" s="2274" t="s">
        <v>461</v>
      </c>
      <c r="I12" s="2467" t="s">
        <v>498</v>
      </c>
      <c r="J12" s="2267" t="s">
        <v>512</v>
      </c>
      <c r="K12" s="2267" t="s">
        <v>514</v>
      </c>
    </row>
    <row r="13" spans="2:11">
      <c r="B13" s="2273"/>
      <c r="C13" s="2463"/>
      <c r="D13" s="218" t="s">
        <v>472</v>
      </c>
      <c r="E13" s="218" t="s">
        <v>473</v>
      </c>
      <c r="F13" s="218">
        <v>160000</v>
      </c>
      <c r="G13" s="2273"/>
      <c r="H13" s="2274"/>
      <c r="I13" s="2271"/>
      <c r="J13" s="2267"/>
      <c r="K13" s="2267"/>
    </row>
    <row r="14" spans="2:11">
      <c r="B14" s="2273">
        <v>5</v>
      </c>
      <c r="C14" s="2462" t="s">
        <v>474</v>
      </c>
      <c r="D14" s="218" t="s">
        <v>475</v>
      </c>
      <c r="E14" s="218" t="s">
        <v>476</v>
      </c>
      <c r="F14" s="218">
        <v>160000</v>
      </c>
      <c r="G14" s="2464" t="s">
        <v>497</v>
      </c>
      <c r="H14" s="2274" t="s">
        <v>452</v>
      </c>
      <c r="I14" s="2467" t="s">
        <v>518</v>
      </c>
      <c r="J14" s="2468" t="s">
        <v>497</v>
      </c>
      <c r="K14" s="2267" t="s">
        <v>460</v>
      </c>
    </row>
    <row r="15" spans="2:11">
      <c r="B15" s="2273"/>
      <c r="C15" s="2463"/>
      <c r="D15" s="218" t="s">
        <v>477</v>
      </c>
      <c r="E15" s="218" t="s">
        <v>478</v>
      </c>
      <c r="F15" s="218">
        <v>160000</v>
      </c>
      <c r="G15" s="2465"/>
      <c r="H15" s="2274"/>
      <c r="I15" s="2271"/>
      <c r="J15" s="2271"/>
      <c r="K15" s="2267"/>
    </row>
    <row r="16" spans="2:11">
      <c r="B16" s="218">
        <v>6</v>
      </c>
      <c r="C16" s="219" t="s">
        <v>479</v>
      </c>
      <c r="D16" s="218" t="s">
        <v>480</v>
      </c>
      <c r="E16" s="218" t="s">
        <v>481</v>
      </c>
      <c r="F16" s="218">
        <v>160000</v>
      </c>
      <c r="G16" s="218" t="s">
        <v>498</v>
      </c>
      <c r="H16" s="219" t="s">
        <v>452</v>
      </c>
      <c r="I16" s="217" t="s">
        <v>498</v>
      </c>
      <c r="J16" s="2" t="s">
        <v>511</v>
      </c>
      <c r="K16" s="2" t="s">
        <v>511</v>
      </c>
    </row>
    <row r="17" spans="2:11">
      <c r="B17" s="218">
        <v>7</v>
      </c>
      <c r="C17" s="219" t="s">
        <v>482</v>
      </c>
      <c r="D17" s="218" t="s">
        <v>483</v>
      </c>
      <c r="E17" s="218" t="s">
        <v>484</v>
      </c>
      <c r="F17" s="218">
        <v>160000</v>
      </c>
      <c r="G17" s="218" t="s">
        <v>497</v>
      </c>
      <c r="H17" s="219" t="s">
        <v>452</v>
      </c>
      <c r="I17" s="220" t="s">
        <v>518</v>
      </c>
      <c r="J17" s="218" t="s">
        <v>511</v>
      </c>
      <c r="K17" s="218" t="s">
        <v>460</v>
      </c>
    </row>
    <row r="18" spans="2:11">
      <c r="B18" s="2273">
        <v>8</v>
      </c>
      <c r="C18" s="2462" t="s">
        <v>485</v>
      </c>
      <c r="D18" s="218" t="s">
        <v>486</v>
      </c>
      <c r="E18" s="218" t="s">
        <v>487</v>
      </c>
      <c r="F18" s="218">
        <v>160000</v>
      </c>
      <c r="G18" s="2273" t="s">
        <v>498</v>
      </c>
      <c r="H18" s="2274" t="s">
        <v>461</v>
      </c>
      <c r="I18" s="2467" t="s">
        <v>498</v>
      </c>
      <c r="J18" s="2267" t="s">
        <v>512</v>
      </c>
      <c r="K18" s="2267" t="s">
        <v>460</v>
      </c>
    </row>
    <row r="19" spans="2:11">
      <c r="B19" s="2273"/>
      <c r="C19" s="2463"/>
      <c r="D19" s="218" t="s">
        <v>488</v>
      </c>
      <c r="E19" s="218" t="s">
        <v>489</v>
      </c>
      <c r="F19" s="218">
        <v>160000</v>
      </c>
      <c r="G19" s="2273"/>
      <c r="H19" s="2274"/>
      <c r="I19" s="2271"/>
      <c r="J19" s="2267"/>
      <c r="K19" s="2267"/>
    </row>
    <row r="20" spans="2:11">
      <c r="B20" s="2273">
        <v>9</v>
      </c>
      <c r="C20" s="2462" t="s">
        <v>490</v>
      </c>
      <c r="D20" s="218" t="s">
        <v>491</v>
      </c>
      <c r="E20" s="218" t="s">
        <v>492</v>
      </c>
      <c r="F20" s="218">
        <v>160000</v>
      </c>
      <c r="G20" s="2273" t="s">
        <v>498</v>
      </c>
      <c r="H20" s="2274" t="s">
        <v>461</v>
      </c>
      <c r="I20" s="2467" t="s">
        <v>518</v>
      </c>
      <c r="J20" s="2267" t="s">
        <v>511</v>
      </c>
      <c r="K20" s="2267" t="s">
        <v>509</v>
      </c>
    </row>
    <row r="21" spans="2:11">
      <c r="B21" s="2273"/>
      <c r="C21" s="2463"/>
      <c r="D21" s="218" t="s">
        <v>493</v>
      </c>
      <c r="E21" s="218" t="s">
        <v>494</v>
      </c>
      <c r="F21" s="218">
        <v>160000</v>
      </c>
      <c r="G21" s="2273"/>
      <c r="H21" s="2274"/>
      <c r="I21" s="2271"/>
      <c r="J21" s="2267"/>
      <c r="K21" s="2267"/>
    </row>
    <row r="22" spans="2:11">
      <c r="B22" s="2">
        <v>10</v>
      </c>
      <c r="C22" s="219" t="s">
        <v>507</v>
      </c>
      <c r="D22" s="218" t="s">
        <v>508</v>
      </c>
      <c r="E22" s="218" t="s">
        <v>138</v>
      </c>
      <c r="F22" s="218">
        <v>160000</v>
      </c>
      <c r="G22" s="218" t="s">
        <v>501</v>
      </c>
      <c r="H22" s="219" t="s">
        <v>452</v>
      </c>
      <c r="I22" s="217" t="s">
        <v>498</v>
      </c>
      <c r="J22" s="217" t="s">
        <v>505</v>
      </c>
      <c r="K22" s="217" t="s">
        <v>505</v>
      </c>
    </row>
    <row r="23" spans="2:11">
      <c r="B23" s="218">
        <v>11</v>
      </c>
      <c r="C23" s="219" t="s">
        <v>789</v>
      </c>
      <c r="D23" s="218" t="s">
        <v>790</v>
      </c>
      <c r="E23" s="218" t="s">
        <v>791</v>
      </c>
      <c r="F23" s="218">
        <v>150000</v>
      </c>
      <c r="G23" s="218" t="s">
        <v>792</v>
      </c>
      <c r="H23" s="219" t="s">
        <v>452</v>
      </c>
      <c r="I23" s="218"/>
      <c r="J23" s="218"/>
      <c r="K23" s="218"/>
    </row>
    <row r="24" spans="2:11">
      <c r="B24" s="2273">
        <v>12</v>
      </c>
      <c r="C24" s="2274" t="s">
        <v>793</v>
      </c>
      <c r="D24" s="218" t="s">
        <v>794</v>
      </c>
      <c r="E24" s="218" t="s">
        <v>797</v>
      </c>
      <c r="F24" s="218">
        <v>150000</v>
      </c>
      <c r="G24" s="2273" t="s">
        <v>792</v>
      </c>
      <c r="H24" s="2274" t="s">
        <v>452</v>
      </c>
      <c r="I24" s="218"/>
      <c r="J24" s="218"/>
      <c r="K24" s="218"/>
    </row>
    <row r="25" spans="2:11">
      <c r="B25" s="2273"/>
      <c r="C25" s="2274"/>
      <c r="D25" s="218" t="s">
        <v>795</v>
      </c>
      <c r="E25" s="218" t="s">
        <v>796</v>
      </c>
      <c r="F25" s="218">
        <v>150000</v>
      </c>
      <c r="G25" s="2273"/>
      <c r="H25" s="2274"/>
      <c r="I25" s="218"/>
      <c r="J25" s="218"/>
      <c r="K25" s="218"/>
    </row>
    <row r="26" spans="2:11">
      <c r="B26" s="2469">
        <v>13</v>
      </c>
      <c r="C26" s="2469" t="s">
        <v>798</v>
      </c>
      <c r="D26" s="218" t="s">
        <v>799</v>
      </c>
      <c r="E26" s="218" t="s">
        <v>800</v>
      </c>
      <c r="F26" s="218">
        <v>150000</v>
      </c>
      <c r="G26" s="2273" t="s">
        <v>792</v>
      </c>
      <c r="H26" s="2274" t="s">
        <v>452</v>
      </c>
      <c r="I26" s="218"/>
      <c r="J26" s="218"/>
      <c r="K26" s="218"/>
    </row>
    <row r="27" spans="2:11">
      <c r="B27" s="2465"/>
      <c r="C27" s="2465"/>
      <c r="D27" s="218" t="s">
        <v>801</v>
      </c>
      <c r="E27" s="218" t="s">
        <v>802</v>
      </c>
      <c r="F27" s="218">
        <v>150000</v>
      </c>
      <c r="G27" s="2273"/>
      <c r="H27" s="2274"/>
      <c r="I27" s="218"/>
      <c r="J27" s="218"/>
      <c r="K27" s="218"/>
    </row>
    <row r="37" spans="2:11" ht="48">
      <c r="B37" s="213" t="s">
        <v>445</v>
      </c>
      <c r="C37" s="213" t="s">
        <v>417</v>
      </c>
      <c r="D37" s="213" t="s">
        <v>419</v>
      </c>
      <c r="E37" s="213" t="s">
        <v>418</v>
      </c>
      <c r="F37" s="213" t="s">
        <v>437</v>
      </c>
      <c r="G37" s="216" t="s">
        <v>803</v>
      </c>
      <c r="H37" s="216" t="s">
        <v>447</v>
      </c>
      <c r="I37" s="216" t="s">
        <v>516</v>
      </c>
      <c r="J37" s="216" t="s">
        <v>519</v>
      </c>
      <c r="K37" s="216" t="s">
        <v>510</v>
      </c>
    </row>
    <row r="38" spans="2:11">
      <c r="B38" s="218">
        <v>1</v>
      </c>
      <c r="C38" s="219" t="s">
        <v>789</v>
      </c>
      <c r="D38" s="218" t="s">
        <v>790</v>
      </c>
      <c r="E38" s="218" t="s">
        <v>791</v>
      </c>
      <c r="F38" s="218">
        <v>150000</v>
      </c>
      <c r="G38" s="218" t="s">
        <v>804</v>
      </c>
      <c r="H38" s="219" t="s">
        <v>452</v>
      </c>
      <c r="I38" s="218"/>
      <c r="J38" s="218"/>
      <c r="K38" s="218"/>
    </row>
    <row r="39" spans="2:11">
      <c r="B39" s="2273">
        <v>2</v>
      </c>
      <c r="C39" s="2274" t="s">
        <v>793</v>
      </c>
      <c r="D39" s="218" t="s">
        <v>794</v>
      </c>
      <c r="E39" s="218" t="s">
        <v>797</v>
      </c>
      <c r="F39" s="218">
        <v>150000</v>
      </c>
      <c r="G39" s="2273" t="s">
        <v>804</v>
      </c>
      <c r="H39" s="2274" t="s">
        <v>452</v>
      </c>
      <c r="I39" s="218"/>
      <c r="J39" s="218"/>
      <c r="K39" s="218"/>
    </row>
    <row r="40" spans="2:11">
      <c r="B40" s="2273"/>
      <c r="C40" s="2274"/>
      <c r="D40" s="218" t="s">
        <v>795</v>
      </c>
      <c r="E40" s="218" t="s">
        <v>796</v>
      </c>
      <c r="F40" s="218">
        <v>150000</v>
      </c>
      <c r="G40" s="2273"/>
      <c r="H40" s="2274"/>
      <c r="I40" s="218"/>
      <c r="J40" s="218"/>
      <c r="K40" s="218"/>
    </row>
    <row r="41" spans="2:11">
      <c r="B41" s="2469">
        <v>3</v>
      </c>
      <c r="C41" s="2469" t="s">
        <v>798</v>
      </c>
      <c r="D41" s="218" t="s">
        <v>799</v>
      </c>
      <c r="E41" s="218" t="s">
        <v>800</v>
      </c>
      <c r="F41" s="218">
        <v>150000</v>
      </c>
      <c r="G41" s="2273" t="s">
        <v>804</v>
      </c>
      <c r="H41" s="2274" t="s">
        <v>452</v>
      </c>
      <c r="I41" s="218"/>
      <c r="J41" s="218"/>
      <c r="K41" s="218"/>
    </row>
    <row r="42" spans="2:11">
      <c r="B42" s="2465"/>
      <c r="C42" s="2465"/>
      <c r="D42" s="218" t="s">
        <v>801</v>
      </c>
      <c r="E42" s="218" t="s">
        <v>802</v>
      </c>
      <c r="F42" s="218">
        <v>150000</v>
      </c>
      <c r="G42" s="2273"/>
      <c r="H42" s="2274"/>
      <c r="I42" s="218"/>
      <c r="J42" s="218"/>
      <c r="K42" s="218"/>
    </row>
  </sheetData>
  <mergeCells count="65">
    <mergeCell ref="B41:B42"/>
    <mergeCell ref="C41:C42"/>
    <mergeCell ref="G41:G42"/>
    <mergeCell ref="H41:H42"/>
    <mergeCell ref="B39:B40"/>
    <mergeCell ref="C39:C40"/>
    <mergeCell ref="G39:G40"/>
    <mergeCell ref="H39:H40"/>
    <mergeCell ref="G24:G25"/>
    <mergeCell ref="H24:H25"/>
    <mergeCell ref="C24:C25"/>
    <mergeCell ref="B24:B25"/>
    <mergeCell ref="G26:G27"/>
    <mergeCell ref="H26:H27"/>
    <mergeCell ref="C26:C27"/>
    <mergeCell ref="B26:B27"/>
    <mergeCell ref="I20:I21"/>
    <mergeCell ref="J20:J21"/>
    <mergeCell ref="K20:K21"/>
    <mergeCell ref="B20:B21"/>
    <mergeCell ref="C20:C21"/>
    <mergeCell ref="G20:G21"/>
    <mergeCell ref="H20:H21"/>
    <mergeCell ref="I18:I19"/>
    <mergeCell ref="J18:J19"/>
    <mergeCell ref="K18:K19"/>
    <mergeCell ref="I14:I15"/>
    <mergeCell ref="J14:J15"/>
    <mergeCell ref="K14:K15"/>
    <mergeCell ref="B18:B19"/>
    <mergeCell ref="C18:C19"/>
    <mergeCell ref="G18:G19"/>
    <mergeCell ref="H18:H19"/>
    <mergeCell ref="B14:B15"/>
    <mergeCell ref="C14:C15"/>
    <mergeCell ref="G14:G15"/>
    <mergeCell ref="H14:H15"/>
    <mergeCell ref="I12:I13"/>
    <mergeCell ref="J12:J13"/>
    <mergeCell ref="K12:K13"/>
    <mergeCell ref="I10:I11"/>
    <mergeCell ref="J10:J11"/>
    <mergeCell ref="K10:K11"/>
    <mergeCell ref="B12:B13"/>
    <mergeCell ref="C12:C13"/>
    <mergeCell ref="G12:G13"/>
    <mergeCell ref="H12:H13"/>
    <mergeCell ref="B10:B11"/>
    <mergeCell ref="C10:C11"/>
    <mergeCell ref="G10:G11"/>
    <mergeCell ref="H10:H11"/>
    <mergeCell ref="I8:I9"/>
    <mergeCell ref="J8:J9"/>
    <mergeCell ref="K8:K9"/>
    <mergeCell ref="I4:I7"/>
    <mergeCell ref="J4:J7"/>
    <mergeCell ref="K4:K7"/>
    <mergeCell ref="B8:B9"/>
    <mergeCell ref="C8:C9"/>
    <mergeCell ref="G8:G9"/>
    <mergeCell ref="H8:H9"/>
    <mergeCell ref="B4:B7"/>
    <mergeCell ref="C4:C7"/>
    <mergeCell ref="G4:G7"/>
    <mergeCell ref="H4:H7"/>
  </mergeCells>
  <pageMargins left="0.7" right="0.7" top="0.75" bottom="0.75" header="0.3" footer="0.3"/>
  <pageSetup scale="73"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97"/>
  <sheetViews>
    <sheetView topLeftCell="D1" zoomScale="60" zoomScaleNormal="60" workbookViewId="0">
      <pane ySplit="3" topLeftCell="A56" activePane="bottomLeft" state="frozen"/>
      <selection activeCell="A3" sqref="A3"/>
      <selection pane="bottomLeft" activeCell="A3" sqref="A3"/>
    </sheetView>
  </sheetViews>
  <sheetFormatPr defaultRowHeight="20.25" customHeight="1"/>
  <cols>
    <col min="1" max="1" width="6.42578125" bestFit="1" customWidth="1"/>
    <col min="2" max="2" width="40.5703125" bestFit="1" customWidth="1"/>
    <col min="3" max="3" width="79.140625" bestFit="1" customWidth="1"/>
    <col min="4" max="4" width="43" bestFit="1" customWidth="1"/>
    <col min="5" max="5" width="47.42578125" bestFit="1" customWidth="1"/>
    <col min="6" max="6" width="12.140625" bestFit="1" customWidth="1"/>
    <col min="7" max="7" width="19.5703125" bestFit="1" customWidth="1"/>
    <col min="8" max="8" width="15.42578125" bestFit="1" customWidth="1"/>
    <col min="9" max="9" width="19.5703125" bestFit="1" customWidth="1"/>
    <col min="10" max="10" width="22.7109375" bestFit="1" customWidth="1"/>
    <col min="11" max="11" width="12.7109375" bestFit="1" customWidth="1"/>
    <col min="12" max="12" width="10.85546875" bestFit="1" customWidth="1"/>
    <col min="13" max="13" width="7.28515625" bestFit="1" customWidth="1"/>
  </cols>
  <sheetData>
    <row r="1" spans="1:29" ht="20.25" customHeight="1" thickBot="1">
      <c r="A1" s="2470" t="s">
        <v>520</v>
      </c>
      <c r="B1" s="2471"/>
      <c r="C1" s="2471"/>
      <c r="D1" s="2471"/>
      <c r="E1" s="2471"/>
      <c r="F1" s="2471"/>
      <c r="G1" s="2471"/>
      <c r="H1" s="2472"/>
      <c r="I1" s="221" t="s">
        <v>521</v>
      </c>
      <c r="J1" s="222" t="s">
        <v>522</v>
      </c>
      <c r="K1" s="222"/>
      <c r="L1" s="222"/>
      <c r="M1" s="222"/>
      <c r="N1" s="223"/>
      <c r="O1" s="223"/>
      <c r="P1" s="223"/>
      <c r="Q1" s="223"/>
      <c r="R1" s="223"/>
      <c r="S1" s="223"/>
      <c r="T1" s="223"/>
      <c r="U1" s="223"/>
      <c r="V1" s="223"/>
      <c r="W1" s="223"/>
      <c r="X1" s="223"/>
      <c r="Y1" s="223"/>
      <c r="Z1" s="223"/>
      <c r="AA1" s="223"/>
      <c r="AB1" s="223"/>
      <c r="AC1" s="223"/>
    </row>
    <row r="2" spans="1:29" ht="20.25" customHeight="1" thickBot="1">
      <c r="A2" s="224" t="s">
        <v>523</v>
      </c>
      <c r="B2" s="225"/>
      <c r="C2" s="225" t="s">
        <v>524</v>
      </c>
      <c r="D2" s="225" t="s">
        <v>525</v>
      </c>
      <c r="E2" s="225" t="s">
        <v>526</v>
      </c>
      <c r="F2" s="225" t="s">
        <v>527</v>
      </c>
      <c r="G2" s="225" t="s">
        <v>528</v>
      </c>
      <c r="H2" s="225" t="s">
        <v>529</v>
      </c>
      <c r="I2" s="226" t="s">
        <v>530</v>
      </c>
      <c r="J2" s="227" t="s">
        <v>531</v>
      </c>
      <c r="K2" s="227" t="s">
        <v>532</v>
      </c>
      <c r="L2" s="227" t="s">
        <v>533</v>
      </c>
      <c r="M2" s="227" t="s">
        <v>534</v>
      </c>
      <c r="N2" s="228"/>
      <c r="O2" s="228"/>
      <c r="P2" s="228"/>
      <c r="Q2" s="228"/>
      <c r="R2" s="228"/>
      <c r="S2" s="228"/>
      <c r="T2" s="228"/>
      <c r="U2" s="228"/>
      <c r="V2" s="228"/>
      <c r="W2" s="228"/>
      <c r="X2" s="228"/>
      <c r="Y2" s="228"/>
      <c r="Z2" s="228"/>
      <c r="AA2" s="228"/>
      <c r="AB2" s="228"/>
      <c r="AC2" s="228"/>
    </row>
    <row r="3" spans="1:29" ht="20.25" customHeight="1" thickBot="1">
      <c r="A3" s="2473" t="s">
        <v>535</v>
      </c>
      <c r="B3" s="2474"/>
      <c r="C3" s="2474"/>
      <c r="D3" s="2474"/>
      <c r="E3" s="2474"/>
      <c r="F3" s="2474"/>
      <c r="G3" s="2474"/>
      <c r="H3" s="2474"/>
      <c r="I3" s="2474"/>
      <c r="J3" s="2474"/>
      <c r="K3" s="2474"/>
      <c r="L3" s="2474"/>
      <c r="M3" s="2474"/>
      <c r="N3" s="229"/>
      <c r="O3" s="229"/>
      <c r="P3" s="229"/>
      <c r="Q3" s="229"/>
      <c r="R3" s="229"/>
      <c r="S3" s="229"/>
      <c r="T3" s="229"/>
      <c r="U3" s="229"/>
      <c r="V3" s="229"/>
      <c r="W3" s="229"/>
      <c r="X3" s="229"/>
      <c r="Y3" s="229"/>
      <c r="Z3" s="229"/>
      <c r="AA3" s="229"/>
      <c r="AB3" s="229"/>
      <c r="AC3" s="229"/>
    </row>
    <row r="4" spans="1:29" ht="20.25" customHeight="1" thickBot="1">
      <c r="A4" s="230">
        <v>1</v>
      </c>
      <c r="B4" s="231" t="s">
        <v>536</v>
      </c>
      <c r="C4" s="2475" t="s">
        <v>537</v>
      </c>
      <c r="D4" s="2476"/>
      <c r="E4" s="233"/>
      <c r="F4" s="233"/>
      <c r="G4" s="233"/>
      <c r="H4" s="233"/>
      <c r="I4" s="233"/>
      <c r="J4" s="233"/>
      <c r="K4" s="234"/>
      <c r="L4" s="234"/>
      <c r="M4" s="234"/>
      <c r="N4" s="235"/>
      <c r="O4" s="235"/>
      <c r="P4" s="235"/>
      <c r="Q4" s="235"/>
      <c r="R4" s="235"/>
      <c r="S4" s="235"/>
      <c r="T4" s="235"/>
      <c r="U4" s="235"/>
      <c r="V4" s="235"/>
      <c r="W4" s="235"/>
      <c r="X4" s="235"/>
      <c r="Y4" s="235"/>
      <c r="Z4" s="235"/>
      <c r="AA4" s="235"/>
      <c r="AB4" s="235"/>
      <c r="AC4" s="235"/>
    </row>
    <row r="5" spans="1:29" ht="20.25" customHeight="1" thickBot="1">
      <c r="A5" s="236">
        <v>1</v>
      </c>
      <c r="B5" s="237"/>
      <c r="C5" s="238" t="s">
        <v>538</v>
      </c>
      <c r="D5" s="238" t="s">
        <v>539</v>
      </c>
      <c r="E5" s="239" t="s">
        <v>540</v>
      </c>
      <c r="F5" s="2477" t="s">
        <v>34</v>
      </c>
      <c r="G5" s="2480">
        <v>43747</v>
      </c>
      <c r="H5" s="240" t="s">
        <v>541</v>
      </c>
      <c r="I5" s="240"/>
      <c r="J5" s="2483" t="s">
        <v>542</v>
      </c>
      <c r="K5" s="241" t="s">
        <v>543</v>
      </c>
      <c r="L5" s="2483"/>
      <c r="M5" s="243"/>
      <c r="N5" s="244"/>
      <c r="O5" s="244"/>
      <c r="P5" s="244"/>
      <c r="Q5" s="244"/>
      <c r="R5" s="244"/>
      <c r="S5" s="244"/>
      <c r="T5" s="244"/>
      <c r="U5" s="244"/>
      <c r="V5" s="244"/>
      <c r="W5" s="244"/>
      <c r="X5" s="244"/>
      <c r="Y5" s="244"/>
      <c r="Z5" s="244"/>
      <c r="AA5" s="244"/>
      <c r="AB5" s="244"/>
      <c r="AC5" s="244"/>
    </row>
    <row r="6" spans="1:29" ht="20.25" customHeight="1" thickBot="1">
      <c r="A6" s="236">
        <v>2</v>
      </c>
      <c r="B6" s="237"/>
      <c r="C6" s="238" t="s">
        <v>545</v>
      </c>
      <c r="D6" s="238" t="s">
        <v>546</v>
      </c>
      <c r="E6" s="239" t="s">
        <v>547</v>
      </c>
      <c r="F6" s="2478"/>
      <c r="G6" s="2481"/>
      <c r="H6" s="245" t="s">
        <v>548</v>
      </c>
      <c r="I6" s="245" t="s">
        <v>549</v>
      </c>
      <c r="J6" s="2484"/>
      <c r="K6" s="241" t="s">
        <v>544</v>
      </c>
      <c r="L6" s="2484"/>
      <c r="M6" s="243"/>
      <c r="N6" s="244"/>
      <c r="O6" s="244"/>
      <c r="P6" s="244"/>
      <c r="Q6" s="244"/>
      <c r="R6" s="244"/>
      <c r="S6" s="244"/>
      <c r="T6" s="244"/>
      <c r="U6" s="244"/>
      <c r="V6" s="244"/>
      <c r="W6" s="244"/>
      <c r="X6" s="244"/>
      <c r="Y6" s="244"/>
      <c r="Z6" s="244"/>
      <c r="AA6" s="244"/>
      <c r="AB6" s="244"/>
      <c r="AC6" s="244"/>
    </row>
    <row r="7" spans="1:29" ht="20.25" customHeight="1" thickBot="1">
      <c r="A7" s="236">
        <v>3</v>
      </c>
      <c r="B7" s="237"/>
      <c r="C7" s="238" t="s">
        <v>550</v>
      </c>
      <c r="D7" s="238" t="s">
        <v>551</v>
      </c>
      <c r="E7" s="239" t="s">
        <v>552</v>
      </c>
      <c r="F7" s="2478"/>
      <c r="G7" s="2481"/>
      <c r="H7" s="246" t="s">
        <v>541</v>
      </c>
      <c r="I7" s="246"/>
      <c r="J7" s="2484"/>
      <c r="K7" s="242"/>
      <c r="L7" s="2484"/>
      <c r="M7" s="243"/>
      <c r="N7" s="244"/>
      <c r="O7" s="244"/>
      <c r="P7" s="244"/>
      <c r="Q7" s="244"/>
      <c r="R7" s="244"/>
      <c r="S7" s="244"/>
      <c r="T7" s="244"/>
      <c r="U7" s="244"/>
      <c r="V7" s="244"/>
      <c r="W7" s="244"/>
      <c r="X7" s="244"/>
      <c r="Y7" s="244"/>
      <c r="Z7" s="244"/>
      <c r="AA7" s="244"/>
      <c r="AB7" s="244"/>
      <c r="AC7" s="244"/>
    </row>
    <row r="8" spans="1:29" ht="20.25" customHeight="1" thickBot="1">
      <c r="A8" s="236">
        <v>4</v>
      </c>
      <c r="B8" s="237"/>
      <c r="C8" s="238" t="s">
        <v>553</v>
      </c>
      <c r="D8" s="238" t="s">
        <v>554</v>
      </c>
      <c r="E8" s="239" t="s">
        <v>555</v>
      </c>
      <c r="F8" s="2478"/>
      <c r="G8" s="2481"/>
      <c r="H8" s="240"/>
      <c r="I8" s="240"/>
      <c r="J8" s="2484"/>
      <c r="K8" s="242"/>
      <c r="L8" s="2484"/>
      <c r="M8" s="247" t="s">
        <v>423</v>
      </c>
      <c r="N8" s="244"/>
      <c r="O8" s="244"/>
      <c r="P8" s="244"/>
      <c r="Q8" s="244"/>
      <c r="R8" s="244"/>
      <c r="S8" s="244"/>
      <c r="T8" s="244"/>
      <c r="U8" s="244"/>
      <c r="V8" s="244"/>
      <c r="W8" s="244"/>
      <c r="X8" s="244"/>
      <c r="Y8" s="244"/>
      <c r="Z8" s="244"/>
      <c r="AA8" s="244"/>
      <c r="AB8" s="244"/>
      <c r="AC8" s="244"/>
    </row>
    <row r="9" spans="1:29" ht="20.25" customHeight="1" thickBot="1">
      <c r="A9" s="236">
        <v>5</v>
      </c>
      <c r="B9" s="237"/>
      <c r="C9" s="238" t="s">
        <v>556</v>
      </c>
      <c r="D9" s="238" t="s">
        <v>557</v>
      </c>
      <c r="E9" s="239" t="s">
        <v>558</v>
      </c>
      <c r="F9" s="2478"/>
      <c r="G9" s="2481"/>
      <c r="H9" s="245" t="s">
        <v>548</v>
      </c>
      <c r="I9" s="245" t="s">
        <v>549</v>
      </c>
      <c r="J9" s="2484"/>
      <c r="K9" s="242"/>
      <c r="L9" s="2484"/>
      <c r="M9" s="243"/>
      <c r="N9" s="244"/>
      <c r="O9" s="244"/>
      <c r="P9" s="244"/>
      <c r="Q9" s="244"/>
      <c r="R9" s="244"/>
      <c r="S9" s="244"/>
      <c r="T9" s="244"/>
      <c r="U9" s="244"/>
      <c r="V9" s="244"/>
      <c r="W9" s="244"/>
      <c r="X9" s="244"/>
      <c r="Y9" s="244"/>
      <c r="Z9" s="244"/>
      <c r="AA9" s="244"/>
      <c r="AB9" s="244"/>
      <c r="AC9" s="244"/>
    </row>
    <row r="10" spans="1:29" ht="20.25" customHeight="1" thickBot="1">
      <c r="A10" s="236">
        <v>6</v>
      </c>
      <c r="B10" s="237"/>
      <c r="C10" s="238" t="s">
        <v>559</v>
      </c>
      <c r="D10" s="238" t="s">
        <v>560</v>
      </c>
      <c r="E10" s="239" t="s">
        <v>561</v>
      </c>
      <c r="F10" s="2478"/>
      <c r="G10" s="2481"/>
      <c r="H10" s="245" t="s">
        <v>548</v>
      </c>
      <c r="I10" s="245" t="s">
        <v>549</v>
      </c>
      <c r="J10" s="2484"/>
      <c r="K10" s="242"/>
      <c r="L10" s="2484"/>
      <c r="M10" s="243"/>
      <c r="N10" s="244"/>
      <c r="O10" s="244"/>
      <c r="P10" s="244"/>
      <c r="Q10" s="244"/>
      <c r="R10" s="244"/>
      <c r="S10" s="244"/>
      <c r="T10" s="244"/>
      <c r="U10" s="244"/>
      <c r="V10" s="244"/>
      <c r="W10" s="244"/>
      <c r="X10" s="244"/>
      <c r="Y10" s="244"/>
      <c r="Z10" s="244"/>
      <c r="AA10" s="244"/>
      <c r="AB10" s="244"/>
      <c r="AC10" s="244"/>
    </row>
    <row r="11" spans="1:29" ht="20.25" customHeight="1" thickBot="1">
      <c r="A11" s="236">
        <v>7</v>
      </c>
      <c r="B11" s="237"/>
      <c r="C11" s="238" t="s">
        <v>562</v>
      </c>
      <c r="D11" s="238" t="s">
        <v>563</v>
      </c>
      <c r="E11" s="239" t="s">
        <v>564</v>
      </c>
      <c r="F11" s="2478"/>
      <c r="G11" s="2481"/>
      <c r="H11" s="246" t="s">
        <v>541</v>
      </c>
      <c r="I11" s="246" t="s">
        <v>541</v>
      </c>
      <c r="J11" s="2484"/>
      <c r="K11" s="242"/>
      <c r="L11" s="2484"/>
      <c r="M11" s="243"/>
      <c r="N11" s="244"/>
      <c r="O11" s="244"/>
      <c r="P11" s="244"/>
      <c r="Q11" s="244"/>
      <c r="R11" s="244"/>
      <c r="S11" s="244"/>
      <c r="T11" s="244"/>
      <c r="U11" s="244"/>
      <c r="V11" s="244"/>
      <c r="W11" s="244"/>
      <c r="X11" s="244"/>
      <c r="Y11" s="244"/>
      <c r="Z11" s="244"/>
      <c r="AA11" s="244"/>
      <c r="AB11" s="244"/>
      <c r="AC11" s="244"/>
    </row>
    <row r="12" spans="1:29" ht="20.25" customHeight="1" thickBot="1">
      <c r="A12" s="236">
        <v>8</v>
      </c>
      <c r="B12" s="237"/>
      <c r="C12" s="238" t="s">
        <v>565</v>
      </c>
      <c r="D12" s="238" t="s">
        <v>566</v>
      </c>
      <c r="E12" s="239" t="s">
        <v>567</v>
      </c>
      <c r="F12" s="2479"/>
      <c r="G12" s="2482"/>
      <c r="H12" s="240"/>
      <c r="I12" s="240"/>
      <c r="J12" s="2485"/>
      <c r="K12" s="242"/>
      <c r="L12" s="2485"/>
      <c r="M12" s="243"/>
      <c r="N12" s="244"/>
      <c r="O12" s="244"/>
      <c r="P12" s="244"/>
      <c r="Q12" s="244"/>
      <c r="R12" s="244"/>
      <c r="S12" s="244"/>
      <c r="T12" s="244"/>
      <c r="U12" s="244"/>
      <c r="V12" s="244"/>
      <c r="W12" s="244"/>
      <c r="X12" s="244"/>
      <c r="Y12" s="244"/>
      <c r="Z12" s="244"/>
      <c r="AA12" s="244"/>
      <c r="AB12" s="244"/>
      <c r="AC12" s="244"/>
    </row>
    <row r="13" spans="1:29" ht="20.25" customHeight="1" thickBot="1">
      <c r="A13" s="230">
        <v>2</v>
      </c>
      <c r="B13" s="248" t="s">
        <v>490</v>
      </c>
      <c r="C13" s="2491" t="s">
        <v>568</v>
      </c>
      <c r="D13" s="2492"/>
      <c r="E13" s="2492"/>
      <c r="F13" s="249"/>
      <c r="G13" s="249"/>
      <c r="H13" s="249"/>
      <c r="I13" s="249"/>
      <c r="J13" s="249"/>
      <c r="K13" s="250"/>
      <c r="L13" s="250"/>
      <c r="M13" s="250"/>
      <c r="N13" s="235"/>
      <c r="O13" s="235"/>
      <c r="P13" s="235"/>
      <c r="Q13" s="235"/>
      <c r="R13" s="235"/>
      <c r="S13" s="235"/>
      <c r="T13" s="235"/>
      <c r="U13" s="235"/>
      <c r="V13" s="235"/>
      <c r="W13" s="235"/>
      <c r="X13" s="235"/>
      <c r="Y13" s="235"/>
      <c r="Z13" s="235"/>
      <c r="AA13" s="235"/>
      <c r="AB13" s="235"/>
      <c r="AC13" s="235"/>
    </row>
    <row r="14" spans="1:29" ht="20.25" customHeight="1" thickBot="1">
      <c r="A14" s="236">
        <v>1</v>
      </c>
      <c r="B14" s="237"/>
      <c r="C14" s="238" t="s">
        <v>491</v>
      </c>
      <c r="D14" s="238" t="s">
        <v>569</v>
      </c>
      <c r="E14" s="239" t="s">
        <v>570</v>
      </c>
      <c r="F14" s="2477" t="s">
        <v>34</v>
      </c>
      <c r="G14" s="2480">
        <v>43747</v>
      </c>
      <c r="H14" s="251" t="s">
        <v>541</v>
      </c>
      <c r="I14" s="251" t="s">
        <v>541</v>
      </c>
      <c r="J14" s="2493" t="s">
        <v>571</v>
      </c>
      <c r="K14" s="2496"/>
      <c r="L14" s="2483"/>
      <c r="M14" s="243"/>
      <c r="N14" s="244"/>
      <c r="O14" s="244"/>
      <c r="P14" s="244"/>
      <c r="Q14" s="244"/>
      <c r="R14" s="244"/>
      <c r="S14" s="244"/>
      <c r="T14" s="244"/>
      <c r="U14" s="244"/>
      <c r="V14" s="244"/>
      <c r="W14" s="244"/>
      <c r="X14" s="244"/>
      <c r="Y14" s="244"/>
      <c r="Z14" s="244"/>
      <c r="AA14" s="244"/>
      <c r="AB14" s="244"/>
      <c r="AC14" s="244"/>
    </row>
    <row r="15" spans="1:29" ht="20.25" customHeight="1" thickBot="1">
      <c r="A15" s="236">
        <v>2</v>
      </c>
      <c r="B15" s="237"/>
      <c r="C15" s="238" t="s">
        <v>493</v>
      </c>
      <c r="D15" s="238" t="s">
        <v>572</v>
      </c>
      <c r="E15" s="239" t="s">
        <v>573</v>
      </c>
      <c r="F15" s="2478"/>
      <c r="G15" s="2481"/>
      <c r="H15" s="251"/>
      <c r="I15" s="251"/>
      <c r="J15" s="2494"/>
      <c r="K15" s="2497"/>
      <c r="L15" s="2484"/>
      <c r="M15" s="243"/>
      <c r="N15" s="244"/>
      <c r="O15" s="244"/>
      <c r="P15" s="244"/>
      <c r="Q15" s="244"/>
      <c r="R15" s="244"/>
      <c r="S15" s="244"/>
      <c r="T15" s="244"/>
      <c r="U15" s="244"/>
      <c r="V15" s="244"/>
      <c r="W15" s="244"/>
      <c r="X15" s="244"/>
      <c r="Y15" s="244"/>
      <c r="Z15" s="244"/>
      <c r="AA15" s="244"/>
      <c r="AB15" s="244"/>
      <c r="AC15" s="244"/>
    </row>
    <row r="16" spans="1:29" ht="20.25" customHeight="1" thickBot="1">
      <c r="A16" s="236">
        <v>3</v>
      </c>
      <c r="B16" s="237"/>
      <c r="C16" s="238" t="s">
        <v>574</v>
      </c>
      <c r="D16" s="238" t="s">
        <v>575</v>
      </c>
      <c r="E16" s="239" t="s">
        <v>576</v>
      </c>
      <c r="F16" s="2478"/>
      <c r="G16" s="2481"/>
      <c r="H16" s="2488" t="s">
        <v>577</v>
      </c>
      <c r="I16" s="2488" t="s">
        <v>578</v>
      </c>
      <c r="J16" s="2494"/>
      <c r="K16" s="2497"/>
      <c r="L16" s="2484"/>
      <c r="M16" s="243"/>
      <c r="N16" s="244"/>
      <c r="O16" s="244"/>
      <c r="P16" s="244"/>
      <c r="Q16" s="244"/>
      <c r="R16" s="244"/>
      <c r="S16" s="244"/>
      <c r="T16" s="244"/>
      <c r="U16" s="244"/>
      <c r="V16" s="244"/>
      <c r="W16" s="244"/>
      <c r="X16" s="244"/>
      <c r="Y16" s="244"/>
      <c r="Z16" s="244"/>
      <c r="AA16" s="244"/>
      <c r="AB16" s="244"/>
      <c r="AC16" s="244"/>
    </row>
    <row r="17" spans="1:29" ht="20.25" customHeight="1" thickBot="1">
      <c r="A17" s="236">
        <v>4</v>
      </c>
      <c r="B17" s="237"/>
      <c r="C17" s="238" t="s">
        <v>579</v>
      </c>
      <c r="D17" s="238" t="s">
        <v>580</v>
      </c>
      <c r="E17" s="239" t="s">
        <v>581</v>
      </c>
      <c r="F17" s="2478"/>
      <c r="G17" s="2481"/>
      <c r="H17" s="2489"/>
      <c r="I17" s="2489"/>
      <c r="J17" s="2494"/>
      <c r="K17" s="2497"/>
      <c r="L17" s="2484"/>
      <c r="M17" s="243"/>
      <c r="N17" s="244"/>
      <c r="O17" s="244"/>
      <c r="P17" s="244"/>
      <c r="Q17" s="244"/>
      <c r="R17" s="244"/>
      <c r="S17" s="244"/>
      <c r="T17" s="244"/>
      <c r="U17" s="244"/>
      <c r="V17" s="244"/>
      <c r="W17" s="244"/>
      <c r="X17" s="244"/>
      <c r="Y17" s="244"/>
      <c r="Z17" s="244"/>
      <c r="AA17" s="244"/>
      <c r="AB17" s="244"/>
      <c r="AC17" s="244"/>
    </row>
    <row r="18" spans="1:29" ht="20.25" customHeight="1" thickBot="1">
      <c r="A18" s="236">
        <v>5</v>
      </c>
      <c r="B18" s="237"/>
      <c r="C18" s="238" t="s">
        <v>582</v>
      </c>
      <c r="D18" s="238" t="s">
        <v>583</v>
      </c>
      <c r="E18" s="239" t="s">
        <v>584</v>
      </c>
      <c r="F18" s="2478"/>
      <c r="G18" s="2481"/>
      <c r="H18" s="2488" t="s">
        <v>577</v>
      </c>
      <c r="I18" s="2488" t="s">
        <v>578</v>
      </c>
      <c r="J18" s="2494"/>
      <c r="K18" s="2497"/>
      <c r="L18" s="2484"/>
      <c r="M18" s="243"/>
      <c r="N18" s="244"/>
      <c r="O18" s="244"/>
      <c r="P18" s="244"/>
      <c r="Q18" s="244"/>
      <c r="R18" s="244"/>
      <c r="S18" s="244"/>
      <c r="T18" s="244"/>
      <c r="U18" s="244"/>
      <c r="V18" s="244"/>
      <c r="W18" s="244"/>
      <c r="X18" s="244"/>
      <c r="Y18" s="244"/>
      <c r="Z18" s="244"/>
      <c r="AA18" s="244"/>
      <c r="AB18" s="244"/>
      <c r="AC18" s="244"/>
    </row>
    <row r="19" spans="1:29" ht="20.25" customHeight="1" thickBot="1">
      <c r="A19" s="236">
        <v>6</v>
      </c>
      <c r="B19" s="237"/>
      <c r="C19" s="238" t="s">
        <v>585</v>
      </c>
      <c r="D19" s="238" t="s">
        <v>586</v>
      </c>
      <c r="E19" s="239" t="s">
        <v>587</v>
      </c>
      <c r="F19" s="2478"/>
      <c r="G19" s="2481"/>
      <c r="H19" s="2490"/>
      <c r="I19" s="2490"/>
      <c r="J19" s="2494"/>
      <c r="K19" s="2497"/>
      <c r="L19" s="2484"/>
      <c r="M19" s="247" t="s">
        <v>423</v>
      </c>
      <c r="N19" s="244"/>
      <c r="O19" s="244"/>
      <c r="P19" s="244"/>
      <c r="Q19" s="244"/>
      <c r="R19" s="244"/>
      <c r="S19" s="244"/>
      <c r="T19" s="244"/>
      <c r="U19" s="244"/>
      <c r="V19" s="244"/>
      <c r="W19" s="244"/>
      <c r="X19" s="244"/>
      <c r="Y19" s="244"/>
      <c r="Z19" s="244"/>
      <c r="AA19" s="244"/>
      <c r="AB19" s="244"/>
      <c r="AC19" s="244"/>
    </row>
    <row r="20" spans="1:29" ht="20.25" customHeight="1" thickBot="1">
      <c r="A20" s="236">
        <v>7</v>
      </c>
      <c r="B20" s="237"/>
      <c r="C20" s="238" t="s">
        <v>588</v>
      </c>
      <c r="D20" s="238" t="s">
        <v>589</v>
      </c>
      <c r="E20" s="239" t="s">
        <v>590</v>
      </c>
      <c r="F20" s="2478"/>
      <c r="G20" s="2481"/>
      <c r="H20" s="251"/>
      <c r="I20" s="251"/>
      <c r="J20" s="2494"/>
      <c r="K20" s="2497"/>
      <c r="L20" s="2484"/>
      <c r="M20" s="243"/>
      <c r="N20" s="244"/>
      <c r="O20" s="244"/>
      <c r="P20" s="244"/>
      <c r="Q20" s="244"/>
      <c r="R20" s="244"/>
      <c r="S20" s="244"/>
      <c r="T20" s="244"/>
      <c r="U20" s="244"/>
      <c r="V20" s="244"/>
      <c r="W20" s="244"/>
      <c r="X20" s="244"/>
      <c r="Y20" s="244"/>
      <c r="Z20" s="244"/>
      <c r="AA20" s="244"/>
      <c r="AB20" s="244"/>
      <c r="AC20" s="244"/>
    </row>
    <row r="21" spans="1:29" ht="20.25" customHeight="1" thickBot="1">
      <c r="A21" s="236">
        <v>8</v>
      </c>
      <c r="B21" s="237"/>
      <c r="C21" s="238" t="s">
        <v>591</v>
      </c>
      <c r="D21" s="238" t="s">
        <v>592</v>
      </c>
      <c r="E21" s="239" t="s">
        <v>593</v>
      </c>
      <c r="F21" s="2478"/>
      <c r="G21" s="2481"/>
      <c r="H21" s="251"/>
      <c r="I21" s="251"/>
      <c r="J21" s="2494"/>
      <c r="K21" s="2497"/>
      <c r="L21" s="2484"/>
      <c r="M21" s="243"/>
      <c r="N21" s="244"/>
      <c r="O21" s="244"/>
      <c r="P21" s="244"/>
      <c r="Q21" s="244"/>
      <c r="R21" s="244"/>
      <c r="S21" s="244"/>
      <c r="T21" s="244"/>
      <c r="U21" s="244"/>
      <c r="V21" s="244"/>
      <c r="W21" s="244"/>
      <c r="X21" s="244"/>
      <c r="Y21" s="244"/>
      <c r="Z21" s="244"/>
      <c r="AA21" s="244"/>
      <c r="AB21" s="244"/>
      <c r="AC21" s="244"/>
    </row>
    <row r="22" spans="1:29" ht="20.25" customHeight="1" thickBot="1">
      <c r="A22" s="236">
        <v>9</v>
      </c>
      <c r="B22" s="237"/>
      <c r="C22" s="238" t="s">
        <v>594</v>
      </c>
      <c r="D22" s="238" t="s">
        <v>595</v>
      </c>
      <c r="E22" s="239" t="s">
        <v>596</v>
      </c>
      <c r="F22" s="2478"/>
      <c r="G22" s="2481"/>
      <c r="H22" s="2486" t="s">
        <v>577</v>
      </c>
      <c r="I22" s="2488" t="s">
        <v>578</v>
      </c>
      <c r="J22" s="2494"/>
      <c r="K22" s="2497"/>
      <c r="L22" s="2484"/>
      <c r="M22" s="243"/>
      <c r="N22" s="244"/>
      <c r="O22" s="244"/>
      <c r="P22" s="244"/>
      <c r="Q22" s="244"/>
      <c r="R22" s="244"/>
      <c r="S22" s="244"/>
      <c r="T22" s="244"/>
      <c r="U22" s="244"/>
      <c r="V22" s="244"/>
      <c r="W22" s="244"/>
      <c r="X22" s="244"/>
      <c r="Y22" s="244"/>
      <c r="Z22" s="244"/>
      <c r="AA22" s="244"/>
      <c r="AB22" s="244"/>
      <c r="AC22" s="244"/>
    </row>
    <row r="23" spans="1:29" ht="20.25" customHeight="1" thickBot="1">
      <c r="A23" s="236">
        <v>10</v>
      </c>
      <c r="B23" s="237"/>
      <c r="C23" s="238" t="s">
        <v>597</v>
      </c>
      <c r="D23" s="238" t="s">
        <v>598</v>
      </c>
      <c r="E23" s="239" t="s">
        <v>599</v>
      </c>
      <c r="F23" s="2478"/>
      <c r="G23" s="2481"/>
      <c r="H23" s="2487"/>
      <c r="I23" s="2489"/>
      <c r="J23" s="2494"/>
      <c r="K23" s="2497"/>
      <c r="L23" s="2484"/>
      <c r="M23" s="243"/>
      <c r="N23" s="244"/>
      <c r="O23" s="244"/>
      <c r="P23" s="244"/>
      <c r="Q23" s="244"/>
      <c r="R23" s="244"/>
      <c r="S23" s="244"/>
      <c r="T23" s="244"/>
      <c r="U23" s="244"/>
      <c r="V23" s="244"/>
      <c r="W23" s="244"/>
      <c r="X23" s="244"/>
      <c r="Y23" s="244"/>
      <c r="Z23" s="244"/>
      <c r="AA23" s="244"/>
      <c r="AB23" s="244"/>
      <c r="AC23" s="244"/>
    </row>
    <row r="24" spans="1:29" ht="20.25" customHeight="1" thickBot="1">
      <c r="A24" s="236">
        <v>11</v>
      </c>
      <c r="B24" s="237"/>
      <c r="C24" s="238" t="s">
        <v>600</v>
      </c>
      <c r="D24" s="238" t="s">
        <v>601</v>
      </c>
      <c r="E24" s="239" t="s">
        <v>602</v>
      </c>
      <c r="F24" s="2478"/>
      <c r="G24" s="2481"/>
      <c r="H24" s="245" t="s">
        <v>577</v>
      </c>
      <c r="I24" s="245" t="s">
        <v>578</v>
      </c>
      <c r="J24" s="2494"/>
      <c r="K24" s="2497"/>
      <c r="L24" s="2484"/>
      <c r="M24" s="243"/>
      <c r="N24" s="244"/>
      <c r="O24" s="244"/>
      <c r="P24" s="244"/>
      <c r="Q24" s="244"/>
      <c r="R24" s="244"/>
      <c r="S24" s="244"/>
      <c r="T24" s="244"/>
      <c r="U24" s="244"/>
      <c r="V24" s="244"/>
      <c r="W24" s="244"/>
      <c r="X24" s="244"/>
      <c r="Y24" s="244"/>
      <c r="Z24" s="244"/>
      <c r="AA24" s="244"/>
      <c r="AB24" s="244"/>
      <c r="AC24" s="244"/>
    </row>
    <row r="25" spans="1:29" ht="20.25" customHeight="1" thickBot="1">
      <c r="A25" s="236">
        <v>12</v>
      </c>
      <c r="B25" s="252"/>
      <c r="C25" s="238" t="s">
        <v>603</v>
      </c>
      <c r="D25" s="238" t="s">
        <v>604</v>
      </c>
      <c r="E25" s="239" t="s">
        <v>605</v>
      </c>
      <c r="F25" s="2479"/>
      <c r="G25" s="2482"/>
      <c r="H25" s="251"/>
      <c r="I25" s="251"/>
      <c r="J25" s="2495"/>
      <c r="K25" s="2498"/>
      <c r="L25" s="2485"/>
      <c r="M25" s="243"/>
      <c r="N25" s="244"/>
      <c r="O25" s="244"/>
      <c r="P25" s="244"/>
      <c r="Q25" s="244"/>
      <c r="R25" s="244"/>
      <c r="S25" s="244"/>
      <c r="T25" s="244"/>
      <c r="U25" s="244"/>
      <c r="V25" s="244"/>
      <c r="W25" s="244"/>
      <c r="X25" s="244"/>
      <c r="Y25" s="244"/>
      <c r="Z25" s="244"/>
      <c r="AA25" s="244"/>
      <c r="AB25" s="244"/>
      <c r="AC25" s="244"/>
    </row>
    <row r="26" spans="1:29" ht="20.25" customHeight="1" thickBot="1">
      <c r="A26" s="230">
        <v>3</v>
      </c>
      <c r="B26" s="231" t="s">
        <v>606</v>
      </c>
      <c r="C26" s="232" t="s">
        <v>607</v>
      </c>
      <c r="D26" s="253"/>
      <c r="E26" s="233"/>
      <c r="F26" s="249"/>
      <c r="G26" s="233"/>
      <c r="H26" s="249"/>
      <c r="I26" s="249"/>
      <c r="J26" s="249"/>
      <c r="K26" s="250"/>
      <c r="L26" s="250"/>
      <c r="M26" s="250"/>
      <c r="N26" s="223"/>
      <c r="O26" s="223"/>
      <c r="P26" s="223"/>
      <c r="Q26" s="223"/>
      <c r="R26" s="223"/>
      <c r="S26" s="223"/>
      <c r="T26" s="223"/>
      <c r="U26" s="223"/>
      <c r="V26" s="223"/>
      <c r="W26" s="223"/>
      <c r="X26" s="223"/>
      <c r="Y26" s="223"/>
      <c r="Z26" s="223"/>
      <c r="AA26" s="223"/>
      <c r="AB26" s="223"/>
      <c r="AC26" s="223"/>
    </row>
    <row r="27" spans="1:29" ht="20.25" customHeight="1" thickBot="1">
      <c r="A27" s="236">
        <v>1</v>
      </c>
      <c r="B27" s="237"/>
      <c r="C27" s="239" t="s">
        <v>455</v>
      </c>
      <c r="D27" s="254" t="s">
        <v>608</v>
      </c>
      <c r="E27" s="255" t="s">
        <v>609</v>
      </c>
      <c r="F27" s="2477" t="s">
        <v>34</v>
      </c>
      <c r="G27" s="2480">
        <v>43747</v>
      </c>
      <c r="H27" s="256" t="s">
        <v>541</v>
      </c>
      <c r="I27" s="256"/>
      <c r="J27" s="2483" t="s">
        <v>542</v>
      </c>
      <c r="K27" s="241" t="s">
        <v>543</v>
      </c>
      <c r="L27" s="2483"/>
      <c r="M27" s="243"/>
      <c r="N27" s="244"/>
      <c r="O27" s="244"/>
      <c r="P27" s="244"/>
      <c r="Q27" s="244"/>
      <c r="R27" s="244"/>
      <c r="S27" s="244"/>
      <c r="T27" s="244"/>
      <c r="U27" s="244"/>
      <c r="V27" s="244"/>
      <c r="W27" s="244"/>
      <c r="X27" s="244"/>
      <c r="Y27" s="244"/>
      <c r="Z27" s="244"/>
      <c r="AA27" s="244"/>
      <c r="AB27" s="244"/>
      <c r="AC27" s="244"/>
    </row>
    <row r="28" spans="1:29" ht="20.25" customHeight="1" thickBot="1">
      <c r="A28" s="236">
        <v>2</v>
      </c>
      <c r="B28" s="237"/>
      <c r="C28" s="239" t="s">
        <v>449</v>
      </c>
      <c r="D28" s="254" t="s">
        <v>608</v>
      </c>
      <c r="E28" s="239" t="s">
        <v>611</v>
      </c>
      <c r="F28" s="2478"/>
      <c r="G28" s="2481"/>
      <c r="H28" s="256"/>
      <c r="I28" s="256"/>
      <c r="J28" s="2484"/>
      <c r="K28" s="241" t="s">
        <v>610</v>
      </c>
      <c r="L28" s="2484"/>
      <c r="M28" s="243"/>
      <c r="N28" s="244"/>
      <c r="O28" s="244"/>
      <c r="P28" s="244"/>
      <c r="Q28" s="244"/>
      <c r="R28" s="244"/>
      <c r="S28" s="244"/>
      <c r="T28" s="244"/>
      <c r="U28" s="244"/>
      <c r="V28" s="244"/>
      <c r="W28" s="244"/>
      <c r="X28" s="244"/>
      <c r="Y28" s="244"/>
      <c r="Z28" s="244"/>
      <c r="AA28" s="244"/>
      <c r="AB28" s="244"/>
      <c r="AC28" s="244"/>
    </row>
    <row r="29" spans="1:29" ht="20.25" customHeight="1" thickBot="1">
      <c r="A29" s="236">
        <v>3</v>
      </c>
      <c r="B29" s="237"/>
      <c r="C29" s="239" t="s">
        <v>456</v>
      </c>
      <c r="D29" s="254" t="s">
        <v>612</v>
      </c>
      <c r="E29" s="239" t="s">
        <v>613</v>
      </c>
      <c r="F29" s="2478"/>
      <c r="G29" s="2481"/>
      <c r="H29" s="256"/>
      <c r="I29" s="256"/>
      <c r="J29" s="2484"/>
      <c r="K29" s="242"/>
      <c r="L29" s="2484"/>
      <c r="M29" s="243"/>
      <c r="N29" s="244"/>
      <c r="O29" s="244"/>
      <c r="P29" s="244"/>
      <c r="Q29" s="244"/>
      <c r="R29" s="244"/>
      <c r="S29" s="244"/>
      <c r="T29" s="244"/>
      <c r="U29" s="244"/>
      <c r="V29" s="244"/>
      <c r="W29" s="244"/>
      <c r="X29" s="244"/>
      <c r="Y29" s="244"/>
      <c r="Z29" s="244"/>
      <c r="AA29" s="244"/>
      <c r="AB29" s="244"/>
      <c r="AC29" s="244"/>
    </row>
    <row r="30" spans="1:29" ht="20.25" customHeight="1" thickBot="1">
      <c r="A30" s="236">
        <v>4</v>
      </c>
      <c r="B30" s="237"/>
      <c r="C30" s="239" t="s">
        <v>453</v>
      </c>
      <c r="D30" s="254" t="s">
        <v>612</v>
      </c>
      <c r="E30" s="239" t="s">
        <v>614</v>
      </c>
      <c r="F30" s="2478"/>
      <c r="G30" s="2481"/>
      <c r="H30" s="256"/>
      <c r="I30" s="256"/>
      <c r="J30" s="2484"/>
      <c r="K30" s="242"/>
      <c r="L30" s="2484"/>
      <c r="M30" s="243"/>
      <c r="N30" s="244"/>
      <c r="O30" s="244"/>
      <c r="P30" s="244"/>
      <c r="Q30" s="244"/>
      <c r="R30" s="244"/>
      <c r="S30" s="244"/>
      <c r="T30" s="244"/>
      <c r="U30" s="244"/>
      <c r="V30" s="244"/>
      <c r="W30" s="244"/>
      <c r="X30" s="244"/>
      <c r="Y30" s="244"/>
      <c r="Z30" s="244"/>
      <c r="AA30" s="244"/>
      <c r="AB30" s="244"/>
      <c r="AC30" s="244"/>
    </row>
    <row r="31" spans="1:29" ht="20.25" customHeight="1" thickBot="1">
      <c r="A31" s="236">
        <v>5</v>
      </c>
      <c r="B31" s="237"/>
      <c r="C31" s="239" t="s">
        <v>615</v>
      </c>
      <c r="D31" s="254" t="s">
        <v>616</v>
      </c>
      <c r="E31" s="257" t="s">
        <v>609</v>
      </c>
      <c r="F31" s="2478"/>
      <c r="G31" s="2481"/>
      <c r="H31" s="2488" t="s">
        <v>617</v>
      </c>
      <c r="I31" s="2488" t="s">
        <v>578</v>
      </c>
      <c r="J31" s="2484"/>
      <c r="K31" s="242"/>
      <c r="L31" s="2484"/>
      <c r="M31" s="243"/>
      <c r="N31" s="244"/>
      <c r="O31" s="244"/>
      <c r="P31" s="244"/>
      <c r="Q31" s="244"/>
      <c r="R31" s="244"/>
      <c r="S31" s="244"/>
      <c r="T31" s="244"/>
      <c r="U31" s="244"/>
      <c r="V31" s="244"/>
      <c r="W31" s="244"/>
      <c r="X31" s="244"/>
      <c r="Y31" s="244"/>
      <c r="Z31" s="244"/>
      <c r="AA31" s="244"/>
      <c r="AB31" s="244"/>
      <c r="AC31" s="244"/>
    </row>
    <row r="32" spans="1:29" ht="20.25" customHeight="1" thickBot="1">
      <c r="A32" s="236">
        <v>6</v>
      </c>
      <c r="B32" s="237"/>
      <c r="C32" s="239" t="s">
        <v>618</v>
      </c>
      <c r="D32" s="254" t="s">
        <v>616</v>
      </c>
      <c r="E32" s="239" t="s">
        <v>619</v>
      </c>
      <c r="F32" s="2478"/>
      <c r="G32" s="2481"/>
      <c r="H32" s="2490"/>
      <c r="I32" s="2490"/>
      <c r="J32" s="2484"/>
      <c r="K32" s="242"/>
      <c r="L32" s="2484"/>
      <c r="M32" s="243"/>
      <c r="N32" s="244"/>
      <c r="O32" s="244"/>
      <c r="P32" s="244"/>
      <c r="Q32" s="244"/>
      <c r="R32" s="244"/>
      <c r="S32" s="244"/>
      <c r="T32" s="244"/>
      <c r="U32" s="244"/>
      <c r="V32" s="244"/>
      <c r="W32" s="244"/>
      <c r="X32" s="244"/>
      <c r="Y32" s="244"/>
      <c r="Z32" s="244"/>
      <c r="AA32" s="244"/>
      <c r="AB32" s="244"/>
      <c r="AC32" s="244"/>
    </row>
    <row r="33" spans="1:29" ht="20.25" customHeight="1" thickBot="1">
      <c r="A33" s="236">
        <v>7</v>
      </c>
      <c r="B33" s="258" t="s">
        <v>620</v>
      </c>
      <c r="C33" s="255" t="s">
        <v>621</v>
      </c>
      <c r="D33" s="254" t="s">
        <v>622</v>
      </c>
      <c r="E33" s="239" t="s">
        <v>623</v>
      </c>
      <c r="F33" s="2478"/>
      <c r="G33" s="2481"/>
      <c r="H33" s="2490"/>
      <c r="I33" s="2490"/>
      <c r="J33" s="2484"/>
      <c r="K33" s="242"/>
      <c r="L33" s="2484"/>
      <c r="M33" s="247" t="s">
        <v>423</v>
      </c>
      <c r="N33" s="244"/>
      <c r="O33" s="244"/>
      <c r="P33" s="244"/>
      <c r="Q33" s="244"/>
      <c r="R33" s="244"/>
      <c r="S33" s="244"/>
      <c r="T33" s="244"/>
      <c r="U33" s="244"/>
      <c r="V33" s="244"/>
      <c r="W33" s="244"/>
      <c r="X33" s="244"/>
      <c r="Y33" s="244"/>
      <c r="Z33" s="244"/>
      <c r="AA33" s="244"/>
      <c r="AB33" s="244"/>
      <c r="AC33" s="244"/>
    </row>
    <row r="34" spans="1:29" ht="20.25" customHeight="1" thickBot="1">
      <c r="A34" s="236">
        <v>8</v>
      </c>
      <c r="B34" s="237"/>
      <c r="C34" s="259" t="s">
        <v>624</v>
      </c>
      <c r="D34" s="254" t="s">
        <v>622</v>
      </c>
      <c r="E34" s="239" t="s">
        <v>625</v>
      </c>
      <c r="F34" s="2478"/>
      <c r="G34" s="2481"/>
      <c r="H34" s="2489"/>
      <c r="I34" s="2490"/>
      <c r="J34" s="2484"/>
      <c r="K34" s="242"/>
      <c r="L34" s="2484"/>
      <c r="M34" s="243"/>
      <c r="N34" s="244"/>
      <c r="O34" s="244"/>
      <c r="P34" s="244"/>
      <c r="Q34" s="244"/>
      <c r="R34" s="244"/>
      <c r="S34" s="244"/>
      <c r="T34" s="244"/>
      <c r="U34" s="244"/>
      <c r="V34" s="244"/>
      <c r="W34" s="244"/>
      <c r="X34" s="244"/>
      <c r="Y34" s="244"/>
      <c r="Z34" s="244"/>
      <c r="AA34" s="244"/>
      <c r="AB34" s="244"/>
      <c r="AC34" s="244"/>
    </row>
    <row r="35" spans="1:29" ht="20.25" customHeight="1" thickBot="1">
      <c r="A35" s="236">
        <v>9</v>
      </c>
      <c r="B35" s="237"/>
      <c r="C35" s="239" t="s">
        <v>626</v>
      </c>
      <c r="D35" s="254" t="s">
        <v>627</v>
      </c>
      <c r="E35" s="239" t="s">
        <v>628</v>
      </c>
      <c r="F35" s="2478"/>
      <c r="G35" s="2481"/>
      <c r="H35" s="260" t="s">
        <v>541</v>
      </c>
      <c r="I35" s="256"/>
      <c r="J35" s="2484"/>
      <c r="K35" s="242"/>
      <c r="L35" s="2484"/>
      <c r="M35" s="243"/>
      <c r="N35" s="244"/>
      <c r="O35" s="244"/>
      <c r="P35" s="244"/>
      <c r="Q35" s="244"/>
      <c r="R35" s="244"/>
      <c r="S35" s="244"/>
      <c r="T35" s="244"/>
      <c r="U35" s="244"/>
      <c r="V35" s="244"/>
      <c r="W35" s="244"/>
      <c r="X35" s="244"/>
      <c r="Y35" s="244"/>
      <c r="Z35" s="244"/>
      <c r="AA35" s="244"/>
      <c r="AB35" s="244"/>
      <c r="AC35" s="244"/>
    </row>
    <row r="36" spans="1:29" ht="20.25" customHeight="1" thickBot="1">
      <c r="A36" s="236">
        <v>10</v>
      </c>
      <c r="B36" s="237"/>
      <c r="C36" s="239" t="s">
        <v>629</v>
      </c>
      <c r="D36" s="254" t="s">
        <v>630</v>
      </c>
      <c r="E36" s="239" t="s">
        <v>631</v>
      </c>
      <c r="F36" s="2479"/>
      <c r="G36" s="2482"/>
      <c r="H36" s="256"/>
      <c r="I36" s="256"/>
      <c r="J36" s="2485"/>
      <c r="K36" s="242"/>
      <c r="L36" s="2485"/>
      <c r="M36" s="243"/>
      <c r="N36" s="244"/>
      <c r="O36" s="244"/>
      <c r="P36" s="244"/>
      <c r="Q36" s="244"/>
      <c r="R36" s="244"/>
      <c r="S36" s="244"/>
      <c r="T36" s="244"/>
      <c r="U36" s="244"/>
      <c r="V36" s="244"/>
      <c r="W36" s="244"/>
      <c r="X36" s="244"/>
      <c r="Y36" s="244"/>
      <c r="Z36" s="244"/>
      <c r="AA36" s="244"/>
      <c r="AB36" s="244"/>
      <c r="AC36" s="244"/>
    </row>
    <row r="37" spans="1:29" ht="20.25" customHeight="1" thickBot="1">
      <c r="A37" s="230">
        <v>4</v>
      </c>
      <c r="B37" s="248" t="s">
        <v>632</v>
      </c>
      <c r="C37" s="232" t="s">
        <v>633</v>
      </c>
      <c r="D37" s="253"/>
      <c r="E37" s="233"/>
      <c r="F37" s="249"/>
      <c r="G37" s="233"/>
      <c r="H37" s="249"/>
      <c r="I37" s="249"/>
      <c r="J37" s="249"/>
      <c r="K37" s="250"/>
      <c r="L37" s="250"/>
      <c r="M37" s="250"/>
      <c r="N37" s="223"/>
      <c r="O37" s="223"/>
      <c r="P37" s="223"/>
      <c r="Q37" s="223"/>
      <c r="R37" s="223"/>
      <c r="S37" s="223"/>
      <c r="T37" s="223"/>
      <c r="U37" s="223"/>
      <c r="V37" s="223"/>
      <c r="W37" s="223"/>
      <c r="X37" s="223"/>
      <c r="Y37" s="223"/>
      <c r="Z37" s="223"/>
      <c r="AA37" s="223"/>
      <c r="AB37" s="223"/>
      <c r="AC37" s="223"/>
    </row>
    <row r="38" spans="1:29" ht="20.25" customHeight="1" thickBot="1">
      <c r="A38" s="236">
        <v>1</v>
      </c>
      <c r="B38" s="237"/>
      <c r="C38" s="239" t="s">
        <v>458</v>
      </c>
      <c r="D38" s="239" t="s">
        <v>634</v>
      </c>
      <c r="E38" s="239" t="s">
        <v>635</v>
      </c>
      <c r="F38" s="2499" t="s">
        <v>34</v>
      </c>
      <c r="G38" s="2480">
        <v>43747</v>
      </c>
      <c r="H38" s="261" t="s">
        <v>577</v>
      </c>
      <c r="I38" s="261" t="s">
        <v>522</v>
      </c>
      <c r="J38" s="2483" t="s">
        <v>571</v>
      </c>
      <c r="K38" s="241" t="s">
        <v>543</v>
      </c>
      <c r="L38" s="2483"/>
      <c r="M38" s="247" t="s">
        <v>423</v>
      </c>
      <c r="N38" s="244"/>
      <c r="O38" s="244"/>
      <c r="P38" s="244"/>
      <c r="Q38" s="244"/>
      <c r="R38" s="244"/>
      <c r="S38" s="244"/>
      <c r="T38" s="244"/>
      <c r="U38" s="244"/>
      <c r="V38" s="244"/>
      <c r="W38" s="244"/>
      <c r="X38" s="244"/>
      <c r="Y38" s="244"/>
      <c r="Z38" s="244"/>
      <c r="AA38" s="244"/>
      <c r="AB38" s="244"/>
      <c r="AC38" s="244"/>
    </row>
    <row r="39" spans="1:29" ht="20.25" customHeight="1" thickBot="1">
      <c r="A39" s="236">
        <v>2</v>
      </c>
      <c r="B39" s="237"/>
      <c r="C39" s="239" t="s">
        <v>462</v>
      </c>
      <c r="D39" s="239" t="s">
        <v>636</v>
      </c>
      <c r="E39" s="239" t="s">
        <v>637</v>
      </c>
      <c r="F39" s="2500"/>
      <c r="G39" s="2482"/>
      <c r="H39" s="245" t="s">
        <v>577</v>
      </c>
      <c r="I39" s="245" t="s">
        <v>522</v>
      </c>
      <c r="J39" s="2485"/>
      <c r="K39" s="262">
        <v>43808</v>
      </c>
      <c r="L39" s="2485"/>
      <c r="M39" s="243"/>
      <c r="N39" s="244"/>
      <c r="O39" s="244"/>
      <c r="P39" s="244"/>
      <c r="Q39" s="244"/>
      <c r="R39" s="244"/>
      <c r="S39" s="244"/>
      <c r="T39" s="244"/>
      <c r="U39" s="244"/>
      <c r="V39" s="244"/>
      <c r="W39" s="244"/>
      <c r="X39" s="244"/>
      <c r="Y39" s="244"/>
      <c r="Z39" s="244"/>
      <c r="AA39" s="244"/>
      <c r="AB39" s="244"/>
      <c r="AC39" s="244"/>
    </row>
    <row r="40" spans="1:29" ht="20.25" customHeight="1" thickBot="1">
      <c r="A40" s="230">
        <v>5</v>
      </c>
      <c r="B40" s="248" t="s">
        <v>638</v>
      </c>
      <c r="C40" s="232" t="s">
        <v>639</v>
      </c>
      <c r="D40" s="253"/>
      <c r="E40" s="233"/>
      <c r="F40" s="249"/>
      <c r="G40" s="233"/>
      <c r="H40" s="249"/>
      <c r="I40" s="249"/>
      <c r="J40" s="249"/>
      <c r="K40" s="250"/>
      <c r="L40" s="250"/>
      <c r="M40" s="250"/>
      <c r="N40" s="223"/>
      <c r="O40" s="223"/>
      <c r="P40" s="223"/>
      <c r="Q40" s="223"/>
      <c r="R40" s="223"/>
      <c r="S40" s="223"/>
      <c r="T40" s="223"/>
      <c r="U40" s="223"/>
      <c r="V40" s="223"/>
      <c r="W40" s="223"/>
      <c r="X40" s="223"/>
      <c r="Y40" s="223"/>
      <c r="Z40" s="223"/>
      <c r="AA40" s="223"/>
      <c r="AB40" s="223"/>
      <c r="AC40" s="223"/>
    </row>
    <row r="41" spans="1:29" ht="20.25" customHeight="1" thickBot="1">
      <c r="A41" s="236">
        <v>1</v>
      </c>
      <c r="B41" s="2501"/>
      <c r="C41" s="238" t="s">
        <v>470</v>
      </c>
      <c r="D41" s="238" t="s">
        <v>640</v>
      </c>
      <c r="E41" s="263" t="s">
        <v>641</v>
      </c>
      <c r="F41" s="2499" t="s">
        <v>34</v>
      </c>
      <c r="G41" s="2480">
        <v>43747</v>
      </c>
      <c r="H41" s="256" t="s">
        <v>541</v>
      </c>
      <c r="I41" s="256" t="s">
        <v>541</v>
      </c>
      <c r="J41" s="2483" t="s">
        <v>571</v>
      </c>
      <c r="K41" s="241" t="s">
        <v>543</v>
      </c>
      <c r="L41" s="2505"/>
      <c r="M41" s="264"/>
      <c r="N41" s="244"/>
      <c r="O41" s="244"/>
      <c r="P41" s="244"/>
      <c r="Q41" s="244"/>
      <c r="R41" s="244"/>
      <c r="S41" s="244"/>
      <c r="T41" s="244"/>
      <c r="U41" s="244"/>
      <c r="V41" s="244"/>
      <c r="W41" s="244"/>
      <c r="X41" s="244"/>
      <c r="Y41" s="244"/>
      <c r="Z41" s="244"/>
      <c r="AA41" s="244"/>
      <c r="AB41" s="244"/>
      <c r="AC41" s="244"/>
    </row>
    <row r="42" spans="1:29" ht="20.25" customHeight="1" thickBot="1">
      <c r="A42" s="236">
        <v>2</v>
      </c>
      <c r="B42" s="2502"/>
      <c r="C42" s="238" t="s">
        <v>472</v>
      </c>
      <c r="D42" s="238" t="s">
        <v>643</v>
      </c>
      <c r="E42" s="263" t="s">
        <v>644</v>
      </c>
      <c r="F42" s="2504"/>
      <c r="G42" s="2481"/>
      <c r="H42" s="256"/>
      <c r="I42" s="256"/>
      <c r="J42" s="2484"/>
      <c r="K42" s="241" t="s">
        <v>642</v>
      </c>
      <c r="L42" s="2506"/>
      <c r="M42" s="264"/>
      <c r="N42" s="244"/>
      <c r="O42" s="244"/>
      <c r="P42" s="244"/>
      <c r="Q42" s="244"/>
      <c r="R42" s="244"/>
      <c r="S42" s="244"/>
      <c r="T42" s="244"/>
      <c r="U42" s="244"/>
      <c r="V42" s="244"/>
      <c r="W42" s="244"/>
      <c r="X42" s="244"/>
      <c r="Y42" s="244"/>
      <c r="Z42" s="244"/>
      <c r="AA42" s="244"/>
      <c r="AB42" s="244"/>
      <c r="AC42" s="244"/>
    </row>
    <row r="43" spans="1:29" ht="20.25" customHeight="1" thickBot="1">
      <c r="A43" s="236">
        <v>3</v>
      </c>
      <c r="B43" s="2502"/>
      <c r="C43" s="238" t="s">
        <v>645</v>
      </c>
      <c r="D43" s="238" t="s">
        <v>646</v>
      </c>
      <c r="E43" s="263" t="s">
        <v>647</v>
      </c>
      <c r="F43" s="2504"/>
      <c r="G43" s="2481"/>
      <c r="H43" s="2488" t="s">
        <v>577</v>
      </c>
      <c r="I43" s="2488" t="s">
        <v>549</v>
      </c>
      <c r="J43" s="2484"/>
      <c r="K43" s="242"/>
      <c r="L43" s="2506"/>
      <c r="M43" s="264"/>
      <c r="N43" s="244"/>
      <c r="O43" s="244"/>
      <c r="P43" s="244"/>
      <c r="Q43" s="244"/>
      <c r="R43" s="244"/>
      <c r="S43" s="244"/>
      <c r="T43" s="244"/>
      <c r="U43" s="244"/>
      <c r="V43" s="244"/>
      <c r="W43" s="244"/>
      <c r="X43" s="244"/>
      <c r="Y43" s="244"/>
      <c r="Z43" s="244"/>
      <c r="AA43" s="244"/>
      <c r="AB43" s="244"/>
      <c r="AC43" s="244"/>
    </row>
    <row r="44" spans="1:29" ht="20.25" customHeight="1" thickBot="1">
      <c r="A44" s="236">
        <v>4</v>
      </c>
      <c r="B44" s="2502"/>
      <c r="C44" s="238" t="s">
        <v>648</v>
      </c>
      <c r="D44" s="238" t="s">
        <v>649</v>
      </c>
      <c r="E44" s="263" t="s">
        <v>650</v>
      </c>
      <c r="F44" s="2504"/>
      <c r="G44" s="2481"/>
      <c r="H44" s="2489"/>
      <c r="I44" s="2489"/>
      <c r="J44" s="2484"/>
      <c r="K44" s="242"/>
      <c r="L44" s="2506"/>
      <c r="M44" s="264"/>
      <c r="N44" s="244"/>
      <c r="O44" s="244"/>
      <c r="P44" s="244"/>
      <c r="Q44" s="244"/>
      <c r="R44" s="244"/>
      <c r="S44" s="244"/>
      <c r="T44" s="244"/>
      <c r="U44" s="244"/>
      <c r="V44" s="244"/>
      <c r="W44" s="244"/>
      <c r="X44" s="244"/>
      <c r="Y44" s="244"/>
      <c r="Z44" s="244"/>
      <c r="AA44" s="244"/>
      <c r="AB44" s="244"/>
      <c r="AC44" s="244"/>
    </row>
    <row r="45" spans="1:29" ht="20.25" customHeight="1" thickBot="1">
      <c r="A45" s="236">
        <v>5</v>
      </c>
      <c r="B45" s="2502"/>
      <c r="C45" s="238" t="s">
        <v>651</v>
      </c>
      <c r="D45" s="238" t="s">
        <v>652</v>
      </c>
      <c r="E45" s="263" t="s">
        <v>653</v>
      </c>
      <c r="F45" s="2504"/>
      <c r="G45" s="2481"/>
      <c r="H45" s="2488" t="s">
        <v>577</v>
      </c>
      <c r="I45" s="2488" t="s">
        <v>549</v>
      </c>
      <c r="J45" s="2484"/>
      <c r="K45" s="242"/>
      <c r="L45" s="2506"/>
      <c r="M45" s="264"/>
      <c r="N45" s="244"/>
      <c r="O45" s="244"/>
      <c r="P45" s="244"/>
      <c r="Q45" s="244"/>
      <c r="R45" s="244"/>
      <c r="S45" s="244"/>
      <c r="T45" s="244"/>
      <c r="U45" s="244"/>
      <c r="V45" s="244"/>
      <c r="W45" s="244"/>
      <c r="X45" s="244"/>
      <c r="Y45" s="244"/>
      <c r="Z45" s="244"/>
      <c r="AA45" s="244"/>
      <c r="AB45" s="244"/>
      <c r="AC45" s="244"/>
    </row>
    <row r="46" spans="1:29" ht="20.25" customHeight="1" thickBot="1">
      <c r="A46" s="236">
        <v>6</v>
      </c>
      <c r="B46" s="2502"/>
      <c r="C46" s="238" t="s">
        <v>654</v>
      </c>
      <c r="D46" s="238" t="s">
        <v>655</v>
      </c>
      <c r="E46" s="263" t="s">
        <v>656</v>
      </c>
      <c r="F46" s="2504"/>
      <c r="G46" s="2481"/>
      <c r="H46" s="2489"/>
      <c r="I46" s="2489"/>
      <c r="J46" s="2484"/>
      <c r="K46" s="242"/>
      <c r="L46" s="2506"/>
      <c r="M46" s="247" t="s">
        <v>423</v>
      </c>
      <c r="N46" s="244"/>
      <c r="O46" s="244"/>
      <c r="P46" s="244"/>
      <c r="Q46" s="244"/>
      <c r="R46" s="244"/>
      <c r="S46" s="244"/>
      <c r="T46" s="244"/>
      <c r="U46" s="244"/>
      <c r="V46" s="244"/>
      <c r="W46" s="244"/>
      <c r="X46" s="244"/>
      <c r="Y46" s="244"/>
      <c r="Z46" s="244"/>
      <c r="AA46" s="244"/>
      <c r="AB46" s="244"/>
      <c r="AC46" s="244"/>
    </row>
    <row r="47" spans="1:29" ht="20.25" customHeight="1" thickBot="1">
      <c r="A47" s="236">
        <v>7</v>
      </c>
      <c r="B47" s="2502"/>
      <c r="C47" s="238" t="s">
        <v>657</v>
      </c>
      <c r="D47" s="238" t="s">
        <v>658</v>
      </c>
      <c r="E47" s="265" t="s">
        <v>659</v>
      </c>
      <c r="F47" s="2504"/>
      <c r="G47" s="2481"/>
      <c r="H47" s="2488" t="s">
        <v>577</v>
      </c>
      <c r="I47" s="2488" t="s">
        <v>549</v>
      </c>
      <c r="J47" s="2484"/>
      <c r="K47" s="242"/>
      <c r="L47" s="2506"/>
      <c r="M47" s="264"/>
      <c r="N47" s="244"/>
      <c r="O47" s="244"/>
      <c r="P47" s="244"/>
      <c r="Q47" s="244"/>
      <c r="R47" s="244"/>
      <c r="S47" s="244"/>
      <c r="T47" s="244"/>
      <c r="U47" s="244"/>
      <c r="V47" s="244"/>
      <c r="W47" s="244"/>
      <c r="X47" s="244"/>
      <c r="Y47" s="244"/>
      <c r="Z47" s="244"/>
      <c r="AA47" s="244"/>
      <c r="AB47" s="244"/>
      <c r="AC47" s="244"/>
    </row>
    <row r="48" spans="1:29" ht="20.25" customHeight="1" thickBot="1">
      <c r="A48" s="236">
        <v>8</v>
      </c>
      <c r="B48" s="2502"/>
      <c r="C48" s="238" t="s">
        <v>660</v>
      </c>
      <c r="D48" s="238" t="s">
        <v>661</v>
      </c>
      <c r="E48" s="263" t="s">
        <v>662</v>
      </c>
      <c r="F48" s="2504"/>
      <c r="G48" s="2481"/>
      <c r="H48" s="2489"/>
      <c r="I48" s="2489"/>
      <c r="J48" s="2484"/>
      <c r="K48" s="242"/>
      <c r="L48" s="2506"/>
      <c r="M48" s="264"/>
      <c r="N48" s="244"/>
      <c r="O48" s="244"/>
      <c r="P48" s="244"/>
      <c r="Q48" s="244"/>
      <c r="R48" s="244"/>
      <c r="S48" s="244"/>
      <c r="T48" s="244"/>
      <c r="U48" s="244"/>
      <c r="V48" s="244"/>
      <c r="W48" s="244"/>
      <c r="X48" s="244"/>
      <c r="Y48" s="244"/>
      <c r="Z48" s="244"/>
      <c r="AA48" s="244"/>
      <c r="AB48" s="244"/>
      <c r="AC48" s="244"/>
    </row>
    <row r="49" spans="1:29" ht="20.25" customHeight="1" thickBot="1">
      <c r="A49" s="236">
        <v>9</v>
      </c>
      <c r="B49" s="2502"/>
      <c r="C49" s="238" t="s">
        <v>663</v>
      </c>
      <c r="D49" s="238" t="s">
        <v>664</v>
      </c>
      <c r="E49" s="265" t="s">
        <v>665</v>
      </c>
      <c r="F49" s="2504"/>
      <c r="G49" s="2481"/>
      <c r="H49" s="2488" t="s">
        <v>577</v>
      </c>
      <c r="I49" s="2488" t="s">
        <v>549</v>
      </c>
      <c r="J49" s="2484"/>
      <c r="K49" s="242"/>
      <c r="L49" s="2506"/>
      <c r="M49" s="264"/>
      <c r="N49" s="244"/>
      <c r="O49" s="244"/>
      <c r="P49" s="244"/>
      <c r="Q49" s="244"/>
      <c r="R49" s="244"/>
      <c r="S49" s="244"/>
      <c r="T49" s="244"/>
      <c r="U49" s="244"/>
      <c r="V49" s="244"/>
      <c r="W49" s="244"/>
      <c r="X49" s="244"/>
      <c r="Y49" s="244"/>
      <c r="Z49" s="244"/>
      <c r="AA49" s="244"/>
      <c r="AB49" s="244"/>
      <c r="AC49" s="244"/>
    </row>
    <row r="50" spans="1:29" ht="20.25" customHeight="1" thickBot="1">
      <c r="A50" s="236">
        <v>10</v>
      </c>
      <c r="B50" s="2502"/>
      <c r="C50" s="238" t="s">
        <v>666</v>
      </c>
      <c r="D50" s="238" t="s">
        <v>667</v>
      </c>
      <c r="E50" s="263" t="s">
        <v>668</v>
      </c>
      <c r="F50" s="2504"/>
      <c r="G50" s="2481"/>
      <c r="H50" s="2490"/>
      <c r="I50" s="2490"/>
      <c r="J50" s="2484"/>
      <c r="K50" s="242"/>
      <c r="L50" s="2506"/>
      <c r="M50" s="264"/>
      <c r="N50" s="244"/>
      <c r="O50" s="244"/>
      <c r="P50" s="244"/>
      <c r="Q50" s="244"/>
      <c r="R50" s="244"/>
      <c r="S50" s="244"/>
      <c r="T50" s="244"/>
      <c r="U50" s="244"/>
      <c r="V50" s="244"/>
      <c r="W50" s="244"/>
      <c r="X50" s="244"/>
      <c r="Y50" s="244"/>
      <c r="Z50" s="244"/>
      <c r="AA50" s="244"/>
      <c r="AB50" s="244"/>
      <c r="AC50" s="244"/>
    </row>
    <row r="51" spans="1:29" ht="20.25" customHeight="1" thickBot="1">
      <c r="A51" s="236">
        <v>11</v>
      </c>
      <c r="B51" s="2503"/>
      <c r="C51" s="238" t="s">
        <v>669</v>
      </c>
      <c r="D51" s="238" t="s">
        <v>670</v>
      </c>
      <c r="E51" s="263" t="s">
        <v>671</v>
      </c>
      <c r="F51" s="2500"/>
      <c r="G51" s="2482"/>
      <c r="H51" s="256"/>
      <c r="I51" s="256"/>
      <c r="J51" s="2485"/>
      <c r="K51" s="242"/>
      <c r="L51" s="2507"/>
      <c r="M51" s="264"/>
      <c r="N51" s="244"/>
      <c r="O51" s="244"/>
      <c r="P51" s="244"/>
      <c r="Q51" s="244"/>
      <c r="R51" s="244"/>
      <c r="S51" s="244"/>
      <c r="T51" s="244"/>
      <c r="U51" s="244"/>
      <c r="V51" s="244"/>
      <c r="W51" s="244"/>
      <c r="X51" s="244"/>
      <c r="Y51" s="244"/>
      <c r="Z51" s="244"/>
      <c r="AA51" s="244"/>
      <c r="AB51" s="244"/>
      <c r="AC51" s="244"/>
    </row>
    <row r="52" spans="1:29" ht="20.25" customHeight="1" thickBot="1">
      <c r="A52" s="230">
        <v>6</v>
      </c>
      <c r="B52" s="248" t="s">
        <v>672</v>
      </c>
      <c r="C52" s="232" t="s">
        <v>673</v>
      </c>
      <c r="D52" s="253"/>
      <c r="E52" s="233"/>
      <c r="F52" s="249"/>
      <c r="G52" s="249"/>
      <c r="H52" s="249"/>
      <c r="I52" s="249"/>
      <c r="J52" s="249"/>
      <c r="K52" s="250"/>
      <c r="L52" s="250"/>
      <c r="M52" s="250"/>
      <c r="N52" s="223"/>
      <c r="O52" s="223"/>
      <c r="P52" s="223"/>
      <c r="Q52" s="223"/>
      <c r="R52" s="223"/>
      <c r="S52" s="223"/>
      <c r="T52" s="223"/>
      <c r="U52" s="223"/>
      <c r="V52" s="223"/>
      <c r="W52" s="223"/>
      <c r="X52" s="223"/>
      <c r="Y52" s="223"/>
      <c r="Z52" s="223"/>
      <c r="AA52" s="223"/>
      <c r="AB52" s="223"/>
      <c r="AC52" s="223"/>
    </row>
    <row r="53" spans="1:29" ht="20.25" customHeight="1" thickBot="1">
      <c r="A53" s="236"/>
      <c r="B53" s="237"/>
      <c r="C53" s="238" t="s">
        <v>475</v>
      </c>
      <c r="D53" s="238" t="s">
        <v>674</v>
      </c>
      <c r="E53" s="263" t="s">
        <v>675</v>
      </c>
      <c r="F53" s="2508" t="s">
        <v>34</v>
      </c>
      <c r="G53" s="266"/>
      <c r="H53" s="267" t="s">
        <v>541</v>
      </c>
      <c r="I53" s="256" t="s">
        <v>541</v>
      </c>
      <c r="J53" s="2483" t="s">
        <v>542</v>
      </c>
      <c r="K53" s="241" t="s">
        <v>543</v>
      </c>
      <c r="L53" s="2483"/>
      <c r="M53" s="2511" t="s">
        <v>423</v>
      </c>
      <c r="N53" s="244"/>
      <c r="O53" s="244"/>
      <c r="P53" s="244"/>
      <c r="Q53" s="244"/>
      <c r="R53" s="244"/>
      <c r="S53" s="244"/>
      <c r="T53" s="244"/>
      <c r="U53" s="244"/>
      <c r="V53" s="244"/>
      <c r="W53" s="244"/>
      <c r="X53" s="244"/>
      <c r="Y53" s="244"/>
      <c r="Z53" s="244"/>
      <c r="AA53" s="244"/>
      <c r="AB53" s="244"/>
      <c r="AC53" s="244"/>
    </row>
    <row r="54" spans="1:29" ht="20.25" customHeight="1" thickBot="1">
      <c r="A54" s="236"/>
      <c r="B54" s="237"/>
      <c r="C54" s="238" t="s">
        <v>477</v>
      </c>
      <c r="D54" s="238" t="s">
        <v>677</v>
      </c>
      <c r="E54" s="263" t="s">
        <v>678</v>
      </c>
      <c r="F54" s="2509"/>
      <c r="G54" s="266"/>
      <c r="H54" s="267"/>
      <c r="I54" s="256"/>
      <c r="J54" s="2484"/>
      <c r="K54" s="241" t="s">
        <v>676</v>
      </c>
      <c r="L54" s="2484"/>
      <c r="M54" s="2512"/>
      <c r="N54" s="244"/>
      <c r="O54" s="244"/>
      <c r="P54" s="244"/>
      <c r="Q54" s="244"/>
      <c r="R54" s="244"/>
      <c r="S54" s="244"/>
      <c r="T54" s="244"/>
      <c r="U54" s="244"/>
      <c r="V54" s="244"/>
      <c r="W54" s="244"/>
      <c r="X54" s="244"/>
      <c r="Y54" s="244"/>
      <c r="Z54" s="244"/>
      <c r="AA54" s="244"/>
      <c r="AB54" s="244"/>
      <c r="AC54" s="244"/>
    </row>
    <row r="55" spans="1:29" ht="20.25" customHeight="1" thickBot="1">
      <c r="A55" s="236"/>
      <c r="B55" s="237"/>
      <c r="C55" s="238" t="s">
        <v>679</v>
      </c>
      <c r="D55" s="238" t="s">
        <v>680</v>
      </c>
      <c r="E55" s="263" t="s">
        <v>681</v>
      </c>
      <c r="F55" s="2509"/>
      <c r="G55" s="268">
        <v>43747</v>
      </c>
      <c r="H55" s="2488" t="s">
        <v>577</v>
      </c>
      <c r="I55" s="2488" t="s">
        <v>522</v>
      </c>
      <c r="J55" s="2484"/>
      <c r="K55" s="242"/>
      <c r="L55" s="2484"/>
      <c r="M55" s="2512"/>
      <c r="N55" s="244"/>
      <c r="O55" s="244"/>
      <c r="P55" s="244"/>
      <c r="Q55" s="244"/>
      <c r="R55" s="244"/>
      <c r="S55" s="244"/>
      <c r="T55" s="244"/>
      <c r="U55" s="244"/>
      <c r="V55" s="244"/>
      <c r="W55" s="244"/>
      <c r="X55" s="244"/>
      <c r="Y55" s="244"/>
      <c r="Z55" s="244"/>
      <c r="AA55" s="244"/>
      <c r="AB55" s="244"/>
      <c r="AC55" s="244"/>
    </row>
    <row r="56" spans="1:29" ht="20.25" customHeight="1" thickBot="1">
      <c r="A56" s="236"/>
      <c r="B56" s="237"/>
      <c r="C56" s="238" t="s">
        <v>682</v>
      </c>
      <c r="D56" s="238" t="s">
        <v>683</v>
      </c>
      <c r="E56" s="263" t="s">
        <v>684</v>
      </c>
      <c r="F56" s="2509"/>
      <c r="G56" s="266"/>
      <c r="H56" s="2489"/>
      <c r="I56" s="2489"/>
      <c r="J56" s="2484"/>
      <c r="K56" s="242"/>
      <c r="L56" s="2484"/>
      <c r="M56" s="2512"/>
      <c r="N56" s="244"/>
      <c r="O56" s="244"/>
      <c r="P56" s="244"/>
      <c r="Q56" s="244"/>
      <c r="R56" s="244"/>
      <c r="S56" s="244"/>
      <c r="T56" s="244"/>
      <c r="U56" s="244"/>
      <c r="V56" s="244"/>
      <c r="W56" s="244"/>
      <c r="X56" s="244"/>
      <c r="Y56" s="244"/>
      <c r="Z56" s="244"/>
      <c r="AA56" s="244"/>
      <c r="AB56" s="244"/>
      <c r="AC56" s="244"/>
    </row>
    <row r="57" spans="1:29" ht="20.25" customHeight="1" thickBot="1">
      <c r="A57" s="236"/>
      <c r="B57" s="237"/>
      <c r="C57" s="238" t="s">
        <v>600</v>
      </c>
      <c r="D57" s="238" t="s">
        <v>601</v>
      </c>
      <c r="E57" s="263" t="s">
        <v>602</v>
      </c>
      <c r="F57" s="2510"/>
      <c r="G57" s="266"/>
      <c r="H57" s="269" t="s">
        <v>577</v>
      </c>
      <c r="I57" s="245" t="s">
        <v>522</v>
      </c>
      <c r="J57" s="2485"/>
      <c r="K57" s="242"/>
      <c r="L57" s="2485"/>
      <c r="M57" s="2513"/>
      <c r="N57" s="244"/>
      <c r="O57" s="244"/>
      <c r="P57" s="244"/>
      <c r="Q57" s="244"/>
      <c r="R57" s="244"/>
      <c r="S57" s="244"/>
      <c r="T57" s="244"/>
      <c r="U57" s="244"/>
      <c r="V57" s="244"/>
      <c r="W57" s="244"/>
      <c r="X57" s="244"/>
      <c r="Y57" s="244"/>
      <c r="Z57" s="244"/>
      <c r="AA57" s="244"/>
      <c r="AB57" s="244"/>
      <c r="AC57" s="244"/>
    </row>
    <row r="58" spans="1:29" ht="20.25" customHeight="1" thickBot="1">
      <c r="A58" s="230">
        <v>7</v>
      </c>
      <c r="B58" s="248" t="s">
        <v>464</v>
      </c>
      <c r="C58" s="232" t="s">
        <v>685</v>
      </c>
      <c r="D58" s="253"/>
      <c r="E58" s="233"/>
      <c r="F58" s="249"/>
      <c r="G58" s="249"/>
      <c r="H58" s="249"/>
      <c r="I58" s="249"/>
      <c r="J58" s="249"/>
      <c r="K58" s="250"/>
      <c r="L58" s="250"/>
      <c r="M58" s="250"/>
      <c r="N58" s="223"/>
      <c r="O58" s="223"/>
      <c r="P58" s="223"/>
      <c r="Q58" s="223"/>
      <c r="R58" s="223"/>
      <c r="S58" s="223"/>
      <c r="T58" s="223"/>
      <c r="U58" s="223"/>
      <c r="V58" s="223"/>
      <c r="W58" s="223"/>
      <c r="X58" s="223"/>
      <c r="Y58" s="223"/>
      <c r="Z58" s="223"/>
      <c r="AA58" s="223"/>
      <c r="AB58" s="223"/>
      <c r="AC58" s="223"/>
    </row>
    <row r="59" spans="1:29" ht="20.25" customHeight="1" thickBot="1">
      <c r="A59" s="236">
        <v>1</v>
      </c>
      <c r="B59" s="237"/>
      <c r="C59" s="238" t="s">
        <v>465</v>
      </c>
      <c r="D59" s="238" t="s">
        <v>686</v>
      </c>
      <c r="E59" s="270" t="s">
        <v>687</v>
      </c>
      <c r="F59" s="2517" t="s">
        <v>34</v>
      </c>
      <c r="G59" s="2520" t="s">
        <v>548</v>
      </c>
      <c r="H59" s="2523" t="s">
        <v>541</v>
      </c>
      <c r="I59" s="2526" t="s">
        <v>541</v>
      </c>
      <c r="J59" s="2529" t="s">
        <v>542</v>
      </c>
      <c r="K59" s="2483"/>
      <c r="L59" s="2483"/>
      <c r="M59" s="243"/>
      <c r="N59" s="244"/>
      <c r="O59" s="244"/>
      <c r="P59" s="244"/>
      <c r="Q59" s="244"/>
      <c r="R59" s="244"/>
      <c r="S59" s="244"/>
      <c r="T59" s="244"/>
      <c r="U59" s="244"/>
      <c r="V59" s="244"/>
      <c r="W59" s="244"/>
      <c r="X59" s="244"/>
      <c r="Y59" s="244"/>
      <c r="Z59" s="244"/>
      <c r="AA59" s="244"/>
      <c r="AB59" s="244"/>
      <c r="AC59" s="244"/>
    </row>
    <row r="60" spans="1:29" ht="20.25" customHeight="1" thickBot="1">
      <c r="A60" s="236">
        <v>2</v>
      </c>
      <c r="B60" s="271"/>
      <c r="C60" s="238" t="s">
        <v>467</v>
      </c>
      <c r="D60" s="238" t="s">
        <v>688</v>
      </c>
      <c r="E60" s="263" t="s">
        <v>689</v>
      </c>
      <c r="F60" s="2518"/>
      <c r="G60" s="2521"/>
      <c r="H60" s="2524"/>
      <c r="I60" s="2527"/>
      <c r="J60" s="2530"/>
      <c r="K60" s="2484"/>
      <c r="L60" s="2484"/>
      <c r="M60" s="243"/>
      <c r="N60" s="244"/>
      <c r="O60" s="244"/>
      <c r="P60" s="244"/>
      <c r="Q60" s="244"/>
      <c r="R60" s="244"/>
      <c r="S60" s="244"/>
      <c r="T60" s="244"/>
      <c r="U60" s="244"/>
      <c r="V60" s="244"/>
      <c r="W60" s="244"/>
      <c r="X60" s="244"/>
      <c r="Y60" s="244"/>
      <c r="Z60" s="244"/>
      <c r="AA60" s="244"/>
      <c r="AB60" s="244"/>
      <c r="AC60" s="244"/>
    </row>
    <row r="61" spans="1:29" ht="20.25" customHeight="1" thickBot="1">
      <c r="A61" s="236">
        <v>3</v>
      </c>
      <c r="B61" s="237"/>
      <c r="C61" s="238" t="s">
        <v>690</v>
      </c>
      <c r="D61" s="238" t="s">
        <v>691</v>
      </c>
      <c r="E61" s="272" t="s">
        <v>692</v>
      </c>
      <c r="F61" s="2518"/>
      <c r="G61" s="2521"/>
      <c r="H61" s="2524"/>
      <c r="I61" s="2527"/>
      <c r="J61" s="2530"/>
      <c r="K61" s="2484"/>
      <c r="L61" s="2484"/>
      <c r="M61" s="243"/>
      <c r="N61" s="244"/>
      <c r="O61" s="244"/>
      <c r="P61" s="244"/>
      <c r="Q61" s="244"/>
      <c r="R61" s="244"/>
      <c r="S61" s="244"/>
      <c r="T61" s="244"/>
      <c r="U61" s="244"/>
      <c r="V61" s="244"/>
      <c r="W61" s="244"/>
      <c r="X61" s="244"/>
      <c r="Y61" s="244"/>
      <c r="Z61" s="244"/>
      <c r="AA61" s="244"/>
      <c r="AB61" s="244"/>
      <c r="AC61" s="244"/>
    </row>
    <row r="62" spans="1:29" ht="20.25" customHeight="1" thickBot="1">
      <c r="A62" s="236">
        <v>4</v>
      </c>
      <c r="B62" s="237"/>
      <c r="C62" s="238" t="s">
        <v>693</v>
      </c>
      <c r="D62" s="238" t="s">
        <v>694</v>
      </c>
      <c r="E62" s="272" t="s">
        <v>695</v>
      </c>
      <c r="F62" s="2518"/>
      <c r="G62" s="2521"/>
      <c r="H62" s="2524"/>
      <c r="I62" s="2527"/>
      <c r="J62" s="2530"/>
      <c r="K62" s="2484"/>
      <c r="L62" s="2484"/>
      <c r="M62" s="2511" t="s">
        <v>423</v>
      </c>
      <c r="N62" s="244"/>
      <c r="O62" s="244"/>
      <c r="P62" s="244"/>
      <c r="Q62" s="244"/>
      <c r="R62" s="244"/>
      <c r="S62" s="244"/>
      <c r="T62" s="244"/>
      <c r="U62" s="244"/>
      <c r="V62" s="244"/>
      <c r="W62" s="244"/>
      <c r="X62" s="244"/>
      <c r="Y62" s="244"/>
      <c r="Z62" s="244"/>
      <c r="AA62" s="244"/>
      <c r="AB62" s="244"/>
      <c r="AC62" s="244"/>
    </row>
    <row r="63" spans="1:29" ht="20.25" customHeight="1" thickBot="1">
      <c r="A63" s="236">
        <v>5</v>
      </c>
      <c r="B63" s="237"/>
      <c r="C63" s="238" t="s">
        <v>696</v>
      </c>
      <c r="D63" s="238" t="s">
        <v>697</v>
      </c>
      <c r="E63" s="272" t="s">
        <v>698</v>
      </c>
      <c r="F63" s="2518"/>
      <c r="G63" s="2521"/>
      <c r="H63" s="2524"/>
      <c r="I63" s="2527"/>
      <c r="J63" s="2530"/>
      <c r="K63" s="2484"/>
      <c r="L63" s="2484"/>
      <c r="M63" s="2512"/>
      <c r="N63" s="244"/>
      <c r="O63" s="244"/>
      <c r="P63" s="244"/>
      <c r="Q63" s="244"/>
      <c r="R63" s="244"/>
      <c r="S63" s="244"/>
      <c r="T63" s="244"/>
      <c r="U63" s="244"/>
      <c r="V63" s="244"/>
      <c r="W63" s="244"/>
      <c r="X63" s="244"/>
      <c r="Y63" s="244"/>
      <c r="Z63" s="244"/>
      <c r="AA63" s="244"/>
      <c r="AB63" s="244"/>
      <c r="AC63" s="244"/>
    </row>
    <row r="64" spans="1:29" ht="20.25" customHeight="1" thickBot="1">
      <c r="A64" s="236">
        <v>6</v>
      </c>
      <c r="B64" s="237"/>
      <c r="C64" s="238" t="s">
        <v>699</v>
      </c>
      <c r="D64" s="238" t="s">
        <v>700</v>
      </c>
      <c r="E64" s="270" t="s">
        <v>701</v>
      </c>
      <c r="F64" s="2518"/>
      <c r="G64" s="2521"/>
      <c r="H64" s="2524"/>
      <c r="I64" s="2528"/>
      <c r="J64" s="2530"/>
      <c r="K64" s="2484"/>
      <c r="L64" s="2484"/>
      <c r="M64" s="2512"/>
      <c r="N64" s="244"/>
      <c r="O64" s="244"/>
      <c r="P64" s="244"/>
      <c r="Q64" s="244"/>
      <c r="R64" s="244"/>
      <c r="S64" s="244"/>
      <c r="T64" s="244"/>
      <c r="U64" s="244"/>
      <c r="V64" s="244"/>
      <c r="W64" s="244"/>
      <c r="X64" s="244"/>
      <c r="Y64" s="244"/>
      <c r="Z64" s="244"/>
      <c r="AA64" s="244"/>
      <c r="AB64" s="244"/>
      <c r="AC64" s="244"/>
    </row>
    <row r="65" spans="1:29" ht="20.25" customHeight="1" thickBot="1">
      <c r="A65" s="236">
        <v>5</v>
      </c>
      <c r="B65" s="237"/>
      <c r="C65" s="238" t="s">
        <v>702</v>
      </c>
      <c r="D65" s="238" t="s">
        <v>703</v>
      </c>
      <c r="E65" s="272" t="s">
        <v>704</v>
      </c>
      <c r="F65" s="2518"/>
      <c r="G65" s="2521"/>
      <c r="H65" s="2524"/>
      <c r="I65" s="273"/>
      <c r="J65" s="2530"/>
      <c r="K65" s="2484"/>
      <c r="L65" s="2484"/>
      <c r="M65" s="2512"/>
      <c r="N65" s="244"/>
      <c r="O65" s="244"/>
      <c r="P65" s="244"/>
      <c r="Q65" s="244"/>
      <c r="R65" s="244"/>
      <c r="S65" s="244"/>
      <c r="T65" s="244"/>
      <c r="U65" s="244"/>
      <c r="V65" s="244"/>
      <c r="W65" s="244"/>
      <c r="X65" s="244"/>
      <c r="Y65" s="244"/>
      <c r="Z65" s="244"/>
      <c r="AA65" s="244"/>
      <c r="AB65" s="244"/>
      <c r="AC65" s="244"/>
    </row>
    <row r="66" spans="1:29" ht="20.25" customHeight="1" thickBot="1">
      <c r="A66" s="236">
        <v>6</v>
      </c>
      <c r="B66" s="237"/>
      <c r="C66" s="238" t="s">
        <v>705</v>
      </c>
      <c r="D66" s="238" t="s">
        <v>706</v>
      </c>
      <c r="E66" s="263" t="s">
        <v>707</v>
      </c>
      <c r="F66" s="2519"/>
      <c r="G66" s="2522"/>
      <c r="H66" s="2525"/>
      <c r="I66" s="273"/>
      <c r="J66" s="2531"/>
      <c r="K66" s="2485"/>
      <c r="L66" s="2485"/>
      <c r="M66" s="2513"/>
      <c r="N66" s="244"/>
      <c r="O66" s="244"/>
      <c r="P66" s="244"/>
      <c r="Q66" s="244"/>
      <c r="R66" s="244"/>
      <c r="S66" s="244"/>
      <c r="T66" s="244"/>
      <c r="U66" s="244"/>
      <c r="V66" s="244"/>
      <c r="W66" s="244"/>
      <c r="X66" s="244"/>
      <c r="Y66" s="244"/>
      <c r="Z66" s="244"/>
      <c r="AA66" s="244"/>
      <c r="AB66" s="244"/>
      <c r="AC66" s="244"/>
    </row>
    <row r="67" spans="1:29" ht="20.25" customHeight="1" thickBot="1">
      <c r="A67" s="230">
        <v>8</v>
      </c>
      <c r="B67" s="248" t="s">
        <v>708</v>
      </c>
      <c r="C67" s="232" t="s">
        <v>709</v>
      </c>
      <c r="D67" s="253"/>
      <c r="E67" s="233"/>
      <c r="F67" s="233"/>
      <c r="G67" s="233"/>
      <c r="H67" s="233"/>
      <c r="I67" s="233"/>
      <c r="J67" s="233"/>
      <c r="K67" s="234"/>
      <c r="L67" s="234"/>
      <c r="M67" s="250"/>
      <c r="N67" s="223"/>
      <c r="O67" s="223"/>
      <c r="P67" s="223"/>
      <c r="Q67" s="223"/>
      <c r="R67" s="223"/>
      <c r="S67" s="223"/>
      <c r="T67" s="223"/>
      <c r="U67" s="223"/>
      <c r="V67" s="223"/>
      <c r="W67" s="223"/>
      <c r="X67" s="223"/>
      <c r="Y67" s="223"/>
      <c r="Z67" s="223"/>
      <c r="AA67" s="223"/>
      <c r="AB67" s="223"/>
      <c r="AC67" s="223"/>
    </row>
    <row r="68" spans="1:29" ht="20.25" customHeight="1" thickBot="1">
      <c r="A68" s="236">
        <v>1</v>
      </c>
      <c r="B68" s="2501"/>
      <c r="C68" s="238" t="s">
        <v>486</v>
      </c>
      <c r="D68" s="238" t="s">
        <v>710</v>
      </c>
      <c r="E68" s="263" t="s">
        <v>711</v>
      </c>
      <c r="F68" s="2508" t="s">
        <v>34</v>
      </c>
      <c r="G68" s="2514"/>
      <c r="H68" s="256" t="s">
        <v>541</v>
      </c>
      <c r="I68" s="256" t="s">
        <v>541</v>
      </c>
      <c r="J68" s="2483" t="s">
        <v>571</v>
      </c>
      <c r="K68" s="241" t="s">
        <v>543</v>
      </c>
      <c r="L68" s="2483"/>
      <c r="M68" s="2511" t="s">
        <v>423</v>
      </c>
      <c r="N68" s="244"/>
      <c r="O68" s="244"/>
      <c r="P68" s="244"/>
      <c r="Q68" s="244"/>
      <c r="R68" s="244"/>
      <c r="S68" s="244"/>
      <c r="T68" s="244"/>
      <c r="U68" s="244"/>
      <c r="V68" s="244"/>
      <c r="W68" s="244"/>
      <c r="X68" s="244"/>
      <c r="Y68" s="244"/>
      <c r="Z68" s="244"/>
      <c r="AA68" s="244"/>
      <c r="AB68" s="244"/>
      <c r="AC68" s="244"/>
    </row>
    <row r="69" spans="1:29" ht="20.25" customHeight="1" thickBot="1">
      <c r="A69" s="236">
        <v>1</v>
      </c>
      <c r="B69" s="2502"/>
      <c r="C69" s="238" t="s">
        <v>488</v>
      </c>
      <c r="D69" s="238" t="s">
        <v>713</v>
      </c>
      <c r="E69" s="263" t="s">
        <v>714</v>
      </c>
      <c r="F69" s="2509"/>
      <c r="G69" s="2515"/>
      <c r="H69" s="256"/>
      <c r="I69" s="256"/>
      <c r="J69" s="2484"/>
      <c r="K69" s="241" t="s">
        <v>712</v>
      </c>
      <c r="L69" s="2484"/>
      <c r="M69" s="2512"/>
      <c r="N69" s="244"/>
      <c r="O69" s="244"/>
      <c r="P69" s="244"/>
      <c r="Q69" s="244"/>
      <c r="R69" s="244"/>
      <c r="S69" s="244"/>
      <c r="T69" s="244"/>
      <c r="U69" s="244"/>
      <c r="V69" s="244"/>
      <c r="W69" s="244"/>
      <c r="X69" s="244"/>
      <c r="Y69" s="244"/>
      <c r="Z69" s="244"/>
      <c r="AA69" s="244"/>
      <c r="AB69" s="244"/>
      <c r="AC69" s="244"/>
    </row>
    <row r="70" spans="1:29" ht="20.25" customHeight="1" thickBot="1">
      <c r="A70" s="236">
        <v>2</v>
      </c>
      <c r="B70" s="2502"/>
      <c r="C70" s="238" t="s">
        <v>715</v>
      </c>
      <c r="D70" s="238" t="s">
        <v>716</v>
      </c>
      <c r="E70" s="263" t="s">
        <v>717</v>
      </c>
      <c r="F70" s="2509"/>
      <c r="G70" s="2515"/>
      <c r="H70" s="2488" t="s">
        <v>577</v>
      </c>
      <c r="I70" s="2488" t="s">
        <v>549</v>
      </c>
      <c r="J70" s="2484"/>
      <c r="K70" s="242"/>
      <c r="L70" s="2484"/>
      <c r="M70" s="2512"/>
      <c r="N70" s="244"/>
      <c r="O70" s="244"/>
      <c r="P70" s="244"/>
      <c r="Q70" s="244"/>
      <c r="R70" s="244"/>
      <c r="S70" s="244"/>
      <c r="T70" s="244"/>
      <c r="U70" s="244"/>
      <c r="V70" s="244"/>
      <c r="W70" s="244"/>
      <c r="X70" s="244"/>
      <c r="Y70" s="244"/>
      <c r="Z70" s="244"/>
      <c r="AA70" s="244"/>
      <c r="AB70" s="244"/>
      <c r="AC70" s="244"/>
    </row>
    <row r="71" spans="1:29" ht="20.25" customHeight="1" thickBot="1">
      <c r="A71" s="236">
        <v>2</v>
      </c>
      <c r="B71" s="2502"/>
      <c r="C71" s="238" t="s">
        <v>718</v>
      </c>
      <c r="D71" s="238" t="s">
        <v>719</v>
      </c>
      <c r="E71" s="263" t="s">
        <v>720</v>
      </c>
      <c r="F71" s="2509"/>
      <c r="G71" s="2515"/>
      <c r="H71" s="2490"/>
      <c r="I71" s="2490"/>
      <c r="J71" s="2484"/>
      <c r="K71" s="242"/>
      <c r="L71" s="2484"/>
      <c r="M71" s="2512"/>
      <c r="N71" s="244"/>
      <c r="O71" s="244"/>
      <c r="P71" s="244"/>
      <c r="Q71" s="244"/>
      <c r="R71" s="244"/>
      <c r="S71" s="244"/>
      <c r="T71" s="244"/>
      <c r="U71" s="244"/>
      <c r="V71" s="244"/>
      <c r="W71" s="244"/>
      <c r="X71" s="244"/>
      <c r="Y71" s="244"/>
      <c r="Z71" s="244"/>
      <c r="AA71" s="244"/>
      <c r="AB71" s="244"/>
      <c r="AC71" s="244"/>
    </row>
    <row r="72" spans="1:29" ht="20.25" customHeight="1" thickBot="1">
      <c r="A72" s="236">
        <v>3</v>
      </c>
      <c r="B72" s="2503"/>
      <c r="C72" s="238" t="s">
        <v>721</v>
      </c>
      <c r="D72" s="238" t="s">
        <v>722</v>
      </c>
      <c r="E72" s="263" t="s">
        <v>723</v>
      </c>
      <c r="F72" s="2510"/>
      <c r="G72" s="2516"/>
      <c r="H72" s="256"/>
      <c r="I72" s="256"/>
      <c r="J72" s="2485"/>
      <c r="K72" s="242"/>
      <c r="L72" s="2485"/>
      <c r="M72" s="2513"/>
      <c r="N72" s="244"/>
      <c r="O72" s="244"/>
      <c r="P72" s="244"/>
      <c r="Q72" s="244"/>
      <c r="R72" s="244"/>
      <c r="S72" s="244"/>
      <c r="T72" s="244"/>
      <c r="U72" s="244"/>
      <c r="V72" s="244"/>
      <c r="W72" s="244"/>
      <c r="X72" s="244"/>
      <c r="Y72" s="244"/>
      <c r="Z72" s="244"/>
      <c r="AA72" s="244"/>
      <c r="AB72" s="244"/>
      <c r="AC72" s="244"/>
    </row>
    <row r="73" spans="1:29" ht="20.25" customHeight="1" thickBot="1">
      <c r="A73" s="230">
        <v>9</v>
      </c>
      <c r="B73" s="231" t="s">
        <v>482</v>
      </c>
      <c r="C73" s="232" t="s">
        <v>724</v>
      </c>
      <c r="D73" s="253"/>
      <c r="E73" s="233"/>
      <c r="F73" s="249"/>
      <c r="G73" s="249"/>
      <c r="H73" s="249"/>
      <c r="I73" s="249"/>
      <c r="J73" s="249"/>
      <c r="K73" s="250"/>
      <c r="L73" s="250"/>
      <c r="M73" s="250"/>
      <c r="N73" s="223"/>
      <c r="O73" s="223"/>
      <c r="P73" s="223"/>
      <c r="Q73" s="223"/>
      <c r="R73" s="223"/>
      <c r="S73" s="223"/>
      <c r="T73" s="223"/>
      <c r="U73" s="223"/>
      <c r="V73" s="223"/>
      <c r="W73" s="223"/>
      <c r="X73" s="223"/>
      <c r="Y73" s="223"/>
      <c r="Z73" s="223"/>
      <c r="AA73" s="223"/>
      <c r="AB73" s="223"/>
      <c r="AC73" s="223"/>
    </row>
    <row r="74" spans="1:29" ht="20.25" customHeight="1" thickBot="1">
      <c r="A74" s="236">
        <v>1</v>
      </c>
      <c r="B74" s="237"/>
      <c r="C74" s="238" t="s">
        <v>483</v>
      </c>
      <c r="D74" s="238" t="s">
        <v>725</v>
      </c>
      <c r="E74" s="263" t="s">
        <v>726</v>
      </c>
      <c r="F74" s="2477" t="s">
        <v>34</v>
      </c>
      <c r="G74" s="2480">
        <v>43747</v>
      </c>
      <c r="H74" s="274" t="s">
        <v>541</v>
      </c>
      <c r="I74" s="274" t="s">
        <v>541</v>
      </c>
      <c r="J74" s="2483" t="s">
        <v>542</v>
      </c>
      <c r="K74" s="241" t="s">
        <v>543</v>
      </c>
      <c r="L74" s="2483"/>
      <c r="M74" s="243"/>
      <c r="N74" s="244"/>
      <c r="O74" s="244"/>
      <c r="P74" s="244"/>
      <c r="Q74" s="244"/>
      <c r="R74" s="244"/>
      <c r="S74" s="244"/>
      <c r="T74" s="244"/>
      <c r="U74" s="244"/>
      <c r="V74" s="244"/>
      <c r="W74" s="244"/>
      <c r="X74" s="244"/>
      <c r="Y74" s="244"/>
      <c r="Z74" s="244"/>
      <c r="AA74" s="244"/>
      <c r="AB74" s="244"/>
      <c r="AC74" s="244"/>
    </row>
    <row r="75" spans="1:29" ht="20.25" customHeight="1" thickBot="1">
      <c r="A75" s="236">
        <v>2</v>
      </c>
      <c r="B75" s="2502"/>
      <c r="C75" s="275" t="s">
        <v>728</v>
      </c>
      <c r="D75" s="238" t="s">
        <v>729</v>
      </c>
      <c r="E75" s="263" t="s">
        <v>730</v>
      </c>
      <c r="F75" s="2478"/>
      <c r="G75" s="2481"/>
      <c r="H75" s="245" t="s">
        <v>577</v>
      </c>
      <c r="I75" s="245" t="s">
        <v>578</v>
      </c>
      <c r="J75" s="2484"/>
      <c r="K75" s="241" t="s">
        <v>727</v>
      </c>
      <c r="L75" s="2484"/>
      <c r="M75" s="2511" t="s">
        <v>423</v>
      </c>
      <c r="N75" s="244"/>
      <c r="O75" s="244"/>
      <c r="P75" s="244"/>
      <c r="Q75" s="244"/>
      <c r="R75" s="244"/>
      <c r="S75" s="244"/>
      <c r="T75" s="244"/>
      <c r="U75" s="244"/>
      <c r="V75" s="244"/>
      <c r="W75" s="244"/>
      <c r="X75" s="244"/>
      <c r="Y75" s="244"/>
      <c r="Z75" s="244"/>
      <c r="AA75" s="244"/>
      <c r="AB75" s="244"/>
      <c r="AC75" s="244"/>
    </row>
    <row r="76" spans="1:29" ht="20.25" customHeight="1" thickBot="1">
      <c r="A76" s="236">
        <v>3</v>
      </c>
      <c r="B76" s="2502"/>
      <c r="C76" s="275" t="s">
        <v>731</v>
      </c>
      <c r="D76" s="238" t="s">
        <v>732</v>
      </c>
      <c r="E76" s="263" t="s">
        <v>733</v>
      </c>
      <c r="F76" s="2478"/>
      <c r="G76" s="2481"/>
      <c r="H76" s="2486" t="s">
        <v>577</v>
      </c>
      <c r="I76" s="2486" t="s">
        <v>578</v>
      </c>
      <c r="J76" s="2484"/>
      <c r="K76" s="242"/>
      <c r="L76" s="2484"/>
      <c r="M76" s="2512"/>
      <c r="N76" s="244"/>
      <c r="O76" s="244"/>
      <c r="P76" s="244"/>
      <c r="Q76" s="244"/>
      <c r="R76" s="244"/>
      <c r="S76" s="244"/>
      <c r="T76" s="244"/>
      <c r="U76" s="244"/>
      <c r="V76" s="244"/>
      <c r="W76" s="244"/>
      <c r="X76" s="244"/>
      <c r="Y76" s="244"/>
      <c r="Z76" s="244"/>
      <c r="AA76" s="244"/>
      <c r="AB76" s="244"/>
      <c r="AC76" s="244"/>
    </row>
    <row r="77" spans="1:29" ht="20.25" customHeight="1" thickBot="1">
      <c r="A77" s="236">
        <v>4</v>
      </c>
      <c r="B77" s="2502"/>
      <c r="C77" s="275" t="s">
        <v>734</v>
      </c>
      <c r="D77" s="238" t="s">
        <v>735</v>
      </c>
      <c r="E77" s="263" t="s">
        <v>736</v>
      </c>
      <c r="F77" s="2478"/>
      <c r="G77" s="2481"/>
      <c r="H77" s="2487"/>
      <c r="I77" s="2487"/>
      <c r="J77" s="2484"/>
      <c r="K77" s="242"/>
      <c r="L77" s="2484"/>
      <c r="M77" s="2512"/>
      <c r="N77" s="244"/>
      <c r="O77" s="244"/>
      <c r="P77" s="244"/>
      <c r="Q77" s="244"/>
      <c r="R77" s="244"/>
      <c r="S77" s="244"/>
      <c r="T77" s="244"/>
      <c r="U77" s="244"/>
      <c r="V77" s="244"/>
      <c r="W77" s="244"/>
      <c r="X77" s="244"/>
      <c r="Y77" s="244"/>
      <c r="Z77" s="244"/>
      <c r="AA77" s="244"/>
      <c r="AB77" s="244"/>
      <c r="AC77" s="244"/>
    </row>
    <row r="78" spans="1:29" ht="20.25" customHeight="1" thickBot="1">
      <c r="A78" s="236">
        <v>5</v>
      </c>
      <c r="B78" s="2502"/>
      <c r="C78" s="275" t="s">
        <v>737</v>
      </c>
      <c r="D78" s="238" t="s">
        <v>738</v>
      </c>
      <c r="E78" s="263" t="s">
        <v>739</v>
      </c>
      <c r="F78" s="2478"/>
      <c r="G78" s="2481"/>
      <c r="H78" s="2486" t="s">
        <v>577</v>
      </c>
      <c r="I78" s="2486" t="s">
        <v>578</v>
      </c>
      <c r="J78" s="2484"/>
      <c r="K78" s="242"/>
      <c r="L78" s="2484"/>
      <c r="M78" s="2512"/>
      <c r="N78" s="244"/>
      <c r="O78" s="244"/>
      <c r="P78" s="244"/>
      <c r="Q78" s="244"/>
      <c r="R78" s="244"/>
      <c r="S78" s="244"/>
      <c r="T78" s="244"/>
      <c r="U78" s="244"/>
      <c r="V78" s="244"/>
      <c r="W78" s="244"/>
      <c r="X78" s="244"/>
      <c r="Y78" s="244"/>
      <c r="Z78" s="244"/>
      <c r="AA78" s="244"/>
      <c r="AB78" s="244"/>
      <c r="AC78" s="244"/>
    </row>
    <row r="79" spans="1:29" ht="20.25" customHeight="1" thickBot="1">
      <c r="A79" s="236">
        <v>6</v>
      </c>
      <c r="B79" s="2502"/>
      <c r="C79" s="275" t="s">
        <v>740</v>
      </c>
      <c r="D79" s="238" t="s">
        <v>741</v>
      </c>
      <c r="E79" s="263" t="s">
        <v>742</v>
      </c>
      <c r="F79" s="2478"/>
      <c r="G79" s="2481"/>
      <c r="H79" s="2487"/>
      <c r="I79" s="2487"/>
      <c r="J79" s="2484"/>
      <c r="K79" s="242"/>
      <c r="L79" s="2484"/>
      <c r="M79" s="2512"/>
      <c r="N79" s="244"/>
      <c r="O79" s="244"/>
      <c r="P79" s="244"/>
      <c r="Q79" s="244"/>
      <c r="R79" s="244"/>
      <c r="S79" s="244"/>
      <c r="T79" s="244"/>
      <c r="U79" s="244"/>
      <c r="V79" s="244"/>
      <c r="W79" s="244"/>
      <c r="X79" s="244"/>
      <c r="Y79" s="244"/>
      <c r="Z79" s="244"/>
      <c r="AA79" s="244"/>
      <c r="AB79" s="244"/>
      <c r="AC79" s="244"/>
    </row>
    <row r="80" spans="1:29" ht="20.25" customHeight="1" thickBot="1">
      <c r="A80" s="2532" t="s">
        <v>743</v>
      </c>
      <c r="B80" s="2533"/>
      <c r="C80" s="2533"/>
      <c r="D80" s="2533"/>
      <c r="E80" s="2533"/>
      <c r="F80" s="2533"/>
      <c r="G80" s="2533"/>
      <c r="H80" s="2533"/>
      <c r="I80" s="2533"/>
      <c r="J80" s="2533"/>
      <c r="K80" s="2533"/>
      <c r="L80" s="2533"/>
      <c r="M80" s="2533"/>
      <c r="N80" s="229"/>
      <c r="O80" s="229"/>
      <c r="P80" s="229"/>
      <c r="Q80" s="229"/>
      <c r="R80" s="229"/>
      <c r="S80" s="229"/>
      <c r="T80" s="229"/>
      <c r="U80" s="229"/>
      <c r="V80" s="229"/>
      <c r="W80" s="229"/>
      <c r="X80" s="229"/>
      <c r="Y80" s="229"/>
      <c r="Z80" s="229"/>
      <c r="AA80" s="229"/>
      <c r="AB80" s="229"/>
      <c r="AC80" s="229"/>
    </row>
    <row r="81" spans="1:29" ht="20.25" customHeight="1" thickBot="1">
      <c r="A81" s="230">
        <v>10</v>
      </c>
      <c r="B81" s="231" t="s">
        <v>744</v>
      </c>
      <c r="C81" s="232" t="s">
        <v>745</v>
      </c>
      <c r="D81" s="253"/>
      <c r="E81" s="233"/>
      <c r="F81" s="233"/>
      <c r="G81" s="233"/>
      <c r="H81" s="233"/>
      <c r="I81" s="233"/>
      <c r="J81" s="233"/>
      <c r="K81" s="234"/>
      <c r="L81" s="234"/>
      <c r="M81" s="234"/>
      <c r="N81" s="223"/>
      <c r="O81" s="223"/>
      <c r="P81" s="223"/>
      <c r="Q81" s="223"/>
      <c r="R81" s="223"/>
      <c r="S81" s="223"/>
      <c r="T81" s="223"/>
      <c r="U81" s="223"/>
      <c r="V81" s="223"/>
      <c r="W81" s="223"/>
      <c r="X81" s="223"/>
      <c r="Y81" s="223"/>
      <c r="Z81" s="223"/>
      <c r="AA81" s="223"/>
      <c r="AB81" s="223"/>
      <c r="AC81" s="223"/>
    </row>
    <row r="82" spans="1:29" ht="20.25" customHeight="1">
      <c r="A82" s="2534">
        <v>1</v>
      </c>
      <c r="B82" s="2536"/>
      <c r="C82" s="2538" t="s">
        <v>508</v>
      </c>
      <c r="D82" s="2538" t="s">
        <v>746</v>
      </c>
      <c r="E82" s="276" t="s">
        <v>747</v>
      </c>
      <c r="F82" s="2477" t="s">
        <v>34</v>
      </c>
      <c r="G82" s="2514" t="s">
        <v>548</v>
      </c>
      <c r="H82" s="2540" t="s">
        <v>541</v>
      </c>
      <c r="I82" s="2540" t="s">
        <v>541</v>
      </c>
      <c r="J82" s="2483" t="s">
        <v>749</v>
      </c>
      <c r="K82" s="2544"/>
      <c r="L82" s="2483"/>
      <c r="M82" s="2546" t="s">
        <v>423</v>
      </c>
      <c r="N82" s="2543"/>
      <c r="O82" s="2543"/>
      <c r="P82" s="2543"/>
      <c r="Q82" s="2543"/>
      <c r="R82" s="2543"/>
      <c r="S82" s="2543"/>
      <c r="T82" s="2543"/>
      <c r="U82" s="2543"/>
      <c r="V82" s="2543"/>
      <c r="W82" s="2543"/>
      <c r="X82" s="2543"/>
      <c r="Y82" s="2543"/>
      <c r="Z82" s="2543"/>
      <c r="AA82" s="2543"/>
      <c r="AB82" s="2543"/>
      <c r="AC82" s="2543"/>
    </row>
    <row r="83" spans="1:29" ht="20.25" customHeight="1" thickBot="1">
      <c r="A83" s="2535"/>
      <c r="B83" s="2537"/>
      <c r="C83" s="2539"/>
      <c r="D83" s="2539"/>
      <c r="E83" s="263" t="s">
        <v>748</v>
      </c>
      <c r="F83" s="2478"/>
      <c r="G83" s="2515"/>
      <c r="H83" s="2541"/>
      <c r="I83" s="2541"/>
      <c r="J83" s="2484"/>
      <c r="K83" s="2545"/>
      <c r="L83" s="2484"/>
      <c r="M83" s="2547"/>
      <c r="N83" s="2543"/>
      <c r="O83" s="2543"/>
      <c r="P83" s="2543"/>
      <c r="Q83" s="2543"/>
      <c r="R83" s="2543"/>
      <c r="S83" s="2543"/>
      <c r="T83" s="2543"/>
      <c r="U83" s="2543"/>
      <c r="V83" s="2543"/>
      <c r="W83" s="2543"/>
      <c r="X83" s="2543"/>
      <c r="Y83" s="2543"/>
      <c r="Z83" s="2543"/>
      <c r="AA83" s="2543"/>
      <c r="AB83" s="2543"/>
      <c r="AC83" s="2543"/>
    </row>
    <row r="84" spans="1:29" ht="20.25" customHeight="1" thickBot="1">
      <c r="A84" s="236">
        <v>2</v>
      </c>
      <c r="B84" s="2502"/>
      <c r="C84" s="238" t="s">
        <v>750</v>
      </c>
      <c r="D84" s="238" t="s">
        <v>751</v>
      </c>
      <c r="E84" s="263" t="s">
        <v>752</v>
      </c>
      <c r="F84" s="2478"/>
      <c r="G84" s="2515"/>
      <c r="H84" s="2541"/>
      <c r="I84" s="2541"/>
      <c r="J84" s="2484"/>
      <c r="K84" s="2545"/>
      <c r="L84" s="2484"/>
      <c r="M84" s="2547"/>
      <c r="N84" s="244"/>
      <c r="O84" s="244"/>
      <c r="P84" s="244"/>
      <c r="Q84" s="244"/>
      <c r="R84" s="244"/>
      <c r="S84" s="244"/>
      <c r="T84" s="244"/>
      <c r="U84" s="244"/>
      <c r="V84" s="244"/>
      <c r="W84" s="244"/>
      <c r="X84" s="244"/>
      <c r="Y84" s="244"/>
      <c r="Z84" s="244"/>
      <c r="AA84" s="244"/>
      <c r="AB84" s="244"/>
      <c r="AC84" s="244"/>
    </row>
    <row r="85" spans="1:29" ht="20.25" customHeight="1" thickBot="1">
      <c r="A85" s="236">
        <v>3</v>
      </c>
      <c r="B85" s="2502"/>
      <c r="C85" s="238" t="s">
        <v>753</v>
      </c>
      <c r="D85" s="238" t="s">
        <v>754</v>
      </c>
      <c r="E85" s="263" t="s">
        <v>755</v>
      </c>
      <c r="F85" s="2478"/>
      <c r="G85" s="2515"/>
      <c r="H85" s="2541"/>
      <c r="I85" s="2541"/>
      <c r="J85" s="2484"/>
      <c r="K85" s="2545"/>
      <c r="L85" s="2484"/>
      <c r="M85" s="2547"/>
      <c r="N85" s="244"/>
      <c r="O85" s="244"/>
      <c r="P85" s="244"/>
      <c r="Q85" s="244"/>
      <c r="R85" s="244"/>
      <c r="S85" s="244"/>
      <c r="T85" s="244"/>
      <c r="U85" s="244"/>
      <c r="V85" s="244"/>
      <c r="W85" s="244"/>
      <c r="X85" s="244"/>
      <c r="Y85" s="244"/>
      <c r="Z85" s="244"/>
      <c r="AA85" s="244"/>
      <c r="AB85" s="244"/>
      <c r="AC85" s="244"/>
    </row>
    <row r="86" spans="1:29" ht="20.25" customHeight="1" thickBot="1">
      <c r="A86" s="236">
        <v>4</v>
      </c>
      <c r="B86" s="2502"/>
      <c r="C86" s="238" t="s">
        <v>756</v>
      </c>
      <c r="D86" s="238" t="s">
        <v>757</v>
      </c>
      <c r="E86" s="263" t="s">
        <v>758</v>
      </c>
      <c r="F86" s="2478"/>
      <c r="G86" s="2515"/>
      <c r="H86" s="2541"/>
      <c r="I86" s="2541"/>
      <c r="J86" s="2484"/>
      <c r="K86" s="2545"/>
      <c r="L86" s="2484"/>
      <c r="M86" s="2547"/>
      <c r="N86" s="244"/>
      <c r="O86" s="244"/>
      <c r="P86" s="244"/>
      <c r="Q86" s="244"/>
      <c r="R86" s="244"/>
      <c r="S86" s="244"/>
      <c r="T86" s="244"/>
      <c r="U86" s="244"/>
      <c r="V86" s="244"/>
      <c r="W86" s="244"/>
      <c r="X86" s="244"/>
      <c r="Y86" s="244"/>
      <c r="Z86" s="244"/>
      <c r="AA86" s="244"/>
      <c r="AB86" s="244"/>
      <c r="AC86" s="244"/>
    </row>
    <row r="87" spans="1:29" ht="20.25" customHeight="1" thickBot="1">
      <c r="A87" s="236">
        <v>5</v>
      </c>
      <c r="B87" s="2502"/>
      <c r="C87" s="238" t="s">
        <v>759</v>
      </c>
      <c r="D87" s="238" t="s">
        <v>760</v>
      </c>
      <c r="E87" s="263" t="s">
        <v>761</v>
      </c>
      <c r="F87" s="2478"/>
      <c r="G87" s="2515"/>
      <c r="H87" s="2541"/>
      <c r="I87" s="2541"/>
      <c r="J87" s="2484"/>
      <c r="K87" s="2545"/>
      <c r="L87" s="2484"/>
      <c r="M87" s="2547"/>
      <c r="N87" s="244"/>
      <c r="O87" s="244"/>
      <c r="P87" s="244"/>
      <c r="Q87" s="244"/>
      <c r="R87" s="244"/>
      <c r="S87" s="244"/>
      <c r="T87" s="244"/>
      <c r="U87" s="244"/>
      <c r="V87" s="244"/>
      <c r="W87" s="244"/>
      <c r="X87" s="244"/>
      <c r="Y87" s="244"/>
      <c r="Z87" s="244"/>
      <c r="AA87" s="244"/>
      <c r="AB87" s="244"/>
      <c r="AC87" s="244"/>
    </row>
    <row r="88" spans="1:29" ht="20.25" customHeight="1" thickBot="1">
      <c r="A88" s="236">
        <v>6</v>
      </c>
      <c r="B88" s="2502"/>
      <c r="C88" s="238" t="s">
        <v>762</v>
      </c>
      <c r="D88" s="238" t="s">
        <v>763</v>
      </c>
      <c r="E88" s="263" t="s">
        <v>764</v>
      </c>
      <c r="F88" s="2478"/>
      <c r="G88" s="2515"/>
      <c r="H88" s="2541"/>
      <c r="I88" s="2542"/>
      <c r="J88" s="2484"/>
      <c r="K88" s="2545"/>
      <c r="L88" s="2484"/>
      <c r="M88" s="2547"/>
      <c r="N88" s="244"/>
      <c r="O88" s="244"/>
      <c r="P88" s="244"/>
      <c r="Q88" s="244"/>
      <c r="R88" s="244"/>
      <c r="S88" s="244"/>
      <c r="T88" s="244"/>
      <c r="U88" s="244"/>
      <c r="V88" s="244"/>
      <c r="W88" s="244"/>
      <c r="X88" s="244"/>
      <c r="Y88" s="244"/>
      <c r="Z88" s="244"/>
      <c r="AA88" s="244"/>
      <c r="AB88" s="244"/>
      <c r="AC88" s="244"/>
    </row>
    <row r="89" spans="1:29" ht="20.25" customHeight="1" thickBot="1">
      <c r="A89" s="236">
        <v>7</v>
      </c>
      <c r="B89" s="2502"/>
      <c r="C89" s="238" t="s">
        <v>765</v>
      </c>
      <c r="D89" s="238" t="s">
        <v>766</v>
      </c>
      <c r="E89" s="263" t="s">
        <v>767</v>
      </c>
      <c r="F89" s="2478"/>
      <c r="G89" s="2515"/>
      <c r="H89" s="2541"/>
      <c r="I89" s="2540"/>
      <c r="J89" s="2484"/>
      <c r="K89" s="2545"/>
      <c r="L89" s="2484"/>
      <c r="M89" s="2547"/>
      <c r="N89" s="244"/>
      <c r="O89" s="244"/>
      <c r="P89" s="244"/>
      <c r="Q89" s="244"/>
      <c r="R89" s="244"/>
      <c r="S89" s="244"/>
      <c r="T89" s="244"/>
      <c r="U89" s="244"/>
      <c r="V89" s="244"/>
      <c r="W89" s="244"/>
      <c r="X89" s="244"/>
      <c r="Y89" s="244"/>
      <c r="Z89" s="244"/>
      <c r="AA89" s="244"/>
      <c r="AB89" s="244"/>
      <c r="AC89" s="244"/>
    </row>
    <row r="90" spans="1:29" ht="20.25" customHeight="1" thickBot="1">
      <c r="A90" s="236">
        <v>8</v>
      </c>
      <c r="B90" s="2502"/>
      <c r="C90" s="238" t="s">
        <v>768</v>
      </c>
      <c r="D90" s="238" t="s">
        <v>769</v>
      </c>
      <c r="E90" s="263" t="s">
        <v>770</v>
      </c>
      <c r="F90" s="2478"/>
      <c r="G90" s="2515"/>
      <c r="H90" s="2541"/>
      <c r="I90" s="2541"/>
      <c r="J90" s="2484"/>
      <c r="K90" s="2545"/>
      <c r="L90" s="2484"/>
      <c r="M90" s="2547"/>
      <c r="N90" s="244"/>
      <c r="O90" s="244"/>
      <c r="P90" s="244"/>
      <c r="Q90" s="244"/>
      <c r="R90" s="244"/>
      <c r="S90" s="244"/>
      <c r="T90" s="244"/>
      <c r="U90" s="244"/>
      <c r="V90" s="244"/>
      <c r="W90" s="244"/>
      <c r="X90" s="244"/>
      <c r="Y90" s="244"/>
      <c r="Z90" s="244"/>
      <c r="AA90" s="244"/>
      <c r="AB90" s="244"/>
      <c r="AC90" s="244"/>
    </row>
    <row r="91" spans="1:29" ht="20.25" customHeight="1" thickBot="1">
      <c r="A91" s="236">
        <v>9</v>
      </c>
      <c r="B91" s="2502"/>
      <c r="C91" s="238" t="s">
        <v>771</v>
      </c>
      <c r="D91" s="238" t="s">
        <v>772</v>
      </c>
      <c r="E91" s="263" t="s">
        <v>773</v>
      </c>
      <c r="F91" s="2478"/>
      <c r="G91" s="2515"/>
      <c r="H91" s="2541"/>
      <c r="I91" s="2541"/>
      <c r="J91" s="2484"/>
      <c r="K91" s="2545"/>
      <c r="L91" s="2484"/>
      <c r="M91" s="2547"/>
      <c r="N91" s="244"/>
      <c r="O91" s="244"/>
      <c r="P91" s="244"/>
      <c r="Q91" s="244"/>
      <c r="R91" s="244"/>
      <c r="S91" s="244"/>
      <c r="T91" s="244"/>
      <c r="U91" s="244"/>
      <c r="V91" s="244"/>
      <c r="W91" s="244"/>
      <c r="X91" s="244"/>
      <c r="Y91" s="244"/>
      <c r="Z91" s="244"/>
      <c r="AA91" s="244"/>
      <c r="AB91" s="244"/>
      <c r="AC91" s="244"/>
    </row>
    <row r="92" spans="1:29" ht="20.25" customHeight="1" thickBot="1">
      <c r="A92" s="236">
        <v>10</v>
      </c>
      <c r="B92" s="2502"/>
      <c r="C92" s="238" t="s">
        <v>774</v>
      </c>
      <c r="D92" s="238" t="s">
        <v>775</v>
      </c>
      <c r="E92" s="263" t="s">
        <v>776</v>
      </c>
      <c r="F92" s="2478"/>
      <c r="G92" s="2515"/>
      <c r="H92" s="2541"/>
      <c r="I92" s="2541"/>
      <c r="J92" s="2484"/>
      <c r="K92" s="2545"/>
      <c r="L92" s="2484"/>
      <c r="M92" s="2547"/>
      <c r="N92" s="244"/>
      <c r="O92" s="244"/>
      <c r="P92" s="244"/>
      <c r="Q92" s="244"/>
      <c r="R92" s="244"/>
      <c r="S92" s="244"/>
      <c r="T92" s="244"/>
      <c r="U92" s="244"/>
      <c r="V92" s="244"/>
      <c r="W92" s="244"/>
      <c r="X92" s="244"/>
      <c r="Y92" s="244"/>
      <c r="Z92" s="244"/>
      <c r="AA92" s="244"/>
      <c r="AB92" s="244"/>
      <c r="AC92" s="244"/>
    </row>
    <row r="93" spans="1:29" ht="20.25" customHeight="1" thickBot="1">
      <c r="A93" s="236">
        <v>11</v>
      </c>
      <c r="B93" s="2502"/>
      <c r="C93" s="238" t="s">
        <v>777</v>
      </c>
      <c r="D93" s="238" t="s">
        <v>778</v>
      </c>
      <c r="E93" s="263" t="s">
        <v>779</v>
      </c>
      <c r="F93" s="2478"/>
      <c r="G93" s="2515"/>
      <c r="H93" s="2541"/>
      <c r="I93" s="2541"/>
      <c r="J93" s="2484"/>
      <c r="K93" s="2545"/>
      <c r="L93" s="2484"/>
      <c r="M93" s="2547"/>
      <c r="N93" s="244"/>
      <c r="O93" s="244"/>
      <c r="P93" s="244"/>
      <c r="Q93" s="244"/>
      <c r="R93" s="244"/>
      <c r="S93" s="244"/>
      <c r="T93" s="244"/>
      <c r="U93" s="244"/>
      <c r="V93" s="244"/>
      <c r="W93" s="244"/>
      <c r="X93" s="244"/>
      <c r="Y93" s="244"/>
      <c r="Z93" s="244"/>
      <c r="AA93" s="244"/>
      <c r="AB93" s="244"/>
      <c r="AC93" s="244"/>
    </row>
    <row r="94" spans="1:29" ht="20.25" customHeight="1" thickBot="1">
      <c r="A94" s="236">
        <v>12</v>
      </c>
      <c r="B94" s="2502"/>
      <c r="C94" s="238" t="s">
        <v>780</v>
      </c>
      <c r="D94" s="238" t="s">
        <v>781</v>
      </c>
      <c r="E94" s="263" t="s">
        <v>782</v>
      </c>
      <c r="F94" s="2478"/>
      <c r="G94" s="2515"/>
      <c r="H94" s="2541"/>
      <c r="I94" s="2541"/>
      <c r="J94" s="2484"/>
      <c r="K94" s="2545"/>
      <c r="L94" s="2484"/>
      <c r="M94" s="2547"/>
      <c r="N94" s="244"/>
      <c r="O94" s="244"/>
      <c r="P94" s="244"/>
      <c r="Q94" s="244"/>
      <c r="R94" s="244"/>
      <c r="S94" s="244"/>
      <c r="T94" s="244"/>
      <c r="U94" s="244"/>
      <c r="V94" s="244"/>
      <c r="W94" s="244"/>
      <c r="X94" s="244"/>
      <c r="Y94" s="244"/>
      <c r="Z94" s="244"/>
      <c r="AA94" s="244"/>
      <c r="AB94" s="244"/>
      <c r="AC94" s="244"/>
    </row>
    <row r="95" spans="1:29" ht="20.25" customHeight="1" thickBot="1">
      <c r="A95" s="236">
        <v>13</v>
      </c>
      <c r="B95" s="2502"/>
      <c r="C95" s="238" t="s">
        <v>783</v>
      </c>
      <c r="D95" s="238" t="s">
        <v>784</v>
      </c>
      <c r="E95" s="263" t="s">
        <v>785</v>
      </c>
      <c r="F95" s="2478"/>
      <c r="G95" s="2515"/>
      <c r="H95" s="2541"/>
      <c r="I95" s="2541"/>
      <c r="J95" s="2484"/>
      <c r="K95" s="2545"/>
      <c r="L95" s="2484"/>
      <c r="M95" s="2547"/>
      <c r="N95" s="244"/>
      <c r="O95" s="244"/>
      <c r="P95" s="244"/>
      <c r="Q95" s="244"/>
      <c r="R95" s="244"/>
      <c r="S95" s="244"/>
      <c r="T95" s="244"/>
      <c r="U95" s="244"/>
      <c r="V95" s="244"/>
      <c r="W95" s="244"/>
      <c r="X95" s="244"/>
      <c r="Y95" s="244"/>
      <c r="Z95" s="244"/>
      <c r="AA95" s="244"/>
      <c r="AB95" s="244"/>
      <c r="AC95" s="244"/>
    </row>
    <row r="96" spans="1:29" ht="20.25" customHeight="1" thickBot="1">
      <c r="A96" s="236">
        <v>14</v>
      </c>
      <c r="B96" s="2502"/>
      <c r="C96" s="238" t="s">
        <v>786</v>
      </c>
      <c r="D96" s="238" t="s">
        <v>787</v>
      </c>
      <c r="E96" s="263" t="s">
        <v>788</v>
      </c>
      <c r="F96" s="2478"/>
      <c r="G96" s="2515"/>
      <c r="H96" s="2541"/>
      <c r="I96" s="2541"/>
      <c r="J96" s="2484"/>
      <c r="K96" s="2545"/>
      <c r="L96" s="2484"/>
      <c r="M96" s="2547"/>
      <c r="N96" s="244"/>
      <c r="O96" s="244"/>
      <c r="P96" s="244"/>
      <c r="Q96" s="244"/>
      <c r="R96" s="244"/>
      <c r="S96" s="244"/>
      <c r="T96" s="244"/>
      <c r="U96" s="244"/>
      <c r="V96" s="244"/>
      <c r="W96" s="244"/>
      <c r="X96" s="244"/>
      <c r="Y96" s="244"/>
      <c r="Z96" s="244"/>
      <c r="AA96" s="244"/>
      <c r="AB96" s="244"/>
      <c r="AC96" s="244"/>
    </row>
    <row r="97" spans="1:1" ht="20.25" customHeight="1">
      <c r="A97" s="277"/>
    </row>
  </sheetData>
  <mergeCells count="105">
    <mergeCell ref="AC82:AC83"/>
    <mergeCell ref="B84:B96"/>
    <mergeCell ref="I89:I96"/>
    <mergeCell ref="W82:W83"/>
    <mergeCell ref="X82:X83"/>
    <mergeCell ref="Y82:Y83"/>
    <mergeCell ref="Z82:Z83"/>
    <mergeCell ref="AA82:AA83"/>
    <mergeCell ref="AB82:AB83"/>
    <mergeCell ref="Q82:Q83"/>
    <mergeCell ref="R82:R83"/>
    <mergeCell ref="S82:S83"/>
    <mergeCell ref="T82:T83"/>
    <mergeCell ref="U82:U83"/>
    <mergeCell ref="V82:V83"/>
    <mergeCell ref="K82:K96"/>
    <mergeCell ref="L82:L96"/>
    <mergeCell ref="M82:M96"/>
    <mergeCell ref="N82:N83"/>
    <mergeCell ref="O82:O83"/>
    <mergeCell ref="P82:P83"/>
    <mergeCell ref="A80:M80"/>
    <mergeCell ref="A82:A83"/>
    <mergeCell ref="B82:B83"/>
    <mergeCell ref="C82:C83"/>
    <mergeCell ref="D82:D83"/>
    <mergeCell ref="F82:F96"/>
    <mergeCell ref="G82:G96"/>
    <mergeCell ref="H82:H96"/>
    <mergeCell ref="I82:I88"/>
    <mergeCell ref="J82:J96"/>
    <mergeCell ref="F74:F79"/>
    <mergeCell ref="G74:G79"/>
    <mergeCell ref="J74:J79"/>
    <mergeCell ref="L74:L79"/>
    <mergeCell ref="B75:B79"/>
    <mergeCell ref="M75:M79"/>
    <mergeCell ref="H76:H77"/>
    <mergeCell ref="I76:I77"/>
    <mergeCell ref="H78:H79"/>
    <mergeCell ref="I78:I79"/>
    <mergeCell ref="L59:L66"/>
    <mergeCell ref="M62:M66"/>
    <mergeCell ref="B68:B72"/>
    <mergeCell ref="F68:F72"/>
    <mergeCell ref="G68:G72"/>
    <mergeCell ref="J68:J72"/>
    <mergeCell ref="L68:L72"/>
    <mergeCell ref="M68:M72"/>
    <mergeCell ref="H70:H71"/>
    <mergeCell ref="I70:I71"/>
    <mergeCell ref="F59:F66"/>
    <mergeCell ref="G59:G66"/>
    <mergeCell ref="H59:H66"/>
    <mergeCell ref="I59:I64"/>
    <mergeCell ref="J59:J66"/>
    <mergeCell ref="K59:K66"/>
    <mergeCell ref="F53:F57"/>
    <mergeCell ref="J53:J57"/>
    <mergeCell ref="L53:L57"/>
    <mergeCell ref="M53:M57"/>
    <mergeCell ref="H55:H56"/>
    <mergeCell ref="I55:I56"/>
    <mergeCell ref="I43:I44"/>
    <mergeCell ref="H45:H46"/>
    <mergeCell ref="I45:I46"/>
    <mergeCell ref="H47:H48"/>
    <mergeCell ref="I47:I48"/>
    <mergeCell ref="H49:H50"/>
    <mergeCell ref="I49:I50"/>
    <mergeCell ref="F38:F39"/>
    <mergeCell ref="G38:G39"/>
    <mergeCell ref="J38:J39"/>
    <mergeCell ref="L38:L39"/>
    <mergeCell ref="B41:B51"/>
    <mergeCell ref="F41:F51"/>
    <mergeCell ref="G41:G51"/>
    <mergeCell ref="J41:J51"/>
    <mergeCell ref="L41:L51"/>
    <mergeCell ref="H43:H44"/>
    <mergeCell ref="F27:F36"/>
    <mergeCell ref="G27:G36"/>
    <mergeCell ref="J27:J36"/>
    <mergeCell ref="L27:L36"/>
    <mergeCell ref="H31:H34"/>
    <mergeCell ref="I31:I34"/>
    <mergeCell ref="C13:E13"/>
    <mergeCell ref="F14:F25"/>
    <mergeCell ref="G14:G25"/>
    <mergeCell ref="J14:J25"/>
    <mergeCell ref="K14:K25"/>
    <mergeCell ref="L14:L25"/>
    <mergeCell ref="H16:H17"/>
    <mergeCell ref="I16:I17"/>
    <mergeCell ref="H18:H19"/>
    <mergeCell ref="I18:I19"/>
    <mergeCell ref="A1:H1"/>
    <mergeCell ref="A3:M3"/>
    <mergeCell ref="C4:D4"/>
    <mergeCell ref="F5:F12"/>
    <mergeCell ref="G5:G12"/>
    <mergeCell ref="J5:J12"/>
    <mergeCell ref="L5:L12"/>
    <mergeCell ref="H22:H23"/>
    <mergeCell ref="I22:I23"/>
  </mergeCells>
  <pageMargins left="0.7" right="0.7" top="0.75" bottom="0.75" header="0.3" footer="0.3"/>
  <pageSetup orientation="portrait"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331" workbookViewId="0">
      <selection activeCell="A3" sqref="A3"/>
    </sheetView>
  </sheetViews>
  <sheetFormatPr defaultRowHeight="15"/>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L13"/>
  <sheetViews>
    <sheetView workbookViewId="0">
      <selection activeCell="A5" sqref="A5"/>
    </sheetView>
  </sheetViews>
  <sheetFormatPr defaultRowHeight="15"/>
  <cols>
    <col min="1" max="1" width="5" bestFit="1" customWidth="1"/>
    <col min="2" max="2" width="8.5703125" bestFit="1" customWidth="1"/>
    <col min="3" max="3" width="10.140625" hidden="1" customWidth="1"/>
    <col min="4" max="4" width="20.140625" bestFit="1" customWidth="1"/>
    <col min="5" max="5" width="13.5703125" bestFit="1" customWidth="1"/>
    <col min="6" max="6" width="36.42578125" bestFit="1" customWidth="1"/>
    <col min="7" max="7" width="15.85546875" style="18" hidden="1" customWidth="1"/>
    <col min="8" max="8" width="7.140625" bestFit="1" customWidth="1"/>
    <col min="9" max="9" width="8.28515625" hidden="1" customWidth="1"/>
    <col min="10" max="10" width="7" hidden="1" customWidth="1"/>
    <col min="11" max="11" width="8.28515625" hidden="1" customWidth="1"/>
    <col min="12" max="12" width="8" hidden="1" customWidth="1"/>
  </cols>
  <sheetData>
    <row r="1" spans="1:12" ht="25.5" customHeight="1">
      <c r="A1" s="2167" t="s">
        <v>0</v>
      </c>
      <c r="B1" s="2156" t="s">
        <v>1</v>
      </c>
      <c r="C1" s="2156" t="s">
        <v>2</v>
      </c>
      <c r="D1" s="2156" t="s">
        <v>5</v>
      </c>
      <c r="E1" s="2156" t="s">
        <v>3</v>
      </c>
      <c r="F1" s="2156" t="s">
        <v>4</v>
      </c>
      <c r="G1" s="2156" t="s">
        <v>6</v>
      </c>
      <c r="H1" s="2156" t="s">
        <v>7</v>
      </c>
      <c r="I1" s="2156" t="s">
        <v>8</v>
      </c>
      <c r="J1" s="2156" t="s">
        <v>9</v>
      </c>
      <c r="K1" s="2156" t="s">
        <v>10</v>
      </c>
      <c r="L1" s="2156" t="s">
        <v>11</v>
      </c>
    </row>
    <row r="2" spans="1:12" s="8" customFormat="1" ht="66" customHeight="1" thickBot="1">
      <c r="A2" s="2554"/>
      <c r="B2" s="2553"/>
      <c r="C2" s="2553"/>
      <c r="D2" s="2553"/>
      <c r="E2" s="2553"/>
      <c r="F2" s="2553"/>
      <c r="G2" s="2553"/>
      <c r="H2" s="2553"/>
      <c r="I2" s="2553"/>
      <c r="J2" s="2553"/>
      <c r="K2" s="2553"/>
      <c r="L2" s="2553"/>
    </row>
    <row r="3" spans="1:12" ht="15.75" thickBot="1">
      <c r="A3" s="442">
        <v>7</v>
      </c>
      <c r="B3" s="443" t="s">
        <v>1030</v>
      </c>
      <c r="C3" s="444"/>
      <c r="D3" s="443" t="s">
        <v>1053</v>
      </c>
      <c r="E3" s="443" t="s">
        <v>1071</v>
      </c>
      <c r="F3" s="443" t="s">
        <v>1103</v>
      </c>
      <c r="G3" s="443" t="s">
        <v>299</v>
      </c>
      <c r="H3" s="443">
        <v>94378</v>
      </c>
      <c r="I3" s="443" t="s">
        <v>34</v>
      </c>
      <c r="J3" s="443" t="s">
        <v>34</v>
      </c>
      <c r="K3" s="443" t="s">
        <v>34</v>
      </c>
      <c r="L3" s="443" t="s">
        <v>35</v>
      </c>
    </row>
    <row r="4" spans="1:12" ht="15.75" thickBot="1">
      <c r="A4" s="452">
        <v>9</v>
      </c>
      <c r="B4" s="443" t="str">
        <f>B3</f>
        <v>YWD</v>
      </c>
      <c r="C4" s="444"/>
      <c r="D4" s="443" t="s">
        <v>1055</v>
      </c>
      <c r="E4" s="443" t="s">
        <v>1076</v>
      </c>
      <c r="F4" s="443" t="s">
        <v>1106</v>
      </c>
      <c r="G4" s="443" t="e">
        <f>#REF!</f>
        <v>#REF!</v>
      </c>
      <c r="H4" s="443">
        <v>94378</v>
      </c>
      <c r="I4" s="443" t="s">
        <v>34</v>
      </c>
      <c r="J4" s="443" t="s">
        <v>34</v>
      </c>
      <c r="K4" s="443" t="s">
        <v>34</v>
      </c>
      <c r="L4" s="443" t="s">
        <v>35</v>
      </c>
    </row>
    <row r="5" spans="1:12" ht="15.75" thickBot="1">
      <c r="A5" s="442">
        <v>10</v>
      </c>
      <c r="B5" s="443" t="str">
        <f>B4</f>
        <v>YWD</v>
      </c>
      <c r="C5" s="444"/>
      <c r="D5" s="443" t="s">
        <v>1056</v>
      </c>
      <c r="E5" s="443" t="s">
        <v>1077</v>
      </c>
      <c r="F5" s="443" t="s">
        <v>225</v>
      </c>
      <c r="G5" s="443" t="e">
        <f>G4</f>
        <v>#REF!</v>
      </c>
      <c r="H5" s="443">
        <v>26171</v>
      </c>
      <c r="I5" s="443" t="s">
        <v>34</v>
      </c>
      <c r="J5" s="443" t="s">
        <v>34</v>
      </c>
      <c r="K5" s="443" t="s">
        <v>34</v>
      </c>
      <c r="L5" s="443" t="s">
        <v>35</v>
      </c>
    </row>
    <row r="6" spans="1:12" ht="15.75" thickBot="1">
      <c r="A6" s="2548">
        <v>14</v>
      </c>
      <c r="B6" s="2551" t="str">
        <f>B5</f>
        <v>YWD</v>
      </c>
      <c r="C6" s="448"/>
      <c r="D6" s="2551" t="s">
        <v>1060</v>
      </c>
      <c r="E6" s="449" t="s">
        <v>1084</v>
      </c>
      <c r="F6" s="449" t="s">
        <v>1111</v>
      </c>
      <c r="G6" s="2551" t="e">
        <f>#REF!</f>
        <v>#REF!</v>
      </c>
      <c r="H6" s="449">
        <v>26171</v>
      </c>
      <c r="I6" s="443" t="s">
        <v>34</v>
      </c>
      <c r="J6" s="443" t="s">
        <v>34</v>
      </c>
      <c r="K6" s="443" t="s">
        <v>34</v>
      </c>
      <c r="L6" s="443" t="s">
        <v>35</v>
      </c>
    </row>
    <row r="7" spans="1:12" ht="15.75" thickBot="1">
      <c r="A7" s="2549"/>
      <c r="B7" s="2387"/>
      <c r="C7" s="446"/>
      <c r="D7" s="2387"/>
      <c r="E7" s="205" t="s">
        <v>1085</v>
      </c>
      <c r="F7" s="205" t="s">
        <v>1111</v>
      </c>
      <c r="G7" s="2387"/>
      <c r="H7" s="205">
        <v>68207</v>
      </c>
      <c r="I7" s="443" t="s">
        <v>34</v>
      </c>
      <c r="J7" s="443" t="s">
        <v>34</v>
      </c>
      <c r="K7" s="443" t="s">
        <v>34</v>
      </c>
      <c r="L7" s="443" t="s">
        <v>35</v>
      </c>
    </row>
    <row r="8" spans="1:12" ht="15.75" thickBot="1">
      <c r="A8" s="2549"/>
      <c r="B8" s="2387"/>
      <c r="C8" s="446"/>
      <c r="D8" s="2387"/>
      <c r="E8" s="205" t="s">
        <v>1086</v>
      </c>
      <c r="F8" s="205" t="s">
        <v>1112</v>
      </c>
      <c r="G8" s="2387"/>
      <c r="H8" s="205">
        <v>26171</v>
      </c>
      <c r="I8" s="443" t="s">
        <v>34</v>
      </c>
      <c r="J8" s="443" t="s">
        <v>34</v>
      </c>
      <c r="K8" s="443" t="s">
        <v>34</v>
      </c>
      <c r="L8" s="443" t="s">
        <v>35</v>
      </c>
    </row>
    <row r="9" spans="1:12" ht="15.75" thickBot="1">
      <c r="A9" s="2550"/>
      <c r="B9" s="2552"/>
      <c r="C9" s="450"/>
      <c r="D9" s="2552"/>
      <c r="E9" s="451" t="s">
        <v>1087</v>
      </c>
      <c r="F9" s="451" t="s">
        <v>1112</v>
      </c>
      <c r="G9" s="2552"/>
      <c r="H9" s="451">
        <v>68207</v>
      </c>
      <c r="I9" s="443" t="s">
        <v>34</v>
      </c>
      <c r="J9" s="443" t="s">
        <v>34</v>
      </c>
      <c r="K9" s="443" t="s">
        <v>34</v>
      </c>
      <c r="L9" s="443" t="s">
        <v>35</v>
      </c>
    </row>
    <row r="10" spans="1:12" ht="15.75" thickBot="1">
      <c r="A10" s="445">
        <v>17</v>
      </c>
      <c r="B10" s="447" t="str">
        <f>B6</f>
        <v>YWD</v>
      </c>
      <c r="C10" s="446"/>
      <c r="D10" s="447" t="s">
        <v>1063</v>
      </c>
      <c r="E10" s="447" t="s">
        <v>1096</v>
      </c>
      <c r="F10" s="447" t="s">
        <v>1115</v>
      </c>
      <c r="G10" s="447" t="e">
        <f>#REF!</f>
        <v>#REF!</v>
      </c>
      <c r="H10" s="447">
        <v>94378</v>
      </c>
      <c r="I10" s="447" t="s">
        <v>34</v>
      </c>
      <c r="J10" s="447" t="s">
        <v>34</v>
      </c>
      <c r="K10" s="447" t="s">
        <v>34</v>
      </c>
      <c r="L10" s="447" t="s">
        <v>35</v>
      </c>
    </row>
    <row r="11" spans="1:12" ht="15.75" thickBot="1">
      <c r="A11" s="442">
        <v>18</v>
      </c>
      <c r="B11" s="443" t="str">
        <f>B10</f>
        <v>YWD</v>
      </c>
      <c r="C11" s="444"/>
      <c r="D11" s="443" t="s">
        <v>1064</v>
      </c>
      <c r="E11" s="443" t="s">
        <v>1097</v>
      </c>
      <c r="F11" s="443" t="s">
        <v>1116</v>
      </c>
      <c r="G11" s="443" t="e">
        <f>G10</f>
        <v>#REF!</v>
      </c>
      <c r="H11" s="443">
        <v>94378</v>
      </c>
      <c r="I11" s="443" t="s">
        <v>34</v>
      </c>
      <c r="J11" s="443" t="s">
        <v>34</v>
      </c>
      <c r="K11" s="443" t="s">
        <v>34</v>
      </c>
      <c r="L11" s="443" t="s">
        <v>35</v>
      </c>
    </row>
    <row r="12" spans="1:12" ht="15.75" thickBot="1">
      <c r="A12" s="442">
        <v>20</v>
      </c>
      <c r="B12" s="443" t="str">
        <f>B11</f>
        <v>YWD</v>
      </c>
      <c r="C12" s="444"/>
      <c r="D12" s="443" t="s">
        <v>1066</v>
      </c>
      <c r="E12" s="443" t="s">
        <v>1099</v>
      </c>
      <c r="F12" s="443" t="s">
        <v>1118</v>
      </c>
      <c r="G12" s="443" t="s">
        <v>461</v>
      </c>
      <c r="H12" s="443">
        <v>94378</v>
      </c>
      <c r="I12" s="443" t="s">
        <v>34</v>
      </c>
      <c r="J12" s="443" t="s">
        <v>34</v>
      </c>
      <c r="K12" s="443" t="s">
        <v>34</v>
      </c>
      <c r="L12" s="443" t="s">
        <v>35</v>
      </c>
    </row>
    <row r="13" spans="1:12" ht="15.75" thickBot="1">
      <c r="A13" s="442">
        <v>21</v>
      </c>
      <c r="B13" s="443" t="str">
        <f>B12</f>
        <v>YWD</v>
      </c>
      <c r="C13" s="444"/>
      <c r="D13" s="443" t="s">
        <v>1184</v>
      </c>
      <c r="E13" s="443" t="s">
        <v>1100</v>
      </c>
      <c r="F13" s="443" t="s">
        <v>1119</v>
      </c>
      <c r="G13" s="443" t="e">
        <f>G11</f>
        <v>#REF!</v>
      </c>
      <c r="H13" s="443">
        <v>94378</v>
      </c>
      <c r="I13" s="443" t="s">
        <v>34</v>
      </c>
      <c r="J13" s="443" t="s">
        <v>34</v>
      </c>
      <c r="K13" s="443" t="s">
        <v>34</v>
      </c>
      <c r="L13" s="443" t="s">
        <v>35</v>
      </c>
    </row>
  </sheetData>
  <mergeCells count="16">
    <mergeCell ref="H1:H2"/>
    <mergeCell ref="I1:I2"/>
    <mergeCell ref="J1:J2"/>
    <mergeCell ref="K1:K2"/>
    <mergeCell ref="L1:L2"/>
    <mergeCell ref="A6:A9"/>
    <mergeCell ref="B6:B9"/>
    <mergeCell ref="D6:D9"/>
    <mergeCell ref="G6:G9"/>
    <mergeCell ref="G1:G2"/>
    <mergeCell ref="A1:A2"/>
    <mergeCell ref="B1:B2"/>
    <mergeCell ref="C1:C2"/>
    <mergeCell ref="D1:D2"/>
    <mergeCell ref="E1:E2"/>
    <mergeCell ref="F1:F2"/>
  </mergeCell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6"/>
  <sheetViews>
    <sheetView zoomScale="90" zoomScaleNormal="90" workbookViewId="0">
      <pane xSplit="1" ySplit="2" topLeftCell="B3" activePane="bottomRight" state="frozen"/>
      <selection pane="topRight" activeCell="C1" sqref="C1"/>
      <selection pane="bottomLeft" activeCell="A3" sqref="A3"/>
      <selection pane="bottomRight" activeCell="B1" sqref="B1"/>
    </sheetView>
  </sheetViews>
  <sheetFormatPr defaultRowHeight="15"/>
  <cols>
    <col min="1" max="1" width="38.85546875" hidden="1" customWidth="1"/>
    <col min="2" max="2" width="17.85546875" bestFit="1" customWidth="1"/>
    <col min="3" max="3" width="10" bestFit="1" customWidth="1"/>
    <col min="4" max="4" width="9.42578125" bestFit="1" customWidth="1"/>
    <col min="5" max="5" width="8.28515625" bestFit="1" customWidth="1"/>
    <col min="6" max="6" width="10" bestFit="1" customWidth="1"/>
    <col min="7" max="8" width="12" bestFit="1" customWidth="1"/>
    <col min="9" max="9" width="23" bestFit="1" customWidth="1"/>
    <col min="10" max="10" width="15.5703125" bestFit="1" customWidth="1"/>
    <col min="11" max="11" width="19.28515625" bestFit="1" customWidth="1"/>
    <col min="12" max="12" width="14" bestFit="1" customWidth="1"/>
    <col min="13" max="13" width="13.85546875" bestFit="1" customWidth="1"/>
    <col min="14" max="14" width="10.28515625" bestFit="1" customWidth="1"/>
    <col min="15" max="15" width="29" bestFit="1" customWidth="1"/>
    <col min="16" max="16" width="10.42578125" bestFit="1" customWidth="1"/>
    <col min="17" max="17" width="12" style="148" bestFit="1" customWidth="1"/>
    <col min="18" max="18" width="17.28515625" bestFit="1" customWidth="1"/>
    <col min="19" max="19" width="14.7109375" bestFit="1" customWidth="1"/>
    <col min="20" max="20" width="11.85546875" bestFit="1" customWidth="1"/>
    <col min="21" max="21" width="14.42578125" bestFit="1" customWidth="1"/>
    <col min="22" max="22" width="17.7109375" bestFit="1" customWidth="1"/>
    <col min="23" max="25" width="9.42578125" bestFit="1" customWidth="1"/>
  </cols>
  <sheetData>
    <row r="1" spans="1:25">
      <c r="A1" s="342" t="s">
        <v>858</v>
      </c>
      <c r="B1" s="344" t="s">
        <v>859</v>
      </c>
      <c r="C1" s="344" t="s">
        <v>860</v>
      </c>
      <c r="D1" s="344" t="s">
        <v>861</v>
      </c>
      <c r="E1" s="345" t="s">
        <v>862</v>
      </c>
      <c r="F1" s="345" t="s">
        <v>863</v>
      </c>
      <c r="G1" s="345" t="s">
        <v>856</v>
      </c>
      <c r="H1" s="345" t="s">
        <v>269</v>
      </c>
      <c r="I1" s="345" t="s">
        <v>864</v>
      </c>
      <c r="J1" s="345" t="s">
        <v>865</v>
      </c>
      <c r="K1" s="345" t="s">
        <v>866</v>
      </c>
      <c r="L1" s="345" t="s">
        <v>867</v>
      </c>
      <c r="M1" s="345" t="s">
        <v>868</v>
      </c>
      <c r="N1" s="345" t="s">
        <v>869</v>
      </c>
      <c r="O1" s="345" t="s">
        <v>870</v>
      </c>
      <c r="P1" s="345" t="s">
        <v>871</v>
      </c>
      <c r="Q1" s="347" t="s">
        <v>872</v>
      </c>
      <c r="R1" s="345" t="s">
        <v>873</v>
      </c>
      <c r="S1" s="345" t="s">
        <v>874</v>
      </c>
      <c r="T1" s="345" t="s">
        <v>875</v>
      </c>
      <c r="U1" s="344" t="s">
        <v>876</v>
      </c>
      <c r="V1" s="345" t="s">
        <v>877</v>
      </c>
      <c r="W1" s="345" t="s">
        <v>878</v>
      </c>
      <c r="X1" s="345" t="s">
        <v>879</v>
      </c>
      <c r="Y1" s="345" t="s">
        <v>880</v>
      </c>
    </row>
    <row r="2" spans="1:25" ht="409.6" hidden="1" customHeight="1">
      <c r="A2" t="s">
        <v>881</v>
      </c>
      <c r="B2" s="16" t="s">
        <v>881</v>
      </c>
      <c r="C2" s="16" t="s">
        <v>860</v>
      </c>
      <c r="D2" s="16" t="s">
        <v>861</v>
      </c>
      <c r="E2" s="16" t="s">
        <v>862</v>
      </c>
      <c r="F2" s="16" t="s">
        <v>863</v>
      </c>
      <c r="G2" s="16" t="s">
        <v>856</v>
      </c>
      <c r="H2" s="16" t="s">
        <v>269</v>
      </c>
      <c r="I2" s="16" t="s">
        <v>864</v>
      </c>
      <c r="J2" s="16" t="s">
        <v>865</v>
      </c>
      <c r="K2" s="16" t="s">
        <v>866</v>
      </c>
      <c r="L2" s="16" t="s">
        <v>867</v>
      </c>
      <c r="M2" s="16" t="s">
        <v>868</v>
      </c>
      <c r="N2" s="16" t="s">
        <v>869</v>
      </c>
      <c r="O2" s="16" t="s">
        <v>870</v>
      </c>
      <c r="P2" s="16" t="s">
        <v>871</v>
      </c>
      <c r="Q2" s="69" t="s">
        <v>872</v>
      </c>
      <c r="R2" s="16" t="s">
        <v>873</v>
      </c>
      <c r="S2" s="16" t="s">
        <v>874</v>
      </c>
      <c r="T2" s="16" t="s">
        <v>875</v>
      </c>
      <c r="U2" s="16" t="s">
        <v>876</v>
      </c>
      <c r="V2" s="16" t="s">
        <v>877</v>
      </c>
      <c r="W2" s="16" t="s">
        <v>878</v>
      </c>
      <c r="X2" s="16" t="s">
        <v>879</v>
      </c>
      <c r="Y2" s="16" t="s">
        <v>880</v>
      </c>
    </row>
    <row r="3" spans="1:25">
      <c r="A3" s="343" t="s">
        <v>882</v>
      </c>
      <c r="B3" s="346" t="s">
        <v>915</v>
      </c>
      <c r="C3" s="16">
        <v>203.04</v>
      </c>
      <c r="D3" s="16">
        <v>201.57</v>
      </c>
      <c r="E3" s="16">
        <v>168.59</v>
      </c>
      <c r="F3" s="16">
        <v>25.96</v>
      </c>
      <c r="G3" s="16">
        <v>142.63</v>
      </c>
      <c r="H3" s="16">
        <v>17.8</v>
      </c>
      <c r="I3" s="16">
        <v>12.73</v>
      </c>
      <c r="J3" s="16">
        <v>173.16</v>
      </c>
      <c r="K3" s="16">
        <v>7.63</v>
      </c>
      <c r="L3" s="16">
        <v>1.43</v>
      </c>
      <c r="M3" s="16">
        <v>0.87</v>
      </c>
      <c r="N3" s="16">
        <v>13.54</v>
      </c>
      <c r="O3" s="16">
        <v>5.19</v>
      </c>
      <c r="P3" s="16">
        <v>1.22</v>
      </c>
      <c r="Q3" s="69">
        <v>1.0000000000000001E-9</v>
      </c>
      <c r="R3" s="16">
        <v>29.88</v>
      </c>
      <c r="S3" s="16">
        <v>203.04</v>
      </c>
      <c r="T3" s="16">
        <v>138.16999999999999</v>
      </c>
      <c r="U3" s="16">
        <v>203.04</v>
      </c>
      <c r="V3" s="16">
        <v>19.96</v>
      </c>
      <c r="W3" s="16">
        <v>1.4999999999999999E-2</v>
      </c>
      <c r="X3" s="16">
        <v>1.4999999999999999E-2</v>
      </c>
      <c r="Y3" s="16">
        <v>1.4999999999999999E-2</v>
      </c>
    </row>
    <row r="4" spans="1:25">
      <c r="A4" s="343" t="s">
        <v>883</v>
      </c>
      <c r="B4" s="346" t="s">
        <v>916</v>
      </c>
      <c r="C4" s="16">
        <v>440.59</v>
      </c>
      <c r="D4" s="16">
        <v>438.16</v>
      </c>
      <c r="E4" s="16">
        <v>316.67</v>
      </c>
      <c r="F4" s="16">
        <v>60.51</v>
      </c>
      <c r="G4" s="16">
        <v>256.16000000000003</v>
      </c>
      <c r="H4" s="16">
        <v>48.55</v>
      </c>
      <c r="I4" s="16">
        <v>54.37</v>
      </c>
      <c r="J4" s="16">
        <v>359.08</v>
      </c>
      <c r="K4" s="16">
        <v>25.37</v>
      </c>
      <c r="L4" s="16">
        <v>2.56</v>
      </c>
      <c r="M4" s="16">
        <v>1.8</v>
      </c>
      <c r="N4" s="16">
        <v>41.14</v>
      </c>
      <c r="O4" s="16">
        <v>6.17</v>
      </c>
      <c r="P4" s="16">
        <v>4.12</v>
      </c>
      <c r="Q4" s="69">
        <v>1.0000000000000001E-9</v>
      </c>
      <c r="R4" s="16">
        <v>81.510000000000005</v>
      </c>
      <c r="S4" s="16">
        <v>440.59</v>
      </c>
      <c r="T4" s="16">
        <v>246.57</v>
      </c>
      <c r="U4" s="16">
        <v>440.59</v>
      </c>
      <c r="V4" s="16">
        <v>33.340000000000003</v>
      </c>
      <c r="W4" s="16">
        <v>1.4999999999999999E-2</v>
      </c>
      <c r="X4" s="16">
        <v>1.4999999999999999E-2</v>
      </c>
      <c r="Y4" s="16">
        <v>1.4999999999999999E-2</v>
      </c>
    </row>
    <row r="5" spans="1:25">
      <c r="A5" s="343" t="s">
        <v>884</v>
      </c>
      <c r="B5" s="346" t="s">
        <v>538</v>
      </c>
      <c r="C5" s="16">
        <v>541.59</v>
      </c>
      <c r="D5" s="16">
        <v>538.51</v>
      </c>
      <c r="E5" s="16">
        <v>471.06</v>
      </c>
      <c r="F5" s="16">
        <v>90.92</v>
      </c>
      <c r="G5" s="16">
        <v>380.14</v>
      </c>
      <c r="H5" s="16">
        <v>58.11</v>
      </c>
      <c r="I5" s="16">
        <v>26.82</v>
      </c>
      <c r="J5" s="16">
        <v>465.07</v>
      </c>
      <c r="K5" s="16">
        <v>21.23</v>
      </c>
      <c r="L5" s="16">
        <v>3.8</v>
      </c>
      <c r="M5" s="16">
        <v>2.33</v>
      </c>
      <c r="N5" s="16">
        <v>37.33</v>
      </c>
      <c r="O5" s="16">
        <v>8.43</v>
      </c>
      <c r="P5" s="16">
        <v>3.4</v>
      </c>
      <c r="Q5" s="69">
        <v>1.0000000000000001E-9</v>
      </c>
      <c r="R5" s="16">
        <v>76.52</v>
      </c>
      <c r="S5" s="16">
        <v>541.59</v>
      </c>
      <c r="T5" s="16">
        <v>483.17</v>
      </c>
      <c r="U5" s="16">
        <v>541.59</v>
      </c>
      <c r="V5" s="16">
        <v>31.15</v>
      </c>
      <c r="W5" s="16">
        <v>1.4999999999999999E-2</v>
      </c>
      <c r="X5" s="16">
        <v>1.4999999999999999E-2</v>
      </c>
      <c r="Y5" s="16">
        <v>1.4999999999999999E-2</v>
      </c>
    </row>
    <row r="6" spans="1:25">
      <c r="A6" s="343" t="s">
        <v>885</v>
      </c>
      <c r="B6" s="346" t="s">
        <v>917</v>
      </c>
      <c r="C6" s="16">
        <v>204.9</v>
      </c>
      <c r="D6" s="16">
        <v>203.79</v>
      </c>
      <c r="E6" s="16">
        <v>140.84</v>
      </c>
      <c r="F6" s="16">
        <v>26.36</v>
      </c>
      <c r="G6" s="16">
        <v>114.48</v>
      </c>
      <c r="H6" s="16">
        <v>31.59</v>
      </c>
      <c r="I6" s="16">
        <v>17.7</v>
      </c>
      <c r="J6" s="16">
        <v>163.77000000000001</v>
      </c>
      <c r="K6" s="16">
        <v>12.32</v>
      </c>
      <c r="L6" s="16">
        <v>1.1399999999999999</v>
      </c>
      <c r="M6" s="16">
        <v>0.82</v>
      </c>
      <c r="N6" s="16">
        <v>19.54</v>
      </c>
      <c r="O6" s="16">
        <v>5.33</v>
      </c>
      <c r="P6" s="16">
        <v>1.97</v>
      </c>
      <c r="Q6" s="69">
        <v>1E-8</v>
      </c>
      <c r="R6" s="16">
        <v>41.13</v>
      </c>
      <c r="S6" s="16">
        <v>204.9</v>
      </c>
      <c r="T6" s="16">
        <v>215.83</v>
      </c>
      <c r="U6" s="16">
        <v>204.91</v>
      </c>
      <c r="V6" s="16">
        <v>22.23</v>
      </c>
      <c r="W6" s="16">
        <v>1.4999999999999999E-2</v>
      </c>
      <c r="X6" s="16">
        <v>1.4999999999999999E-2</v>
      </c>
      <c r="Y6" s="16">
        <v>1.4999999999999999E-2</v>
      </c>
    </row>
    <row r="7" spans="1:25">
      <c r="A7" s="343" t="s">
        <v>886</v>
      </c>
      <c r="B7" s="346" t="s">
        <v>918</v>
      </c>
      <c r="C7" s="16">
        <v>260.64</v>
      </c>
      <c r="D7" s="16">
        <v>259.2</v>
      </c>
      <c r="E7" s="16">
        <v>206.2</v>
      </c>
      <c r="F7" s="16">
        <v>40.21</v>
      </c>
      <c r="G7" s="16">
        <v>165.99</v>
      </c>
      <c r="H7" s="16">
        <v>37.28</v>
      </c>
      <c r="I7" s="16">
        <v>11.4</v>
      </c>
      <c r="J7" s="16">
        <v>214.68</v>
      </c>
      <c r="K7" s="16">
        <v>12.17</v>
      </c>
      <c r="L7" s="16">
        <v>1.66</v>
      </c>
      <c r="M7" s="16">
        <v>1.07</v>
      </c>
      <c r="N7" s="16">
        <v>20.36</v>
      </c>
      <c r="O7" s="16">
        <v>3.72</v>
      </c>
      <c r="P7" s="16">
        <v>1.95</v>
      </c>
      <c r="Q7" s="69">
        <v>9.9999999999999994E-12</v>
      </c>
      <c r="R7" s="16">
        <v>45.96</v>
      </c>
      <c r="S7" s="16">
        <v>260.64</v>
      </c>
      <c r="T7" s="16">
        <v>194.24</v>
      </c>
      <c r="U7" s="16">
        <v>260.64</v>
      </c>
      <c r="V7" s="16">
        <v>16.559999999999999</v>
      </c>
      <c r="W7" s="16">
        <v>1.4999999999999999E-2</v>
      </c>
      <c r="X7" s="16">
        <v>1.4999999999999999E-2</v>
      </c>
      <c r="Y7" s="16">
        <v>1.4999999999999999E-2</v>
      </c>
    </row>
    <row r="8" spans="1:25">
      <c r="A8" s="343" t="s">
        <v>887</v>
      </c>
      <c r="B8" s="346" t="s">
        <v>919</v>
      </c>
      <c r="C8" s="16">
        <v>260.63</v>
      </c>
      <c r="D8" s="16">
        <v>259.2</v>
      </c>
      <c r="E8" s="16">
        <v>206.2</v>
      </c>
      <c r="F8" s="16">
        <v>40.21</v>
      </c>
      <c r="G8" s="16">
        <v>165.99</v>
      </c>
      <c r="H8" s="16">
        <v>37.28</v>
      </c>
      <c r="I8" s="16">
        <v>11.4</v>
      </c>
      <c r="J8" s="16">
        <v>214.67</v>
      </c>
      <c r="K8" s="16">
        <v>12.17</v>
      </c>
      <c r="L8" s="16">
        <v>1.66</v>
      </c>
      <c r="M8" s="16">
        <v>1.07</v>
      </c>
      <c r="N8" s="16">
        <v>20.36</v>
      </c>
      <c r="O8" s="16">
        <v>3.72</v>
      </c>
      <c r="P8" s="16">
        <v>1.95</v>
      </c>
      <c r="Q8" s="69">
        <v>1E-8</v>
      </c>
      <c r="R8" s="16">
        <v>45.96</v>
      </c>
      <c r="S8" s="16">
        <v>260.63</v>
      </c>
      <c r="T8" s="16">
        <v>176.73</v>
      </c>
      <c r="U8" s="16">
        <v>260.63</v>
      </c>
      <c r="V8" s="16">
        <v>16.559999999999999</v>
      </c>
      <c r="W8" s="16">
        <v>1.4999999999999999E-2</v>
      </c>
      <c r="X8" s="16">
        <v>1.4999999999999999E-2</v>
      </c>
      <c r="Y8" s="16">
        <v>1.4999999999999999E-2</v>
      </c>
    </row>
    <row r="9" spans="1:25">
      <c r="A9" s="343" t="s">
        <v>888</v>
      </c>
      <c r="B9" s="346" t="s">
        <v>920</v>
      </c>
      <c r="C9" s="16">
        <v>196.99</v>
      </c>
      <c r="D9" s="16">
        <v>195.68</v>
      </c>
      <c r="E9" s="16">
        <v>192.04</v>
      </c>
      <c r="F9" s="16">
        <v>35.840000000000003</v>
      </c>
      <c r="G9" s="16">
        <v>156.19999999999999</v>
      </c>
      <c r="H9" s="16">
        <v>12.34</v>
      </c>
      <c r="I9" s="16">
        <v>5.6</v>
      </c>
      <c r="J9" s="16">
        <v>174.14</v>
      </c>
      <c r="K9" s="16">
        <v>4.4800000000000004</v>
      </c>
      <c r="L9" s="16">
        <v>1.56</v>
      </c>
      <c r="M9" s="16">
        <v>0.87</v>
      </c>
      <c r="N9" s="16">
        <v>9.4</v>
      </c>
      <c r="O9" s="16">
        <v>3.76</v>
      </c>
      <c r="P9" s="16">
        <v>0.72</v>
      </c>
      <c r="Q9" s="69">
        <v>2.06</v>
      </c>
      <c r="R9" s="16">
        <v>22.85</v>
      </c>
      <c r="S9" s="16">
        <v>196.99</v>
      </c>
      <c r="T9" s="16">
        <v>75.2</v>
      </c>
      <c r="U9" s="16">
        <v>196.99</v>
      </c>
      <c r="V9" s="16">
        <v>15.16</v>
      </c>
      <c r="W9" s="16">
        <v>1.4999999999999999E-2</v>
      </c>
      <c r="X9" s="16">
        <v>1.4999999999999999E-2</v>
      </c>
      <c r="Y9" s="16">
        <v>1.4999999999999999E-2</v>
      </c>
    </row>
    <row r="10" spans="1:25">
      <c r="A10" s="343" t="s">
        <v>889</v>
      </c>
      <c r="B10" s="346" t="s">
        <v>921</v>
      </c>
      <c r="C10" s="16">
        <v>203.39</v>
      </c>
      <c r="D10" s="16">
        <v>202.06</v>
      </c>
      <c r="E10" s="16">
        <v>198.59</v>
      </c>
      <c r="F10" s="16">
        <v>35.869999999999997</v>
      </c>
      <c r="G10" s="16">
        <v>162.72</v>
      </c>
      <c r="H10" s="16">
        <v>12.34</v>
      </c>
      <c r="I10" s="16">
        <v>5.38</v>
      </c>
      <c r="J10" s="16">
        <v>180.44</v>
      </c>
      <c r="K10" s="16">
        <v>4.43</v>
      </c>
      <c r="L10" s="16">
        <v>1.63</v>
      </c>
      <c r="M10" s="16">
        <v>0.9</v>
      </c>
      <c r="N10" s="16">
        <v>9.4600000000000009</v>
      </c>
      <c r="O10" s="16">
        <v>3.77</v>
      </c>
      <c r="P10" s="16">
        <v>0.71</v>
      </c>
      <c r="Q10" s="69">
        <v>2.0499999999999998</v>
      </c>
      <c r="R10" s="16">
        <v>22.95</v>
      </c>
      <c r="S10" s="16">
        <v>203.39</v>
      </c>
      <c r="T10" s="16">
        <v>57.82</v>
      </c>
      <c r="U10" s="16">
        <v>203.79</v>
      </c>
      <c r="V10" s="16">
        <v>1E-8</v>
      </c>
      <c r="W10" s="16">
        <v>1.4999999999999999E-2</v>
      </c>
      <c r="X10" s="16">
        <v>1.4999999999999999E-2</v>
      </c>
      <c r="Y10" s="16">
        <v>1.4999999999999999E-2</v>
      </c>
    </row>
    <row r="11" spans="1:25">
      <c r="A11" s="343" t="s">
        <v>890</v>
      </c>
      <c r="B11" s="346" t="s">
        <v>922</v>
      </c>
      <c r="C11" s="16">
        <v>203.39</v>
      </c>
      <c r="D11" s="16">
        <v>202.06</v>
      </c>
      <c r="E11" s="16">
        <v>198.59</v>
      </c>
      <c r="F11" s="16">
        <v>35.869999999999997</v>
      </c>
      <c r="G11" s="16">
        <v>162.72</v>
      </c>
      <c r="H11" s="16">
        <v>12.34</v>
      </c>
      <c r="I11" s="16">
        <v>5.38</v>
      </c>
      <c r="J11" s="16">
        <v>180.44</v>
      </c>
      <c r="K11" s="16">
        <v>4.43</v>
      </c>
      <c r="L11" s="16">
        <v>1.63</v>
      </c>
      <c r="M11" s="16">
        <v>0.9</v>
      </c>
      <c r="N11" s="16">
        <v>9.4600000000000009</v>
      </c>
      <c r="O11" s="16">
        <v>3.77</v>
      </c>
      <c r="P11" s="16">
        <v>0.71</v>
      </c>
      <c r="Q11" s="69">
        <v>2.0499999999999998</v>
      </c>
      <c r="R11" s="16">
        <v>22.95</v>
      </c>
      <c r="S11" s="16">
        <v>203.39</v>
      </c>
      <c r="T11" s="16">
        <v>57.82</v>
      </c>
      <c r="U11" s="16">
        <v>203.79</v>
      </c>
      <c r="V11" s="69">
        <v>9.9999999999999994E-12</v>
      </c>
      <c r="W11" s="16">
        <v>1.4999999999999999E-2</v>
      </c>
      <c r="X11" s="16">
        <v>1.4999999999999999E-2</v>
      </c>
      <c r="Y11" s="16">
        <v>1.4999999999999999E-2</v>
      </c>
    </row>
    <row r="12" spans="1:25">
      <c r="A12" s="343" t="s">
        <v>891</v>
      </c>
      <c r="B12" s="346" t="s">
        <v>923</v>
      </c>
      <c r="C12" s="16">
        <v>196.99</v>
      </c>
      <c r="D12" s="16">
        <v>195.68</v>
      </c>
      <c r="E12" s="16">
        <v>192.04</v>
      </c>
      <c r="F12" s="16">
        <v>35.840000000000003</v>
      </c>
      <c r="G12" s="16">
        <v>156.19999999999999</v>
      </c>
      <c r="H12" s="16">
        <v>12.34</v>
      </c>
      <c r="I12" s="16">
        <v>5.6</v>
      </c>
      <c r="J12" s="16">
        <v>174.14</v>
      </c>
      <c r="K12" s="16">
        <v>4.4800000000000004</v>
      </c>
      <c r="L12" s="16">
        <v>1.56</v>
      </c>
      <c r="M12" s="16">
        <v>0.87</v>
      </c>
      <c r="N12" s="16">
        <v>9.4</v>
      </c>
      <c r="O12" s="16">
        <v>3.76</v>
      </c>
      <c r="P12" s="16">
        <v>0.72</v>
      </c>
      <c r="Q12" s="69">
        <v>2.06</v>
      </c>
      <c r="R12" s="16">
        <v>22.85</v>
      </c>
      <c r="S12" s="16">
        <v>196.99</v>
      </c>
      <c r="T12" s="16">
        <v>75.2</v>
      </c>
      <c r="U12" s="16">
        <v>196.99</v>
      </c>
      <c r="V12" s="69">
        <v>15.16</v>
      </c>
      <c r="W12" s="16">
        <v>1.4999999999999999E-2</v>
      </c>
      <c r="X12" s="16">
        <v>1.4999999999999999E-2</v>
      </c>
      <c r="Y12" s="16">
        <v>1.4999999999999999E-2</v>
      </c>
    </row>
    <row r="13" spans="1:25">
      <c r="A13" s="343" t="s">
        <v>892</v>
      </c>
      <c r="B13" s="346" t="s">
        <v>924</v>
      </c>
      <c r="C13" s="16">
        <v>107.28</v>
      </c>
      <c r="D13" s="16">
        <v>106.47</v>
      </c>
      <c r="E13" s="16">
        <v>97.8</v>
      </c>
      <c r="F13" s="16">
        <v>14.16</v>
      </c>
      <c r="G13" s="16">
        <v>83.64</v>
      </c>
      <c r="H13" s="16">
        <v>10.18</v>
      </c>
      <c r="I13" s="16">
        <v>0.75</v>
      </c>
      <c r="J13" s="16">
        <v>94.57</v>
      </c>
      <c r="K13" s="16">
        <v>2.73</v>
      </c>
      <c r="L13" s="16">
        <v>0.84</v>
      </c>
      <c r="M13" s="16">
        <v>0.47</v>
      </c>
      <c r="N13" s="16">
        <v>5.5</v>
      </c>
      <c r="O13" s="16">
        <v>1.5</v>
      </c>
      <c r="P13" s="16">
        <v>0.44</v>
      </c>
      <c r="Q13" s="69">
        <v>1E-13</v>
      </c>
      <c r="R13" s="16">
        <v>12.71</v>
      </c>
      <c r="S13" s="16">
        <v>107.28</v>
      </c>
      <c r="T13" s="16">
        <v>76.98</v>
      </c>
      <c r="U13" s="16">
        <v>107.28</v>
      </c>
      <c r="V13" s="16">
        <v>8.0299999999999994</v>
      </c>
      <c r="W13" s="16">
        <v>1.4999999999999999E-2</v>
      </c>
      <c r="X13" s="16">
        <v>1.4999999999999999E-2</v>
      </c>
      <c r="Y13" s="16">
        <v>1.4999999999999999E-2</v>
      </c>
    </row>
    <row r="14" spans="1:25">
      <c r="A14" s="343" t="s">
        <v>893</v>
      </c>
      <c r="B14" s="346" t="s">
        <v>925</v>
      </c>
      <c r="C14" s="16">
        <v>107.28</v>
      </c>
      <c r="D14" s="16">
        <v>106.47</v>
      </c>
      <c r="E14" s="16">
        <v>97.8</v>
      </c>
      <c r="F14" s="16">
        <v>14.16</v>
      </c>
      <c r="G14" s="16">
        <v>83.64</v>
      </c>
      <c r="H14" s="16">
        <v>10.18</v>
      </c>
      <c r="I14" s="16">
        <v>0.75</v>
      </c>
      <c r="J14" s="16">
        <v>94.57</v>
      </c>
      <c r="K14" s="16">
        <v>2.73</v>
      </c>
      <c r="L14" s="16">
        <v>0.84</v>
      </c>
      <c r="M14" s="16">
        <v>0.47</v>
      </c>
      <c r="N14" s="16">
        <v>5.5</v>
      </c>
      <c r="O14" s="16">
        <v>1.5</v>
      </c>
      <c r="P14" s="16">
        <v>0.44</v>
      </c>
      <c r="Q14" s="69">
        <v>9.9999999999999994E-12</v>
      </c>
      <c r="R14" s="16">
        <v>12.71</v>
      </c>
      <c r="S14" s="16">
        <v>107.28</v>
      </c>
      <c r="T14" s="16">
        <v>76.98</v>
      </c>
      <c r="U14" s="16">
        <v>107.28</v>
      </c>
      <c r="V14" s="16">
        <v>8.0299999999999994</v>
      </c>
      <c r="W14" s="16">
        <v>1.4999999999999999E-2</v>
      </c>
      <c r="X14" s="16">
        <v>1.4999999999999999E-2</v>
      </c>
      <c r="Y14" s="16">
        <v>1.4999999999999999E-2</v>
      </c>
    </row>
    <row r="15" spans="1:25">
      <c r="A15" s="343" t="s">
        <v>894</v>
      </c>
      <c r="B15" s="346" t="s">
        <v>926</v>
      </c>
      <c r="C15" s="16">
        <v>394.52</v>
      </c>
      <c r="D15" s="16">
        <v>391.83</v>
      </c>
      <c r="E15" s="16">
        <v>359.88</v>
      </c>
      <c r="F15" s="16">
        <v>64.53</v>
      </c>
      <c r="G15" s="16">
        <v>295.35000000000002</v>
      </c>
      <c r="H15" s="16">
        <v>35.71</v>
      </c>
      <c r="I15" s="16">
        <v>14.1</v>
      </c>
      <c r="J15" s="16">
        <v>345.16</v>
      </c>
      <c r="K15" s="16">
        <v>12.45</v>
      </c>
      <c r="L15" s="16">
        <v>2.95</v>
      </c>
      <c r="M15" s="16">
        <v>1.73</v>
      </c>
      <c r="N15" s="16">
        <v>23.34</v>
      </c>
      <c r="O15" s="16">
        <v>6.89</v>
      </c>
      <c r="P15" s="16">
        <v>1.99</v>
      </c>
      <c r="Q15" s="69">
        <v>1E-10</v>
      </c>
      <c r="R15" s="16">
        <v>49.36</v>
      </c>
      <c r="S15" s="16">
        <v>394.52</v>
      </c>
      <c r="T15" s="16">
        <v>229.96</v>
      </c>
      <c r="U15" s="16">
        <v>394.52</v>
      </c>
      <c r="V15" s="16">
        <v>23.21</v>
      </c>
      <c r="W15" s="16">
        <v>1.4999999999999999E-2</v>
      </c>
      <c r="X15" s="16">
        <v>1.4999999999999999E-2</v>
      </c>
      <c r="Y15" s="16">
        <v>1.4999999999999999E-2</v>
      </c>
    </row>
    <row r="16" spans="1:25">
      <c r="A16" s="343" t="s">
        <v>895</v>
      </c>
      <c r="B16" s="346" t="s">
        <v>927</v>
      </c>
      <c r="C16" s="16">
        <v>394.52</v>
      </c>
      <c r="D16" s="16">
        <v>391.83</v>
      </c>
      <c r="E16" s="16">
        <v>359.88</v>
      </c>
      <c r="F16" s="16">
        <v>64.53</v>
      </c>
      <c r="G16" s="16">
        <v>295.35000000000002</v>
      </c>
      <c r="H16" s="16">
        <v>35.71</v>
      </c>
      <c r="I16" s="16">
        <v>14.1</v>
      </c>
      <c r="J16" s="16">
        <v>345.16</v>
      </c>
      <c r="K16" s="16">
        <v>12.45</v>
      </c>
      <c r="L16" s="16">
        <v>2.95</v>
      </c>
      <c r="M16" s="16">
        <v>1.73</v>
      </c>
      <c r="N16" s="16">
        <v>23.34</v>
      </c>
      <c r="O16" s="16">
        <v>6.89</v>
      </c>
      <c r="P16" s="16">
        <v>1.99</v>
      </c>
      <c r="Q16" s="69">
        <v>1.0000000000000001E-9</v>
      </c>
      <c r="R16" s="16">
        <v>49.36</v>
      </c>
      <c r="S16" s="16">
        <v>394.52</v>
      </c>
      <c r="T16" s="16">
        <v>332.34</v>
      </c>
      <c r="U16" s="16">
        <v>394.52</v>
      </c>
      <c r="V16" s="16">
        <v>23.21</v>
      </c>
      <c r="W16" s="16">
        <v>1.4999999999999999E-2</v>
      </c>
      <c r="X16" s="16">
        <v>1.4999999999999999E-2</v>
      </c>
      <c r="Y16" s="16">
        <v>1.4999999999999999E-2</v>
      </c>
    </row>
    <row r="17" spans="1:25">
      <c r="A17" s="343" t="s">
        <v>896</v>
      </c>
      <c r="B17" s="346" t="s">
        <v>928</v>
      </c>
      <c r="C17" s="16">
        <v>124.12</v>
      </c>
      <c r="D17" s="16">
        <v>123.41</v>
      </c>
      <c r="E17" s="16">
        <v>101.9</v>
      </c>
      <c r="F17" s="16">
        <v>22.12</v>
      </c>
      <c r="G17" s="16">
        <v>79.78</v>
      </c>
      <c r="H17" s="16">
        <v>19.04</v>
      </c>
      <c r="I17" s="16">
        <v>4.74</v>
      </c>
      <c r="J17" s="16">
        <v>103.56</v>
      </c>
      <c r="K17" s="16">
        <v>5.95</v>
      </c>
      <c r="L17" s="16">
        <v>0.8</v>
      </c>
      <c r="M17" s="16">
        <v>0.52</v>
      </c>
      <c r="N17" s="16">
        <v>9.92</v>
      </c>
      <c r="O17" s="16">
        <v>2.42</v>
      </c>
      <c r="P17" s="16">
        <v>0.95</v>
      </c>
      <c r="Q17" s="69">
        <v>1E-8</v>
      </c>
      <c r="R17" s="16">
        <v>20.56</v>
      </c>
      <c r="S17" s="16">
        <v>124.12</v>
      </c>
      <c r="T17" s="16">
        <v>72.39</v>
      </c>
      <c r="U17" s="16">
        <v>124.12</v>
      </c>
      <c r="V17" s="16">
        <v>10.86</v>
      </c>
      <c r="W17" s="16">
        <v>1.4999999999999999E-2</v>
      </c>
      <c r="X17" s="16">
        <v>1.4999999999999999E-2</v>
      </c>
      <c r="Y17" s="16">
        <v>1.4999999999999999E-2</v>
      </c>
    </row>
    <row r="18" spans="1:25">
      <c r="A18" s="343" t="s">
        <v>897</v>
      </c>
      <c r="B18" s="346" t="s">
        <v>929</v>
      </c>
      <c r="C18" s="16">
        <v>124.12</v>
      </c>
      <c r="D18" s="16">
        <v>123.41</v>
      </c>
      <c r="E18" s="16">
        <v>101.9</v>
      </c>
      <c r="F18" s="16">
        <v>22.12</v>
      </c>
      <c r="G18" s="16">
        <v>79.78</v>
      </c>
      <c r="H18" s="16">
        <v>19.04</v>
      </c>
      <c r="I18" s="16">
        <v>4.74</v>
      </c>
      <c r="J18" s="16">
        <v>103.56</v>
      </c>
      <c r="K18" s="16">
        <v>5.95</v>
      </c>
      <c r="L18" s="16">
        <v>0.8</v>
      </c>
      <c r="M18" s="16">
        <v>0.52</v>
      </c>
      <c r="N18" s="16">
        <v>9.92</v>
      </c>
      <c r="O18" s="16">
        <v>2.42</v>
      </c>
      <c r="P18" s="16">
        <v>0.95</v>
      </c>
      <c r="Q18" s="69">
        <v>9.9999999999999995E-7</v>
      </c>
      <c r="R18" s="16">
        <v>20.56</v>
      </c>
      <c r="S18" s="16">
        <v>124.12</v>
      </c>
      <c r="T18" s="16">
        <v>72.39</v>
      </c>
      <c r="U18" s="16">
        <v>124.12</v>
      </c>
      <c r="V18" s="16">
        <v>10.86</v>
      </c>
      <c r="W18" s="16">
        <v>1.4999999999999999E-2</v>
      </c>
      <c r="X18" s="16">
        <v>1.4999999999999999E-2</v>
      </c>
      <c r="Y18" s="16">
        <v>1.4999999999999999E-2</v>
      </c>
    </row>
    <row r="19" spans="1:25">
      <c r="A19" s="343" t="s">
        <v>898</v>
      </c>
      <c r="B19" s="346" t="s">
        <v>930</v>
      </c>
      <c r="C19" s="16">
        <v>347.01</v>
      </c>
      <c r="D19" s="16">
        <v>345.19</v>
      </c>
      <c r="E19" s="16">
        <v>305.83</v>
      </c>
      <c r="F19" s="16">
        <v>74.569999999999993</v>
      </c>
      <c r="G19" s="16">
        <v>231.26</v>
      </c>
      <c r="H19" s="16">
        <v>52.5</v>
      </c>
      <c r="I19" s="16">
        <v>8.81</v>
      </c>
      <c r="J19" s="16">
        <v>292.57</v>
      </c>
      <c r="K19" s="16">
        <v>15.33</v>
      </c>
      <c r="L19" s="16">
        <v>2.31</v>
      </c>
      <c r="M19" s="16">
        <v>1.46</v>
      </c>
      <c r="N19" s="16">
        <v>26.08</v>
      </c>
      <c r="O19" s="16">
        <v>6.81</v>
      </c>
      <c r="P19" s="16">
        <v>2.4500000000000002</v>
      </c>
      <c r="Q19" s="69">
        <v>1.0000000000000001E-9</v>
      </c>
      <c r="R19" s="16">
        <v>54.44</v>
      </c>
      <c r="S19" s="16">
        <v>347.01</v>
      </c>
      <c r="T19" s="16">
        <v>285.58</v>
      </c>
      <c r="U19" s="16">
        <v>347.01</v>
      </c>
      <c r="V19" s="16">
        <v>19.07</v>
      </c>
      <c r="W19" s="16">
        <v>1.4999999999999999E-2</v>
      </c>
      <c r="X19" s="16">
        <v>1.4999999999999999E-2</v>
      </c>
      <c r="Y19" s="16">
        <v>1.4999999999999999E-2</v>
      </c>
    </row>
    <row r="20" spans="1:25">
      <c r="A20" s="343" t="s">
        <v>899</v>
      </c>
      <c r="B20" s="346" t="s">
        <v>932</v>
      </c>
      <c r="C20" s="16">
        <v>352.77</v>
      </c>
      <c r="D20" s="16">
        <v>350.84</v>
      </c>
      <c r="E20" s="16">
        <v>308.75</v>
      </c>
      <c r="F20" s="16">
        <v>72.64</v>
      </c>
      <c r="G20" s="16">
        <v>236.11</v>
      </c>
      <c r="H20" s="16">
        <v>52.89</v>
      </c>
      <c r="I20" s="16">
        <v>8.81</v>
      </c>
      <c r="J20" s="16">
        <v>297.81</v>
      </c>
      <c r="K20" s="16">
        <v>15.42</v>
      </c>
      <c r="L20" s="16">
        <v>2.36</v>
      </c>
      <c r="M20" s="16">
        <v>1.49</v>
      </c>
      <c r="N20" s="16">
        <v>26.32</v>
      </c>
      <c r="O20" s="16">
        <v>6.9</v>
      </c>
      <c r="P20" s="16">
        <v>2.4700000000000002</v>
      </c>
      <c r="Q20" s="69">
        <v>1E-13</v>
      </c>
      <c r="R20" s="16">
        <v>54.96</v>
      </c>
      <c r="S20" s="16">
        <v>352.77</v>
      </c>
      <c r="T20" s="16">
        <v>308.58999999999997</v>
      </c>
      <c r="U20" s="16">
        <v>352.77</v>
      </c>
      <c r="V20" s="16">
        <v>19.07</v>
      </c>
      <c r="W20" s="16">
        <v>1.4999999999999999E-2</v>
      </c>
      <c r="X20" s="16">
        <v>1.4999999999999999E-2</v>
      </c>
      <c r="Y20" s="16">
        <v>1.4999999999999999E-2</v>
      </c>
    </row>
    <row r="21" spans="1:25">
      <c r="A21" s="343" t="s">
        <v>900</v>
      </c>
      <c r="B21" s="346" t="s">
        <v>931</v>
      </c>
      <c r="C21" s="16">
        <v>257.73</v>
      </c>
      <c r="D21" s="16">
        <v>256.38</v>
      </c>
      <c r="E21" s="16">
        <v>264.19</v>
      </c>
      <c r="F21" s="16">
        <v>74.5</v>
      </c>
      <c r="G21" s="16">
        <v>189.69</v>
      </c>
      <c r="H21" s="16">
        <v>32.1</v>
      </c>
      <c r="I21" s="16">
        <v>2.25</v>
      </c>
      <c r="J21" s="16">
        <v>224.04</v>
      </c>
      <c r="K21" s="16">
        <v>8.59</v>
      </c>
      <c r="L21" s="16">
        <v>1.9</v>
      </c>
      <c r="M21" s="16">
        <v>1.1200000000000001</v>
      </c>
      <c r="N21" s="16">
        <v>15.82</v>
      </c>
      <c r="O21" s="16">
        <v>4.8899999999999997</v>
      </c>
      <c r="P21" s="16">
        <v>1.34</v>
      </c>
      <c r="Q21" s="69">
        <v>9.9999999999999994E-12</v>
      </c>
      <c r="R21" s="16">
        <v>33.69</v>
      </c>
      <c r="S21" s="16">
        <v>257.73</v>
      </c>
      <c r="T21" s="16">
        <v>100.82</v>
      </c>
      <c r="U21" s="16">
        <v>257.73</v>
      </c>
      <c r="V21" s="16">
        <v>10.199999999999999</v>
      </c>
      <c r="W21" s="16">
        <v>0.01</v>
      </c>
      <c r="X21" s="16">
        <v>0.01</v>
      </c>
      <c r="Y21" s="16">
        <v>0.01</v>
      </c>
    </row>
    <row r="22" spans="1:25">
      <c r="A22" s="343" t="s">
        <v>901</v>
      </c>
      <c r="B22" s="346" t="s">
        <v>933</v>
      </c>
      <c r="C22" s="16">
        <v>257.73</v>
      </c>
      <c r="D22" s="16">
        <v>256.38</v>
      </c>
      <c r="E22" s="16">
        <v>264.19</v>
      </c>
      <c r="F22" s="16">
        <v>74.5</v>
      </c>
      <c r="G22" s="16">
        <v>189.69</v>
      </c>
      <c r="H22" s="16">
        <v>32.1</v>
      </c>
      <c r="I22" s="16">
        <v>2.25</v>
      </c>
      <c r="J22" s="16">
        <v>224.04</v>
      </c>
      <c r="K22" s="16">
        <v>8.59</v>
      </c>
      <c r="L22" s="16">
        <v>1.9</v>
      </c>
      <c r="M22" s="16">
        <v>1.1200000000000001</v>
      </c>
      <c r="N22" s="16">
        <v>15.82</v>
      </c>
      <c r="O22" s="16">
        <v>4.8899999999999997</v>
      </c>
      <c r="P22" s="16">
        <v>1.37</v>
      </c>
      <c r="Q22" s="69">
        <v>9.9999999999999994E-12</v>
      </c>
      <c r="R22" s="16">
        <v>33.69</v>
      </c>
      <c r="S22" s="16">
        <v>257.73</v>
      </c>
      <c r="T22" s="16">
        <v>100.82</v>
      </c>
      <c r="U22" s="16">
        <v>257.73</v>
      </c>
      <c r="V22" s="16">
        <v>10.199999999999999</v>
      </c>
      <c r="W22" s="16">
        <v>0.01</v>
      </c>
      <c r="X22" s="16">
        <v>0.01</v>
      </c>
      <c r="Y22" s="16">
        <v>0.01</v>
      </c>
    </row>
    <row r="23" spans="1:25">
      <c r="A23" s="343" t="s">
        <v>902</v>
      </c>
      <c r="B23" s="346" t="s">
        <v>934</v>
      </c>
      <c r="C23" s="16">
        <v>92.67</v>
      </c>
      <c r="D23" s="16">
        <v>92.21</v>
      </c>
      <c r="E23" s="16">
        <v>77.59</v>
      </c>
      <c r="F23" s="16">
        <v>19.77</v>
      </c>
      <c r="G23" s="16">
        <v>57.82</v>
      </c>
      <c r="H23" s="16">
        <v>16.7</v>
      </c>
      <c r="I23" s="16">
        <v>2.25</v>
      </c>
      <c r="J23" s="16">
        <v>76.77</v>
      </c>
      <c r="K23" s="16">
        <v>4.74</v>
      </c>
      <c r="L23" s="16">
        <v>0.57999999999999996</v>
      </c>
      <c r="M23" s="16">
        <v>0.38</v>
      </c>
      <c r="N23" s="16">
        <v>7.79</v>
      </c>
      <c r="O23" s="16">
        <v>1.65</v>
      </c>
      <c r="P23" s="16">
        <v>0.76</v>
      </c>
      <c r="Q23" s="69">
        <v>1E-10</v>
      </c>
      <c r="R23" s="16">
        <v>15.9</v>
      </c>
      <c r="S23" s="16">
        <v>92.67</v>
      </c>
      <c r="T23" s="16">
        <v>105.49</v>
      </c>
      <c r="U23" s="16">
        <v>105.49</v>
      </c>
      <c r="V23" s="16">
        <v>5.28</v>
      </c>
      <c r="W23" s="16">
        <v>1.4999999999999999E-2</v>
      </c>
      <c r="X23" s="16">
        <v>1.4999999999999999E-2</v>
      </c>
      <c r="Y23" s="16">
        <v>1.4999999999999999E-2</v>
      </c>
    </row>
    <row r="24" spans="1:25">
      <c r="A24" s="343" t="s">
        <v>903</v>
      </c>
      <c r="B24" s="346" t="s">
        <v>935</v>
      </c>
      <c r="C24" s="16">
        <v>92.67</v>
      </c>
      <c r="D24" s="16">
        <v>92.21</v>
      </c>
      <c r="E24" s="16">
        <v>77.59</v>
      </c>
      <c r="F24" s="16">
        <v>19.77</v>
      </c>
      <c r="G24" s="16">
        <v>57.82</v>
      </c>
      <c r="H24" s="16">
        <v>16.7</v>
      </c>
      <c r="I24" s="16">
        <v>2.25</v>
      </c>
      <c r="J24" s="16">
        <v>76.77</v>
      </c>
      <c r="K24" s="16">
        <v>4.74</v>
      </c>
      <c r="L24" s="16">
        <v>0.57999999999999996</v>
      </c>
      <c r="M24" s="16">
        <v>0.38</v>
      </c>
      <c r="N24" s="16">
        <v>7.79</v>
      </c>
      <c r="O24" s="16">
        <v>1.65</v>
      </c>
      <c r="P24" s="16">
        <v>0.76</v>
      </c>
      <c r="Q24" s="69">
        <v>1E-10</v>
      </c>
      <c r="R24" s="16">
        <v>15.9</v>
      </c>
      <c r="S24" s="16">
        <v>92.67</v>
      </c>
      <c r="T24" s="16">
        <v>105.49</v>
      </c>
      <c r="U24" s="16">
        <v>105.49</v>
      </c>
      <c r="V24" s="16">
        <v>5.28</v>
      </c>
      <c r="W24" s="16">
        <v>1.4999999999999999E-2</v>
      </c>
      <c r="X24" s="16">
        <v>1.4999999999999999E-2</v>
      </c>
      <c r="Y24" s="16">
        <v>1.4999999999999999E-2</v>
      </c>
    </row>
    <row r="25" spans="1:25">
      <c r="A25" s="343" t="s">
        <v>904</v>
      </c>
      <c r="B25" s="346" t="s">
        <v>936</v>
      </c>
      <c r="C25" s="16">
        <v>129.49</v>
      </c>
      <c r="D25" s="16">
        <v>116.15</v>
      </c>
      <c r="E25" s="16">
        <v>91.07</v>
      </c>
      <c r="F25" s="16">
        <v>18.39</v>
      </c>
      <c r="G25" s="16">
        <v>72.680000000000007</v>
      </c>
      <c r="H25" s="16">
        <v>15.02</v>
      </c>
      <c r="I25" s="16">
        <v>7.41</v>
      </c>
      <c r="J25" s="16">
        <v>95.11</v>
      </c>
      <c r="K25" s="16">
        <v>5.61</v>
      </c>
      <c r="L25" s="16">
        <v>0.73</v>
      </c>
      <c r="M25" s="16">
        <v>0.48</v>
      </c>
      <c r="N25" s="16">
        <v>9.3000000000000007</v>
      </c>
      <c r="O25" s="16">
        <v>17.36</v>
      </c>
      <c r="P25" s="16">
        <v>0.9</v>
      </c>
      <c r="Q25" s="69">
        <v>9.9999999999999994E-12</v>
      </c>
      <c r="R25" s="16">
        <v>34.380000000000003</v>
      </c>
      <c r="S25" s="16">
        <v>129.49</v>
      </c>
      <c r="T25" s="16">
        <v>114.43</v>
      </c>
      <c r="U25" s="16">
        <v>129.49</v>
      </c>
      <c r="V25" s="16">
        <v>11.08</v>
      </c>
      <c r="W25" s="16">
        <v>1.4999999999999999E-2</v>
      </c>
      <c r="X25" s="16">
        <v>1.4999999999999999E-2</v>
      </c>
      <c r="Y25" s="16">
        <v>1.4999999999999999E-2</v>
      </c>
    </row>
    <row r="26" spans="1:25">
      <c r="A26" s="343" t="s">
        <v>905</v>
      </c>
      <c r="B26" s="346" t="s">
        <v>937</v>
      </c>
      <c r="C26" s="16">
        <v>129.49</v>
      </c>
      <c r="D26" s="16">
        <v>116.15</v>
      </c>
      <c r="E26" s="16">
        <v>91.07</v>
      </c>
      <c r="F26" s="16">
        <v>18.39</v>
      </c>
      <c r="G26" s="16">
        <v>72.680000000000007</v>
      </c>
      <c r="H26" s="16">
        <v>15.02</v>
      </c>
      <c r="I26" s="16">
        <v>7.41</v>
      </c>
      <c r="J26" s="16">
        <v>95.11</v>
      </c>
      <c r="K26" s="16">
        <v>5.61</v>
      </c>
      <c r="L26" s="16">
        <v>0.73</v>
      </c>
      <c r="M26" s="16">
        <v>0.48</v>
      </c>
      <c r="N26" s="16">
        <v>9.3000000000000007</v>
      </c>
      <c r="O26" s="16">
        <v>17.36</v>
      </c>
      <c r="P26" s="16">
        <v>0.9</v>
      </c>
      <c r="Q26" s="69">
        <v>1E-13</v>
      </c>
      <c r="R26" s="16">
        <v>34.380000000000003</v>
      </c>
      <c r="S26" s="16">
        <v>129.49</v>
      </c>
      <c r="T26" s="16">
        <v>114.43</v>
      </c>
      <c r="U26" s="16">
        <v>129.49</v>
      </c>
      <c r="V26" s="16">
        <v>11.08</v>
      </c>
      <c r="W26" s="16">
        <v>1.4999999999999999E-2</v>
      </c>
      <c r="X26" s="16">
        <v>1.4999999999999999E-2</v>
      </c>
      <c r="Y26" s="16">
        <v>1.4999999999999999E-2</v>
      </c>
    </row>
    <row r="27" spans="1:25">
      <c r="A27" s="343" t="s">
        <v>906</v>
      </c>
      <c r="B27" s="346" t="s">
        <v>938</v>
      </c>
      <c r="C27" s="16">
        <v>85.69</v>
      </c>
      <c r="D27" s="16">
        <v>85.31</v>
      </c>
      <c r="E27" s="16">
        <v>62.62</v>
      </c>
      <c r="F27" s="16">
        <v>15.54</v>
      </c>
      <c r="G27" s="16">
        <v>47.08</v>
      </c>
      <c r="H27" s="16">
        <v>16.04</v>
      </c>
      <c r="I27" s="16">
        <v>5.15</v>
      </c>
      <c r="J27" s="16">
        <v>68.28</v>
      </c>
      <c r="K27" s="16">
        <v>5.3</v>
      </c>
      <c r="L27" s="16">
        <v>0.47</v>
      </c>
      <c r="M27" s="16">
        <v>0.34</v>
      </c>
      <c r="N27" s="16">
        <v>8.3000000000000007</v>
      </c>
      <c r="O27" s="16">
        <v>2.09</v>
      </c>
      <c r="P27" s="16">
        <v>0.85</v>
      </c>
      <c r="Q27" s="69">
        <v>1E-8</v>
      </c>
      <c r="R27" s="16">
        <v>17.41</v>
      </c>
      <c r="S27" s="16">
        <v>85.69</v>
      </c>
      <c r="T27" s="16">
        <v>79.55</v>
      </c>
      <c r="U27" s="16">
        <v>85.69</v>
      </c>
      <c r="V27" s="16">
        <v>8.5</v>
      </c>
      <c r="W27" s="16">
        <v>1.4999999999999999E-2</v>
      </c>
      <c r="X27" s="16">
        <v>1.4999999999999999E-2</v>
      </c>
      <c r="Y27" s="16">
        <v>1.4999999999999999E-2</v>
      </c>
    </row>
    <row r="28" spans="1:25">
      <c r="A28" s="343" t="s">
        <v>907</v>
      </c>
      <c r="B28" s="346" t="s">
        <v>939</v>
      </c>
      <c r="C28" s="16">
        <v>85.69</v>
      </c>
      <c r="D28" s="16">
        <v>85.31</v>
      </c>
      <c r="E28" s="16">
        <v>62.62</v>
      </c>
      <c r="F28" s="16">
        <v>15.54</v>
      </c>
      <c r="G28" s="16">
        <v>47.08</v>
      </c>
      <c r="H28" s="16">
        <v>16.04</v>
      </c>
      <c r="I28" s="16">
        <v>5.15</v>
      </c>
      <c r="J28" s="16">
        <v>68.28</v>
      </c>
      <c r="K28" s="16">
        <v>5.3</v>
      </c>
      <c r="L28" s="16">
        <v>0.47</v>
      </c>
      <c r="M28" s="16">
        <v>0.34</v>
      </c>
      <c r="N28" s="16">
        <v>8.36</v>
      </c>
      <c r="O28" s="16">
        <v>2.09</v>
      </c>
      <c r="P28" s="16">
        <v>0.85</v>
      </c>
      <c r="Q28" s="69">
        <v>1.0000000000000001E-9</v>
      </c>
      <c r="R28" s="16">
        <v>17.41</v>
      </c>
      <c r="S28" s="16">
        <v>85.69</v>
      </c>
      <c r="T28" s="16">
        <v>79.55</v>
      </c>
      <c r="U28" s="16">
        <v>85.69</v>
      </c>
      <c r="V28" s="16">
        <v>8.5</v>
      </c>
      <c r="W28" s="16">
        <v>1.4999999999999999E-2</v>
      </c>
      <c r="X28" s="16">
        <v>1.4999999999999999E-2</v>
      </c>
      <c r="Y28" s="16">
        <v>1.4999999999999999E-2</v>
      </c>
    </row>
    <row r="29" spans="1:25">
      <c r="A29" s="343" t="s">
        <v>908</v>
      </c>
      <c r="B29" s="346" t="s">
        <v>940</v>
      </c>
      <c r="C29" s="16">
        <v>567.23</v>
      </c>
      <c r="D29" s="16">
        <v>563.55999999999995</v>
      </c>
      <c r="E29" s="16">
        <v>464.52</v>
      </c>
      <c r="F29" s="16">
        <v>85.05</v>
      </c>
      <c r="G29" s="16">
        <v>379.47</v>
      </c>
      <c r="H29" s="16">
        <v>52.74</v>
      </c>
      <c r="I29" s="16">
        <v>45.39</v>
      </c>
      <c r="J29" s="16">
        <v>477.6</v>
      </c>
      <c r="K29" s="16">
        <v>24.53</v>
      </c>
      <c r="L29" s="16">
        <v>3.79</v>
      </c>
      <c r="M29" s="16">
        <v>2.39</v>
      </c>
      <c r="N29" s="16">
        <v>41.93</v>
      </c>
      <c r="O29" s="16">
        <v>13.05</v>
      </c>
      <c r="P29" s="16">
        <v>3.93</v>
      </c>
      <c r="Q29" s="69">
        <v>1E-10</v>
      </c>
      <c r="R29" s="16">
        <v>89.63</v>
      </c>
      <c r="S29" s="16">
        <v>567.23</v>
      </c>
      <c r="T29" s="16">
        <v>381.86</v>
      </c>
      <c r="U29" s="16">
        <v>567.23</v>
      </c>
      <c r="V29" s="16">
        <v>24.33</v>
      </c>
      <c r="W29" s="16">
        <v>1.4999999999999999E-2</v>
      </c>
      <c r="X29" s="16">
        <v>1.4999999999999999E-2</v>
      </c>
      <c r="Y29" s="16">
        <v>1.4999999999999999E-2</v>
      </c>
    </row>
    <row r="30" spans="1:25">
      <c r="A30" s="343" t="s">
        <v>909</v>
      </c>
      <c r="B30" s="346" t="s">
        <v>941</v>
      </c>
      <c r="C30" s="16">
        <v>544.29999999999995</v>
      </c>
      <c r="D30" s="16">
        <v>540.91</v>
      </c>
      <c r="E30" s="16">
        <v>449.56</v>
      </c>
      <c r="F30" s="16">
        <v>87.54</v>
      </c>
      <c r="G30" s="16">
        <v>362.02</v>
      </c>
      <c r="H30" s="16">
        <v>52.74</v>
      </c>
      <c r="I30" s="16">
        <v>42.59</v>
      </c>
      <c r="J30" s="16">
        <v>457.36</v>
      </c>
      <c r="K30" s="16">
        <v>23.83</v>
      </c>
      <c r="L30" s="16">
        <v>3.62</v>
      </c>
      <c r="M30" s="16">
        <v>2.29</v>
      </c>
      <c r="N30" s="16">
        <v>40.61</v>
      </c>
      <c r="O30" s="16">
        <v>12.78</v>
      </c>
      <c r="P30" s="16">
        <v>3.81</v>
      </c>
      <c r="Q30" s="69">
        <v>1E-13</v>
      </c>
      <c r="R30" s="16">
        <v>86.94</v>
      </c>
      <c r="S30" s="16">
        <v>544.29999999999995</v>
      </c>
      <c r="T30" s="16">
        <v>136.69999999999999</v>
      </c>
      <c r="U30" s="16">
        <v>544.29999999999995</v>
      </c>
      <c r="V30" s="16">
        <v>24.33</v>
      </c>
      <c r="W30" s="16">
        <v>1.4999999999999999E-2</v>
      </c>
      <c r="X30" s="16">
        <v>1.4999999999999999E-2</v>
      </c>
      <c r="Y30" s="16">
        <v>1.4999999999999999E-2</v>
      </c>
    </row>
    <row r="31" spans="1:25">
      <c r="A31" s="343" t="s">
        <v>910</v>
      </c>
      <c r="B31" s="346" t="s">
        <v>942</v>
      </c>
      <c r="C31" s="16">
        <v>195.9</v>
      </c>
      <c r="D31" s="16">
        <v>185.64</v>
      </c>
      <c r="E31" s="16">
        <v>160.11000000000001</v>
      </c>
      <c r="F31" s="16">
        <v>32.21</v>
      </c>
      <c r="G31" s="16">
        <v>127.9</v>
      </c>
      <c r="H31" s="16">
        <v>26.85</v>
      </c>
      <c r="I31" s="16">
        <v>2.25</v>
      </c>
      <c r="J31" s="16">
        <v>157</v>
      </c>
      <c r="K31" s="16">
        <v>7.28</v>
      </c>
      <c r="L31" s="16">
        <v>1.28</v>
      </c>
      <c r="M31" s="16">
        <v>0.79</v>
      </c>
      <c r="N31" s="16">
        <v>12.74</v>
      </c>
      <c r="O31" s="16">
        <v>12.58</v>
      </c>
      <c r="P31" s="16">
        <v>1.1599999999999999</v>
      </c>
      <c r="Q31" s="69">
        <v>3.07</v>
      </c>
      <c r="R31" s="16">
        <v>38.9</v>
      </c>
      <c r="S31" s="16">
        <v>195.9</v>
      </c>
      <c r="T31" s="16">
        <v>141.16999999999999</v>
      </c>
      <c r="U31" s="16">
        <v>195.9</v>
      </c>
      <c r="V31" s="16">
        <v>9.23</v>
      </c>
      <c r="W31" s="16">
        <v>1E-3</v>
      </c>
      <c r="X31" s="16">
        <v>1E-3</v>
      </c>
      <c r="Y31" s="16">
        <v>1E-3</v>
      </c>
    </row>
    <row r="32" spans="1:25">
      <c r="A32" s="343" t="s">
        <v>911</v>
      </c>
      <c r="B32" s="346" t="s">
        <v>943</v>
      </c>
      <c r="C32" s="16">
        <v>195.9</v>
      </c>
      <c r="D32" s="16">
        <v>185.64</v>
      </c>
      <c r="E32" s="16">
        <v>160.11000000000001</v>
      </c>
      <c r="F32" s="16">
        <v>32.21</v>
      </c>
      <c r="G32" s="16">
        <v>127.9</v>
      </c>
      <c r="H32" s="16">
        <v>26.85</v>
      </c>
      <c r="I32" s="16">
        <v>2.25</v>
      </c>
      <c r="J32" s="16">
        <v>157</v>
      </c>
      <c r="K32" s="16">
        <v>7.28</v>
      </c>
      <c r="L32" s="16">
        <v>1.28</v>
      </c>
      <c r="M32" s="16">
        <v>0.79</v>
      </c>
      <c r="N32" s="16">
        <v>12.74</v>
      </c>
      <c r="O32" s="16">
        <v>12.58</v>
      </c>
      <c r="P32" s="16">
        <v>1.1599999999999999</v>
      </c>
      <c r="Q32" s="69">
        <v>3.07</v>
      </c>
      <c r="R32" s="16">
        <v>38.9</v>
      </c>
      <c r="S32" s="16">
        <v>195.9</v>
      </c>
      <c r="T32" s="16">
        <v>123.32</v>
      </c>
      <c r="U32" s="16">
        <v>195.9</v>
      </c>
      <c r="V32" s="16">
        <v>9.23</v>
      </c>
      <c r="W32" s="16">
        <v>1E-3</v>
      </c>
      <c r="X32" s="16">
        <v>1E-3</v>
      </c>
      <c r="Y32" s="16">
        <v>1E-3</v>
      </c>
    </row>
    <row r="33" spans="1:25">
      <c r="A33" s="343" t="s">
        <v>912</v>
      </c>
      <c r="B33" s="346" t="s">
        <v>944</v>
      </c>
      <c r="C33" s="16">
        <v>754.57</v>
      </c>
      <c r="D33" s="16">
        <v>679.58</v>
      </c>
      <c r="E33" s="16">
        <v>478.92</v>
      </c>
      <c r="F33" s="16">
        <v>97.47</v>
      </c>
      <c r="G33" s="16">
        <v>381.45</v>
      </c>
      <c r="H33" s="16">
        <v>79.040000000000006</v>
      </c>
      <c r="I33" s="16">
        <v>83.5</v>
      </c>
      <c r="J33" s="16">
        <v>543.99</v>
      </c>
      <c r="K33" s="16">
        <v>40.630000000000003</v>
      </c>
      <c r="L33" s="16">
        <v>3.81</v>
      </c>
      <c r="M33" s="16">
        <v>2.72</v>
      </c>
      <c r="N33" s="16">
        <v>64.52</v>
      </c>
      <c r="O33" s="16">
        <v>92.4</v>
      </c>
      <c r="P33" s="16">
        <v>6.5</v>
      </c>
      <c r="Q33" s="69">
        <v>1E-8</v>
      </c>
      <c r="R33" s="16">
        <v>210.58</v>
      </c>
      <c r="S33" s="16">
        <v>754.57</v>
      </c>
      <c r="T33" s="16">
        <v>578.67999999999995</v>
      </c>
      <c r="U33" s="16">
        <v>754.57</v>
      </c>
      <c r="V33" s="16">
        <v>38.590000000000003</v>
      </c>
      <c r="W33" s="16">
        <v>1.4999999999999999E-2</v>
      </c>
      <c r="X33" s="16">
        <v>1.4999999999999999E-2</v>
      </c>
      <c r="Y33" s="16">
        <v>1.4999999999999999E-2</v>
      </c>
    </row>
    <row r="34" spans="1:25">
      <c r="A34" s="343" t="s">
        <v>913</v>
      </c>
      <c r="B34" s="346" t="s">
        <v>945</v>
      </c>
      <c r="C34" s="16">
        <v>560.61</v>
      </c>
      <c r="D34" s="16">
        <v>544.61</v>
      </c>
      <c r="E34" s="16">
        <v>502.16</v>
      </c>
      <c r="F34" s="16">
        <v>114.47</v>
      </c>
      <c r="G34" s="16">
        <v>387.69</v>
      </c>
      <c r="H34" s="16">
        <v>68.430000000000007</v>
      </c>
      <c r="I34" s="16">
        <v>10.91</v>
      </c>
      <c r="J34" s="16">
        <v>467.03</v>
      </c>
      <c r="K34" s="16">
        <v>19.829999999999998</v>
      </c>
      <c r="L34" s="16">
        <v>3.88</v>
      </c>
      <c r="M34" s="16">
        <v>2.34</v>
      </c>
      <c r="N34" s="16">
        <v>35.520000000000003</v>
      </c>
      <c r="O34" s="16">
        <v>20.39</v>
      </c>
      <c r="P34" s="16">
        <v>3.17</v>
      </c>
      <c r="Q34" s="69">
        <v>8.4499999999999993</v>
      </c>
      <c r="R34" s="16">
        <v>93.58</v>
      </c>
      <c r="S34" s="16">
        <v>560.61</v>
      </c>
      <c r="T34" s="16">
        <v>282.14</v>
      </c>
      <c r="U34" s="16">
        <v>560.61</v>
      </c>
      <c r="V34" s="16">
        <v>21.38</v>
      </c>
      <c r="W34" s="16">
        <v>1.4999999999999999E-2</v>
      </c>
      <c r="X34" s="16">
        <v>1.4999999999999999E-2</v>
      </c>
      <c r="Y34" s="16">
        <v>1.4999999999999999E-2</v>
      </c>
    </row>
    <row r="35" spans="1:25" ht="15.75" thickBot="1">
      <c r="A35" s="343" t="s">
        <v>914</v>
      </c>
      <c r="B35" s="353" t="s">
        <v>946</v>
      </c>
      <c r="C35" s="348">
        <v>560.61</v>
      </c>
      <c r="D35" s="348">
        <v>544.61</v>
      </c>
      <c r="E35" s="348">
        <v>502.16</v>
      </c>
      <c r="F35" s="348">
        <v>114.47</v>
      </c>
      <c r="G35" s="348">
        <v>387.69</v>
      </c>
      <c r="H35" s="348">
        <v>68.430000000000007</v>
      </c>
      <c r="I35" s="348">
        <v>10.91</v>
      </c>
      <c r="J35" s="348">
        <v>467.03</v>
      </c>
      <c r="K35" s="348">
        <v>19.829999999999998</v>
      </c>
      <c r="L35" s="348">
        <v>3.88</v>
      </c>
      <c r="M35" s="348">
        <v>2.34</v>
      </c>
      <c r="N35" s="348">
        <v>35.520000000000003</v>
      </c>
      <c r="O35" s="348">
        <v>20.39</v>
      </c>
      <c r="P35" s="348">
        <v>3.17</v>
      </c>
      <c r="Q35" s="349">
        <v>8.4499999999999993</v>
      </c>
      <c r="R35" s="348">
        <v>93.58</v>
      </c>
      <c r="S35" s="348">
        <v>560.61</v>
      </c>
      <c r="T35" s="348">
        <v>245.98</v>
      </c>
      <c r="U35" s="348">
        <v>560.61</v>
      </c>
      <c r="V35" s="348">
        <v>21.38</v>
      </c>
      <c r="W35" s="348">
        <v>1.4999999999999999E-2</v>
      </c>
      <c r="X35" s="348">
        <v>1.4999999999999999E-2</v>
      </c>
      <c r="Y35" s="348">
        <v>1.4999999999999999E-2</v>
      </c>
    </row>
    <row r="36" spans="1:25" ht="15.75" thickBot="1">
      <c r="B36" s="354" t="s">
        <v>947</v>
      </c>
      <c r="C36" s="350">
        <f>SUM(C3:C35)</f>
        <v>9174.0499999999975</v>
      </c>
      <c r="D36" s="351">
        <f t="shared" ref="D36:Y36" si="0">SUM(D3:D35)</f>
        <v>8980.01</v>
      </c>
      <c r="E36" s="351">
        <f t="shared" si="0"/>
        <v>7733.0399999999981</v>
      </c>
      <c r="F36" s="351">
        <f t="shared" si="0"/>
        <v>1596.24</v>
      </c>
      <c r="G36" s="351">
        <f t="shared" si="0"/>
        <v>6136.7999999999984</v>
      </c>
      <c r="H36" s="351">
        <f t="shared" si="0"/>
        <v>1050.0200000000002</v>
      </c>
      <c r="I36" s="351">
        <f t="shared" si="0"/>
        <v>445.1</v>
      </c>
      <c r="J36" s="351">
        <f t="shared" si="0"/>
        <v>7631.9599999999991</v>
      </c>
      <c r="K36" s="351">
        <f t="shared" si="0"/>
        <v>373.40999999999997</v>
      </c>
      <c r="L36" s="351">
        <f t="shared" si="0"/>
        <v>61.379999999999988</v>
      </c>
      <c r="M36" s="351">
        <f t="shared" si="0"/>
        <v>38.19</v>
      </c>
      <c r="N36" s="351">
        <f t="shared" si="0"/>
        <v>645.97000000000014</v>
      </c>
      <c r="O36" s="351">
        <f t="shared" si="0"/>
        <v>319.10000000000002</v>
      </c>
      <c r="P36" s="351">
        <f t="shared" si="0"/>
        <v>59.779999999999994</v>
      </c>
      <c r="Q36" s="351">
        <f t="shared" si="0"/>
        <v>31.260001056450395</v>
      </c>
      <c r="R36" s="351">
        <f t="shared" si="0"/>
        <v>1542.0899999999997</v>
      </c>
      <c r="S36" s="351">
        <f t="shared" si="0"/>
        <v>9174.0499999999975</v>
      </c>
      <c r="T36" s="351">
        <f t="shared" si="0"/>
        <v>5866.3899999999994</v>
      </c>
      <c r="U36" s="351">
        <f t="shared" si="0"/>
        <v>9200.4999999999964</v>
      </c>
      <c r="V36" s="351">
        <f t="shared" si="0"/>
        <v>511.05000001000997</v>
      </c>
      <c r="W36" s="351">
        <f t="shared" si="0"/>
        <v>0.45700000000000029</v>
      </c>
      <c r="X36" s="351">
        <f t="shared" si="0"/>
        <v>0.45700000000000029</v>
      </c>
      <c r="Y36" s="352">
        <f t="shared" si="0"/>
        <v>0.45700000000000029</v>
      </c>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FY2025-26</vt:lpstr>
      <vt:lpstr>Sheet11</vt:lpstr>
      <vt:lpstr>FY2024-2025</vt:lpstr>
      <vt:lpstr>Sheet10</vt:lpstr>
      <vt:lpstr>FY23-24</vt:lpstr>
      <vt:lpstr>FY22-23 Till JUN23</vt:lpstr>
      <vt:lpstr>FY 2021-2022</vt:lpstr>
      <vt:lpstr>FY 2020-2021 </vt:lpstr>
      <vt:lpstr>YK9 Content </vt:lpstr>
      <vt:lpstr>fy24-25</vt:lpstr>
      <vt:lpstr>Sheet9</vt:lpstr>
      <vt:lpstr>FY2024-2025 (2)</vt:lpstr>
      <vt:lpstr>Y43 Content</vt:lpstr>
      <vt:lpstr>YWD RFQ'S</vt:lpstr>
      <vt:lpstr>FY 2019-2020.</vt:lpstr>
      <vt:lpstr>FY 2019-2020</vt:lpstr>
      <vt:lpstr>FY 2018-19 MSIL</vt:lpstr>
      <vt:lpstr>FY 2017-18 MSIL</vt:lpstr>
      <vt:lpstr>FY18-19 KML</vt:lpstr>
      <vt:lpstr>FY 18-19 SUZUKI</vt:lpstr>
      <vt:lpstr>Sheet1</vt:lpstr>
      <vt:lpstr>Sheet2</vt:lpstr>
      <vt:lpstr>Sheet3</vt:lpstr>
      <vt:lpstr>Sheet4</vt:lpstr>
      <vt:lpstr>Sheet5</vt:lpstr>
      <vt:lpstr>Sheet6</vt:lpstr>
      <vt:lpstr>Sheet7</vt:lpstr>
      <vt:lpstr>FY 2020-2021  (2)</vt:lpstr>
      <vt:lpstr>Sheet8</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rakeshkumar</dc:creator>
  <cp:lastModifiedBy>Marketing</cp:lastModifiedBy>
  <cp:lastPrinted>2024-09-23T03:55:30Z</cp:lastPrinted>
  <dcterms:created xsi:type="dcterms:W3CDTF">2018-07-30T03:26:20Z</dcterms:created>
  <dcterms:modified xsi:type="dcterms:W3CDTF">2025-10-28T04:58:39Z</dcterms:modified>
</cp:coreProperties>
</file>